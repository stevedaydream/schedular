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7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18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0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21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cad2c39add5a7fe/文件/"/>
    </mc:Choice>
  </mc:AlternateContent>
  <xr:revisionPtr revIDLastSave="41" documentId="8_{E0A11E24-87FA-4632-B711-19F72BB1AAA3}" xr6:coauthVersionLast="47" xr6:coauthVersionMax="47" xr10:uidLastSave="{12E60ABB-CBB5-42B1-9BA5-8CCD31802231}"/>
  <bookViews>
    <workbookView xWindow="-110" yWindow="-110" windowWidth="38620" windowHeight="21100" tabRatio="681" firstSheet="4" activeTab="22" xr2:uid="{1B489BC1-C815-40C7-89AE-D9BEEA07E798}"/>
  </bookViews>
  <sheets>
    <sheet name="11306" sheetId="332" r:id="rId1"/>
    <sheet name="11307" sheetId="334" r:id="rId2"/>
    <sheet name="11308" sheetId="335" r:id="rId3"/>
    <sheet name="11309" sheetId="336" r:id="rId4"/>
    <sheet name="11310-1" sheetId="340" r:id="rId5"/>
    <sheet name="11311" sheetId="341" r:id="rId6"/>
    <sheet name="11312 (2)" sheetId="348" r:id="rId7"/>
    <sheet name="20251" sheetId="342" r:id="rId8"/>
    <sheet name="20252" sheetId="343" r:id="rId9"/>
    <sheet name="20253" sheetId="345" r:id="rId10"/>
    <sheet name="20254" sheetId="349" r:id="rId11"/>
    <sheet name="20255" sheetId="350" r:id="rId12"/>
    <sheet name="20256" sheetId="370" r:id="rId13"/>
    <sheet name="20257" sheetId="376" r:id="rId14"/>
    <sheet name="202510" sheetId="379" r:id="rId15"/>
    <sheet name="20258" sheetId="377" r:id="rId16"/>
    <sheet name="20259" sheetId="378" r:id="rId17"/>
    <sheet name="202511" sheetId="385" r:id="rId18"/>
    <sheet name="202512" sheetId="391" r:id="rId19"/>
    <sheet name="202601" sheetId="392" r:id="rId20"/>
    <sheet name="202602" sheetId="394" r:id="rId21"/>
    <sheet name="202603" sheetId="395" r:id="rId22"/>
    <sheet name="202604" sheetId="396" r:id="rId23"/>
    <sheet name="202605" sheetId="397" r:id="rId24"/>
    <sheet name="202606" sheetId="398" r:id="rId25"/>
    <sheet name="202607" sheetId="399" r:id="rId26"/>
    <sheet name="202608" sheetId="400" r:id="rId27"/>
  </sheets>
  <externalReferences>
    <externalReference r:id="rId28"/>
    <externalReference r:id="rId29"/>
    <externalReference r:id="rId30"/>
  </externalReferences>
  <definedNames>
    <definedName name="__xleta.DAY" hidden="1" xlm="1">#NAME?</definedName>
    <definedName name="__xleta.WEEKDAY" hidden="1" xlm="1">#NAME?</definedName>
    <definedName name="姓名清單" localSheetId="18">'202512'!$BK$6:$BK$17</definedName>
    <definedName name="姓名清單" localSheetId="19">'202601'!$BK$6:$BK$17</definedName>
    <definedName name="姓名清單" localSheetId="20">'202602'!$BK$6:$BK$17</definedName>
    <definedName name="姓名清單" localSheetId="21">'202603'!$BK$6:$BK$17</definedName>
    <definedName name="姓名清單" localSheetId="22">'202604'!$BK$6:$BK$17</definedName>
    <definedName name="姓名清單" localSheetId="23">'202605'!$BK$6:$BK$17</definedName>
    <definedName name="姓名清單" localSheetId="24">'202606'!$BK$6:$BK$17</definedName>
    <definedName name="姓名清單" localSheetId="25">'202607'!$BK$6:$BK$17</definedName>
    <definedName name="姓名清單" localSheetId="26">'202608'!$BK$6:$BK$17</definedName>
    <definedName name="姓名清單">'202511'!$BK$6:$BK$17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" i="399" l="1"/>
  <c r="BD2" i="398"/>
  <c r="BD2" i="397"/>
  <c r="BD2" i="400"/>
  <c r="BE2" i="396"/>
  <c r="BG3" i="396" s="1" a="1"/>
  <c r="BG3" i="396" s="1"/>
  <c r="BD2" i="396"/>
  <c r="AG45" i="400"/>
  <c r="AF45" i="400"/>
  <c r="AE45" i="400"/>
  <c r="AD45" i="400"/>
  <c r="AC45" i="400"/>
  <c r="AB45" i="400"/>
  <c r="AA45" i="400"/>
  <c r="Z45" i="400"/>
  <c r="Y45" i="400"/>
  <c r="X45" i="400"/>
  <c r="W45" i="400"/>
  <c r="V45" i="400"/>
  <c r="U45" i="400"/>
  <c r="T45" i="400"/>
  <c r="S45" i="400"/>
  <c r="R45" i="400"/>
  <c r="Q45" i="400"/>
  <c r="P45" i="400"/>
  <c r="O45" i="400"/>
  <c r="N45" i="400"/>
  <c r="M45" i="400"/>
  <c r="L45" i="400"/>
  <c r="K45" i="400"/>
  <c r="J45" i="400"/>
  <c r="I45" i="400"/>
  <c r="H45" i="400"/>
  <c r="G45" i="400"/>
  <c r="F45" i="400"/>
  <c r="E45" i="400"/>
  <c r="D45" i="400"/>
  <c r="C45" i="400"/>
  <c r="AK40" i="400"/>
  <c r="AJ40" i="400"/>
  <c r="AI40" i="400"/>
  <c r="AK39" i="400"/>
  <c r="AJ39" i="400"/>
  <c r="AI39" i="400"/>
  <c r="AK38" i="400"/>
  <c r="AJ38" i="400"/>
  <c r="AI38" i="400"/>
  <c r="AK37" i="400"/>
  <c r="AJ37" i="400"/>
  <c r="AI37" i="400"/>
  <c r="AK36" i="400"/>
  <c r="AJ36" i="400"/>
  <c r="AI36" i="400"/>
  <c r="AK35" i="400"/>
  <c r="AJ35" i="400"/>
  <c r="AI35" i="400"/>
  <c r="AK34" i="400"/>
  <c r="AJ34" i="400"/>
  <c r="AI34" i="400"/>
  <c r="AK33" i="400"/>
  <c r="AJ33" i="400"/>
  <c r="AI33" i="400"/>
  <c r="AK32" i="400"/>
  <c r="AJ32" i="400"/>
  <c r="AI32" i="400"/>
  <c r="AK31" i="400"/>
  <c r="AJ31" i="400"/>
  <c r="AI31" i="400"/>
  <c r="AI43" i="400"/>
  <c r="C29" i="400"/>
  <c r="C30" i="400"/>
  <c r="C43" i="400"/>
  <c r="AG22" i="400"/>
  <c r="AF22" i="400"/>
  <c r="AE22" i="400"/>
  <c r="AD22" i="400"/>
  <c r="AC22" i="400"/>
  <c r="AB22" i="400"/>
  <c r="AA22" i="400"/>
  <c r="Z22" i="400"/>
  <c r="Y22" i="400"/>
  <c r="X22" i="400"/>
  <c r="W22" i="400"/>
  <c r="V22" i="400"/>
  <c r="U22" i="400"/>
  <c r="T22" i="400"/>
  <c r="S22" i="400"/>
  <c r="R22" i="400"/>
  <c r="Q22" i="400"/>
  <c r="P22" i="400"/>
  <c r="O22" i="400"/>
  <c r="N22" i="400"/>
  <c r="M22" i="400"/>
  <c r="L22" i="400"/>
  <c r="K22" i="400"/>
  <c r="J22" i="400"/>
  <c r="I22" i="400"/>
  <c r="H22" i="400"/>
  <c r="G22" i="400"/>
  <c r="F22" i="400"/>
  <c r="E22" i="400"/>
  <c r="D22" i="400"/>
  <c r="C22" i="400"/>
  <c r="AG21" i="400"/>
  <c r="AF21" i="400"/>
  <c r="AE21" i="400"/>
  <c r="AD21" i="400"/>
  <c r="AC21" i="400"/>
  <c r="AB21" i="400"/>
  <c r="AA21" i="400"/>
  <c r="Z21" i="400"/>
  <c r="Y21" i="400"/>
  <c r="X21" i="400"/>
  <c r="W21" i="400"/>
  <c r="V21" i="400"/>
  <c r="U21" i="400"/>
  <c r="T21" i="400"/>
  <c r="S21" i="400"/>
  <c r="R21" i="400"/>
  <c r="Q21" i="400"/>
  <c r="P21" i="400"/>
  <c r="O21" i="400"/>
  <c r="N21" i="400"/>
  <c r="M21" i="400"/>
  <c r="L21" i="400"/>
  <c r="K21" i="400"/>
  <c r="J21" i="400"/>
  <c r="I21" i="400"/>
  <c r="H21" i="400"/>
  <c r="G21" i="400"/>
  <c r="F21" i="400"/>
  <c r="E21" i="400"/>
  <c r="D21" i="400"/>
  <c r="C21" i="400"/>
  <c r="AG20" i="400"/>
  <c r="AF20" i="400"/>
  <c r="AE20" i="400"/>
  <c r="AD20" i="400"/>
  <c r="AC20" i="400"/>
  <c r="AB20" i="400"/>
  <c r="AA20" i="400"/>
  <c r="Z20" i="400"/>
  <c r="Y20" i="400"/>
  <c r="X20" i="400"/>
  <c r="W20" i="400"/>
  <c r="V20" i="400"/>
  <c r="U20" i="400"/>
  <c r="T20" i="400"/>
  <c r="S20" i="400"/>
  <c r="R20" i="400"/>
  <c r="Q20" i="400"/>
  <c r="P20" i="400"/>
  <c r="O20" i="400"/>
  <c r="N20" i="400"/>
  <c r="M20" i="400"/>
  <c r="L20" i="400"/>
  <c r="K20" i="400"/>
  <c r="J20" i="400"/>
  <c r="I20" i="400"/>
  <c r="H20" i="400"/>
  <c r="G20" i="400"/>
  <c r="F20" i="400"/>
  <c r="E20" i="400"/>
  <c r="D20" i="400"/>
  <c r="C20" i="400"/>
  <c r="AG19" i="400"/>
  <c r="AF19" i="400"/>
  <c r="AE19" i="400"/>
  <c r="AD19" i="400"/>
  <c r="AC19" i="400"/>
  <c r="AB19" i="400"/>
  <c r="AA19" i="400"/>
  <c r="Z19" i="400"/>
  <c r="Y19" i="400"/>
  <c r="X19" i="400"/>
  <c r="W19" i="400"/>
  <c r="V19" i="400"/>
  <c r="U19" i="400"/>
  <c r="T19" i="400"/>
  <c r="S19" i="400"/>
  <c r="R19" i="400"/>
  <c r="Q19" i="400"/>
  <c r="P19" i="400"/>
  <c r="O19" i="400"/>
  <c r="N19" i="400"/>
  <c r="M19" i="400"/>
  <c r="L19" i="400"/>
  <c r="K19" i="400"/>
  <c r="BH2" i="400"/>
  <c r="J19" i="400"/>
  <c r="I19" i="400"/>
  <c r="H19" i="400"/>
  <c r="G19" i="400"/>
  <c r="F19" i="400"/>
  <c r="E19" i="400"/>
  <c r="D19" i="400"/>
  <c r="C19" i="400"/>
  <c r="BM18" i="400"/>
  <c r="BK18" i="400"/>
  <c r="BK17" i="400"/>
  <c r="AU17" i="400"/>
  <c r="AT17" i="400"/>
  <c r="AS17" i="400"/>
  <c r="AR17" i="400"/>
  <c r="AK17" i="400"/>
  <c r="AJ17" i="400"/>
  <c r="AI17" i="400"/>
  <c r="B17" i="400"/>
  <c r="A17" i="400"/>
  <c r="BK16" i="400"/>
  <c r="AU16" i="400"/>
  <c r="AT16" i="400"/>
  <c r="AS16" i="400"/>
  <c r="AR16" i="400"/>
  <c r="AK16" i="400"/>
  <c r="AJ16" i="400"/>
  <c r="AI16" i="400"/>
  <c r="B16" i="400"/>
  <c r="A16" i="400"/>
  <c r="BK15" i="400"/>
  <c r="AU15" i="400"/>
  <c r="AT15" i="400"/>
  <c r="AS15" i="400"/>
  <c r="AR15" i="400"/>
  <c r="AK15" i="400"/>
  <c r="AJ15" i="400"/>
  <c r="AI15" i="400"/>
  <c r="B15" i="400"/>
  <c r="A15" i="400"/>
  <c r="BK14" i="400"/>
  <c r="AU14" i="400"/>
  <c r="AT14" i="400"/>
  <c r="AS14" i="400"/>
  <c r="AR14" i="400"/>
  <c r="AK14" i="400"/>
  <c r="AJ14" i="400"/>
  <c r="AJ18" i="400" s="1"/>
  <c r="AI14" i="400"/>
  <c r="B14" i="400"/>
  <c r="A14" i="400"/>
  <c r="BK13" i="400"/>
  <c r="AU13" i="400"/>
  <c r="AT13" i="400"/>
  <c r="AS13" i="400"/>
  <c r="AR13" i="400"/>
  <c r="AK13" i="400"/>
  <c r="AJ13" i="400"/>
  <c r="AI13" i="400"/>
  <c r="B13" i="400"/>
  <c r="A13" i="400"/>
  <c r="BK12" i="400"/>
  <c r="AU12" i="400"/>
  <c r="AT12" i="400"/>
  <c r="AS12" i="400"/>
  <c r="AR12" i="400"/>
  <c r="AK12" i="400"/>
  <c r="AJ12" i="400"/>
  <c r="AI12" i="400"/>
  <c r="B12" i="400"/>
  <c r="A12" i="400"/>
  <c r="BK11" i="400"/>
  <c r="AU11" i="400"/>
  <c r="AU18" i="400" s="1"/>
  <c r="AT11" i="400"/>
  <c r="AS11" i="400"/>
  <c r="AR11" i="400"/>
  <c r="AK11" i="400"/>
  <c r="AJ11" i="400"/>
  <c r="AI11" i="400"/>
  <c r="B11" i="400"/>
  <c r="A11" i="400"/>
  <c r="BK10" i="400"/>
  <c r="AU10" i="400"/>
  <c r="AT10" i="400"/>
  <c r="AS10" i="400"/>
  <c r="AR10" i="400"/>
  <c r="AK10" i="400"/>
  <c r="AK18" i="400" s="1"/>
  <c r="AJ10" i="400"/>
  <c r="AI10" i="400"/>
  <c r="B10" i="400"/>
  <c r="A10" i="400"/>
  <c r="BK9" i="400"/>
  <c r="AU9" i="400"/>
  <c r="AT9" i="400"/>
  <c r="AS9" i="400"/>
  <c r="AR9" i="400"/>
  <c r="AK9" i="400"/>
  <c r="AJ9" i="400"/>
  <c r="AI9" i="400"/>
  <c r="B9" i="400"/>
  <c r="A9" i="400"/>
  <c r="BK8" i="400"/>
  <c r="AU8" i="400"/>
  <c r="AT8" i="400"/>
  <c r="AS8" i="400"/>
  <c r="AR8" i="400"/>
  <c r="AK8" i="400"/>
  <c r="AJ8" i="400"/>
  <c r="AI8" i="400"/>
  <c r="B8" i="400"/>
  <c r="A8" i="400"/>
  <c r="BK7" i="400"/>
  <c r="AU7" i="400"/>
  <c r="AT7" i="400"/>
  <c r="AS7" i="400"/>
  <c r="AR7" i="400"/>
  <c r="AK7" i="400"/>
  <c r="AJ7" i="400"/>
  <c r="AI7" i="400"/>
  <c r="B7" i="400"/>
  <c r="A7" i="400"/>
  <c r="BK6" i="400"/>
  <c r="AU6" i="400"/>
  <c r="AT6" i="400"/>
  <c r="AS6" i="400"/>
  <c r="AR6" i="400"/>
  <c r="AK6" i="400"/>
  <c r="AJ6" i="400"/>
  <c r="AI6" i="400"/>
  <c r="B6" i="400"/>
  <c r="A6" i="400"/>
  <c r="AY5" i="400"/>
  <c r="AX5" i="400"/>
  <c r="C4" i="400"/>
  <c r="C5" i="400"/>
  <c r="AG3" i="400"/>
  <c r="AF3" i="400"/>
  <c r="AE3" i="400"/>
  <c r="AD3" i="400"/>
  <c r="AC3" i="400"/>
  <c r="AB3" i="400"/>
  <c r="AA3" i="400"/>
  <c r="Z3" i="400"/>
  <c r="Y3" i="400"/>
  <c r="X3" i="400"/>
  <c r="W3" i="400"/>
  <c r="V3" i="400"/>
  <c r="U3" i="400"/>
  <c r="T3" i="400"/>
  <c r="S3" i="400"/>
  <c r="R3" i="400"/>
  <c r="Q3" i="400"/>
  <c r="P3" i="400"/>
  <c r="O3" i="400"/>
  <c r="N3" i="400"/>
  <c r="M3" i="400"/>
  <c r="L3" i="400"/>
  <c r="K3" i="400"/>
  <c r="J3" i="400"/>
  <c r="I3" i="400"/>
  <c r="H3" i="400"/>
  <c r="G3" i="400"/>
  <c r="F3" i="400"/>
  <c r="E3" i="400"/>
  <c r="D3" i="400"/>
  <c r="C3" i="400"/>
  <c r="B14" i="397"/>
  <c r="E3" i="396"/>
  <c r="F3" i="396"/>
  <c r="AA21" i="396"/>
  <c r="AB20" i="396"/>
  <c r="AC20" i="396"/>
  <c r="AD20" i="396"/>
  <c r="AE20" i="396"/>
  <c r="AF20" i="396"/>
  <c r="AG20" i="396"/>
  <c r="C20" i="396"/>
  <c r="D20" i="396"/>
  <c r="E20" i="396"/>
  <c r="F20" i="396"/>
  <c r="G20" i="396"/>
  <c r="H20" i="396"/>
  <c r="I20" i="396"/>
  <c r="J20" i="396"/>
  <c r="K20" i="396"/>
  <c r="L20" i="396"/>
  <c r="M20" i="396"/>
  <c r="N20" i="396"/>
  <c r="O20" i="396"/>
  <c r="P20" i="396"/>
  <c r="Q20" i="396"/>
  <c r="R20" i="396"/>
  <c r="S20" i="396"/>
  <c r="T20" i="396"/>
  <c r="U20" i="396"/>
  <c r="V20" i="396"/>
  <c r="W20" i="396"/>
  <c r="X20" i="396"/>
  <c r="Y20" i="396"/>
  <c r="Z20" i="396"/>
  <c r="AA20" i="396"/>
  <c r="AA45" i="396"/>
  <c r="Z45" i="396"/>
  <c r="AB45" i="396"/>
  <c r="AC45" i="396"/>
  <c r="AD45" i="396"/>
  <c r="AE45" i="396"/>
  <c r="AF45" i="396"/>
  <c r="AG45" i="396"/>
  <c r="C45" i="396"/>
  <c r="D45" i="396"/>
  <c r="E45" i="396"/>
  <c r="F45" i="396"/>
  <c r="G45" i="396"/>
  <c r="H45" i="396"/>
  <c r="I45" i="396"/>
  <c r="J45" i="396"/>
  <c r="K45" i="396"/>
  <c r="L45" i="396"/>
  <c r="M45" i="396"/>
  <c r="N45" i="396"/>
  <c r="O45" i="396"/>
  <c r="P45" i="396"/>
  <c r="Q45" i="396"/>
  <c r="R45" i="396"/>
  <c r="S45" i="396"/>
  <c r="T45" i="396"/>
  <c r="U45" i="396"/>
  <c r="V45" i="396"/>
  <c r="W45" i="396"/>
  <c r="X45" i="396"/>
  <c r="Y45" i="396"/>
  <c r="BD3" i="395"/>
  <c r="AG45" i="399"/>
  <c r="AF45" i="399"/>
  <c r="AE45" i="399"/>
  <c r="AD45" i="399"/>
  <c r="AC45" i="399"/>
  <c r="AB45" i="399"/>
  <c r="AA45" i="399"/>
  <c r="Z45" i="399"/>
  <c r="Y45" i="399"/>
  <c r="X45" i="399"/>
  <c r="W45" i="399"/>
  <c r="V45" i="399"/>
  <c r="U45" i="399"/>
  <c r="T45" i="399"/>
  <c r="S45" i="399"/>
  <c r="R45" i="399"/>
  <c r="Q45" i="399"/>
  <c r="P45" i="399"/>
  <c r="O45" i="399"/>
  <c r="N45" i="399"/>
  <c r="M45" i="399"/>
  <c r="L45" i="399"/>
  <c r="K45" i="399"/>
  <c r="J45" i="399"/>
  <c r="I45" i="399"/>
  <c r="H45" i="399"/>
  <c r="G45" i="399"/>
  <c r="F45" i="399"/>
  <c r="E45" i="399"/>
  <c r="D45" i="399"/>
  <c r="C45" i="399"/>
  <c r="AK40" i="399"/>
  <c r="AJ40" i="399"/>
  <c r="AI40" i="399"/>
  <c r="AK39" i="399"/>
  <c r="AJ39" i="399"/>
  <c r="AI39" i="399"/>
  <c r="AK38" i="399"/>
  <c r="AJ38" i="399"/>
  <c r="AI38" i="399"/>
  <c r="AK37" i="399"/>
  <c r="AJ37" i="399"/>
  <c r="AI37" i="399"/>
  <c r="AK36" i="399"/>
  <c r="AJ36" i="399"/>
  <c r="AI36" i="399"/>
  <c r="AK35" i="399"/>
  <c r="AJ35" i="399"/>
  <c r="AI35" i="399"/>
  <c r="AK34" i="399"/>
  <c r="AJ34" i="399"/>
  <c r="AI34" i="399"/>
  <c r="AK33" i="399"/>
  <c r="AJ33" i="399"/>
  <c r="AI33" i="399"/>
  <c r="AK32" i="399"/>
  <c r="AJ32" i="399"/>
  <c r="AI32" i="399"/>
  <c r="AK31" i="399"/>
  <c r="AK43" i="399"/>
  <c r="AJ31" i="399"/>
  <c r="AJ43" i="399"/>
  <c r="AI31" i="399"/>
  <c r="AI43" i="399"/>
  <c r="C29" i="399"/>
  <c r="C30" i="399"/>
  <c r="C43" i="399"/>
  <c r="AG22" i="399"/>
  <c r="AF22" i="399"/>
  <c r="AE22" i="399"/>
  <c r="AD22" i="399"/>
  <c r="AC22" i="399"/>
  <c r="AB22" i="399"/>
  <c r="AA22" i="399"/>
  <c r="Z22" i="399"/>
  <c r="Y22" i="399"/>
  <c r="X22" i="399"/>
  <c r="W22" i="399"/>
  <c r="V22" i="399"/>
  <c r="U22" i="399"/>
  <c r="T22" i="399"/>
  <c r="S22" i="399"/>
  <c r="R22" i="399"/>
  <c r="Q22" i="399"/>
  <c r="P22" i="399"/>
  <c r="O22" i="399"/>
  <c r="N22" i="399"/>
  <c r="M22" i="399"/>
  <c r="L22" i="399"/>
  <c r="K22" i="399"/>
  <c r="J22" i="399"/>
  <c r="I22" i="399"/>
  <c r="H22" i="399"/>
  <c r="G22" i="399"/>
  <c r="F22" i="399"/>
  <c r="E22" i="399"/>
  <c r="D22" i="399"/>
  <c r="C22" i="399"/>
  <c r="AG21" i="399"/>
  <c r="AF21" i="399"/>
  <c r="AE21" i="399"/>
  <c r="AD21" i="399"/>
  <c r="AC21" i="399"/>
  <c r="AB21" i="399"/>
  <c r="AA21" i="399"/>
  <c r="Z21" i="399"/>
  <c r="Y21" i="399"/>
  <c r="X21" i="399"/>
  <c r="W21" i="399"/>
  <c r="V21" i="399"/>
  <c r="U21" i="399"/>
  <c r="T21" i="399"/>
  <c r="S21" i="399"/>
  <c r="R21" i="399"/>
  <c r="Q21" i="399"/>
  <c r="P21" i="399"/>
  <c r="O21" i="399"/>
  <c r="N21" i="399"/>
  <c r="M21" i="399"/>
  <c r="L21" i="399"/>
  <c r="K21" i="399"/>
  <c r="J21" i="399"/>
  <c r="I21" i="399"/>
  <c r="H21" i="399"/>
  <c r="G21" i="399"/>
  <c r="F21" i="399"/>
  <c r="E21" i="399"/>
  <c r="D21" i="399"/>
  <c r="C21" i="399"/>
  <c r="AG20" i="399"/>
  <c r="AF20" i="399"/>
  <c r="AE20" i="399"/>
  <c r="AD20" i="399"/>
  <c r="AC20" i="399"/>
  <c r="AB20" i="399"/>
  <c r="AA20" i="399"/>
  <c r="Z20" i="399"/>
  <c r="Y20" i="399"/>
  <c r="X20" i="399"/>
  <c r="W20" i="399"/>
  <c r="V20" i="399"/>
  <c r="U20" i="399"/>
  <c r="T20" i="399"/>
  <c r="S20" i="399"/>
  <c r="R20" i="399"/>
  <c r="Q20" i="399"/>
  <c r="P20" i="399"/>
  <c r="O20" i="399"/>
  <c r="N20" i="399"/>
  <c r="M20" i="399"/>
  <c r="L20" i="399"/>
  <c r="K20" i="399"/>
  <c r="J20" i="399"/>
  <c r="I20" i="399"/>
  <c r="H20" i="399"/>
  <c r="G20" i="399"/>
  <c r="F20" i="399"/>
  <c r="E20" i="399"/>
  <c r="D20" i="399"/>
  <c r="C20" i="399"/>
  <c r="AG19" i="399"/>
  <c r="AF19" i="399"/>
  <c r="AE19" i="399"/>
  <c r="AD19" i="399"/>
  <c r="AC19" i="399"/>
  <c r="AB19" i="399"/>
  <c r="AA19" i="399"/>
  <c r="Z19" i="399"/>
  <c r="Y19" i="399"/>
  <c r="X19" i="399"/>
  <c r="W19" i="399"/>
  <c r="V19" i="399"/>
  <c r="U19" i="399"/>
  <c r="T19" i="399"/>
  <c r="S19" i="399"/>
  <c r="R19" i="399"/>
  <c r="Q19" i="399"/>
  <c r="P19" i="399"/>
  <c r="O19" i="399"/>
  <c r="N19" i="399"/>
  <c r="M19" i="399"/>
  <c r="L19" i="399"/>
  <c r="K19" i="399"/>
  <c r="J19" i="399"/>
  <c r="I19" i="399"/>
  <c r="H19" i="399"/>
  <c r="G19" i="399"/>
  <c r="F19" i="399"/>
  <c r="E19" i="399"/>
  <c r="D19" i="399"/>
  <c r="C19" i="399"/>
  <c r="BH2" i="399"/>
  <c r="BM18" i="399"/>
  <c r="BK18" i="399"/>
  <c r="BK17" i="399"/>
  <c r="AU17" i="399"/>
  <c r="AT17" i="399"/>
  <c r="AS17" i="399"/>
  <c r="AR17" i="399"/>
  <c r="AK17" i="399"/>
  <c r="AJ17" i="399"/>
  <c r="AI17" i="399"/>
  <c r="B17" i="399"/>
  <c r="A17" i="399"/>
  <c r="BK16" i="399"/>
  <c r="AU16" i="399"/>
  <c r="AT16" i="399"/>
  <c r="AS16" i="399"/>
  <c r="AR16" i="399"/>
  <c r="AK16" i="399"/>
  <c r="AJ16" i="399"/>
  <c r="AI16" i="399"/>
  <c r="B16" i="399"/>
  <c r="A16" i="399"/>
  <c r="BK15" i="399"/>
  <c r="AU15" i="399"/>
  <c r="AT15" i="399"/>
  <c r="AS15" i="399"/>
  <c r="AR15" i="399"/>
  <c r="AK15" i="399"/>
  <c r="AJ15" i="399"/>
  <c r="AI15" i="399"/>
  <c r="B15" i="399"/>
  <c r="A15" i="399"/>
  <c r="BK14" i="399"/>
  <c r="AU14" i="399"/>
  <c r="AT14" i="399"/>
  <c r="AS14" i="399"/>
  <c r="AR14" i="399"/>
  <c r="AK14" i="399"/>
  <c r="AJ14" i="399"/>
  <c r="AI14" i="399"/>
  <c r="B14" i="399"/>
  <c r="A14" i="399"/>
  <c r="BK13" i="399"/>
  <c r="AU13" i="399"/>
  <c r="AT13" i="399"/>
  <c r="AS13" i="399"/>
  <c r="AR13" i="399"/>
  <c r="AK13" i="399"/>
  <c r="AJ13" i="399"/>
  <c r="AI13" i="399"/>
  <c r="B13" i="399"/>
  <c r="A13" i="399"/>
  <c r="BK12" i="399"/>
  <c r="AU12" i="399"/>
  <c r="AT12" i="399"/>
  <c r="AS12" i="399"/>
  <c r="AR12" i="399"/>
  <c r="AK12" i="399"/>
  <c r="AJ12" i="399"/>
  <c r="AI12" i="399"/>
  <c r="B12" i="399"/>
  <c r="A12" i="399"/>
  <c r="BK11" i="399"/>
  <c r="AU11" i="399"/>
  <c r="AT11" i="399"/>
  <c r="AS11" i="399"/>
  <c r="AR11" i="399"/>
  <c r="AK11" i="399"/>
  <c r="AJ11" i="399"/>
  <c r="AI11" i="399"/>
  <c r="B11" i="399"/>
  <c r="A11" i="399"/>
  <c r="BK10" i="399"/>
  <c r="AU10" i="399"/>
  <c r="AT10" i="399"/>
  <c r="AS10" i="399"/>
  <c r="AR10" i="399"/>
  <c r="AK10" i="399"/>
  <c r="AJ10" i="399"/>
  <c r="AI10" i="399"/>
  <c r="B10" i="399"/>
  <c r="A10" i="399"/>
  <c r="BK9" i="399"/>
  <c r="AU9" i="399"/>
  <c r="AT9" i="399"/>
  <c r="AS9" i="399"/>
  <c r="AR9" i="399"/>
  <c r="AK9" i="399"/>
  <c r="AJ9" i="399"/>
  <c r="AI9" i="399"/>
  <c r="B9" i="399"/>
  <c r="A9" i="399"/>
  <c r="BK8" i="399"/>
  <c r="AU8" i="399"/>
  <c r="AT8" i="399"/>
  <c r="AS8" i="399"/>
  <c r="AR8" i="399"/>
  <c r="AK8" i="399"/>
  <c r="AJ8" i="399"/>
  <c r="AI8" i="399"/>
  <c r="B8" i="399"/>
  <c r="A8" i="399"/>
  <c r="BK7" i="399"/>
  <c r="AU7" i="399"/>
  <c r="AT7" i="399"/>
  <c r="AS7" i="399"/>
  <c r="AR7" i="399"/>
  <c r="AK7" i="399"/>
  <c r="AJ7" i="399"/>
  <c r="AI7" i="399"/>
  <c r="B7" i="399"/>
  <c r="A7" i="399"/>
  <c r="BK6" i="399"/>
  <c r="AU6" i="399"/>
  <c r="AU18" i="399"/>
  <c r="AT6" i="399"/>
  <c r="AS6" i="399"/>
  <c r="AS18" i="399"/>
  <c r="AR6" i="399"/>
  <c r="AK6" i="399"/>
  <c r="AJ6" i="399"/>
  <c r="AI6" i="399"/>
  <c r="B6" i="399"/>
  <c r="A6" i="399"/>
  <c r="AY5" i="399"/>
  <c r="AX5" i="399"/>
  <c r="C4" i="399"/>
  <c r="C5" i="399"/>
  <c r="C18" i="399"/>
  <c r="AG3" i="399"/>
  <c r="AF3" i="399"/>
  <c r="AE3" i="399"/>
  <c r="AD3" i="399"/>
  <c r="AC3" i="399"/>
  <c r="AB3" i="399"/>
  <c r="AA3" i="399"/>
  <c r="Z3" i="399"/>
  <c r="Y3" i="399"/>
  <c r="X3" i="399"/>
  <c r="W3" i="399"/>
  <c r="V3" i="399"/>
  <c r="U3" i="399"/>
  <c r="T3" i="399"/>
  <c r="S3" i="399"/>
  <c r="R3" i="399"/>
  <c r="Q3" i="399"/>
  <c r="P3" i="399"/>
  <c r="O3" i="399"/>
  <c r="N3" i="399"/>
  <c r="M3" i="399"/>
  <c r="L3" i="399"/>
  <c r="K3" i="399"/>
  <c r="J3" i="399"/>
  <c r="I3" i="399"/>
  <c r="H3" i="399"/>
  <c r="G3" i="399"/>
  <c r="F3" i="399"/>
  <c r="E3" i="399"/>
  <c r="D3" i="399"/>
  <c r="C3" i="399"/>
  <c r="C29" i="398"/>
  <c r="C30" i="398"/>
  <c r="AG45" i="398"/>
  <c r="AF45" i="398"/>
  <c r="AE45" i="398"/>
  <c r="AD45" i="398"/>
  <c r="AC45" i="398"/>
  <c r="AB45" i="398"/>
  <c r="AA45" i="398"/>
  <c r="Z45" i="398"/>
  <c r="Y45" i="398"/>
  <c r="X45" i="398"/>
  <c r="W45" i="398"/>
  <c r="V45" i="398"/>
  <c r="U45" i="398"/>
  <c r="T45" i="398"/>
  <c r="S45" i="398"/>
  <c r="R45" i="398"/>
  <c r="Q45" i="398"/>
  <c r="P45" i="398"/>
  <c r="O45" i="398"/>
  <c r="N45" i="398"/>
  <c r="M45" i="398"/>
  <c r="L45" i="398"/>
  <c r="K45" i="398"/>
  <c r="J45" i="398"/>
  <c r="I45" i="398"/>
  <c r="H45" i="398"/>
  <c r="G45" i="398"/>
  <c r="F45" i="398"/>
  <c r="E45" i="398"/>
  <c r="D45" i="398"/>
  <c r="C45" i="398"/>
  <c r="AK40" i="398"/>
  <c r="AJ40" i="398"/>
  <c r="AI40" i="398"/>
  <c r="AK39" i="398"/>
  <c r="AJ39" i="398"/>
  <c r="AI39" i="398"/>
  <c r="AK38" i="398"/>
  <c r="AJ38" i="398"/>
  <c r="AI38" i="398"/>
  <c r="AK37" i="398"/>
  <c r="AJ37" i="398"/>
  <c r="AI37" i="398"/>
  <c r="AK36" i="398"/>
  <c r="AJ36" i="398"/>
  <c r="AI36" i="398"/>
  <c r="AK35" i="398"/>
  <c r="AJ35" i="398"/>
  <c r="AI35" i="398"/>
  <c r="AK34" i="398"/>
  <c r="AJ34" i="398"/>
  <c r="AI34" i="398"/>
  <c r="AK33" i="398"/>
  <c r="AJ33" i="398"/>
  <c r="AI33" i="398"/>
  <c r="AK32" i="398"/>
  <c r="AK43" i="398"/>
  <c r="AJ32" i="398"/>
  <c r="AI32" i="398"/>
  <c r="AI43" i="398"/>
  <c r="AK31" i="398"/>
  <c r="AJ31" i="398"/>
  <c r="AI31" i="398"/>
  <c r="AG22" i="398"/>
  <c r="AF22" i="398"/>
  <c r="AE22" i="398"/>
  <c r="AD22" i="398"/>
  <c r="AC22" i="398"/>
  <c r="AB22" i="398"/>
  <c r="AA22" i="398"/>
  <c r="Z22" i="398"/>
  <c r="Y22" i="398"/>
  <c r="X22" i="398"/>
  <c r="W22" i="398"/>
  <c r="V22" i="398"/>
  <c r="U22" i="398"/>
  <c r="T22" i="398"/>
  <c r="S22" i="398"/>
  <c r="R22" i="398"/>
  <c r="Q22" i="398"/>
  <c r="P22" i="398"/>
  <c r="O22" i="398"/>
  <c r="N22" i="398"/>
  <c r="M22" i="398"/>
  <c r="L22" i="398"/>
  <c r="K22" i="398"/>
  <c r="J22" i="398"/>
  <c r="I22" i="398"/>
  <c r="H22" i="398"/>
  <c r="G22" i="398"/>
  <c r="F22" i="398"/>
  <c r="E22" i="398"/>
  <c r="D22" i="398"/>
  <c r="C22" i="398"/>
  <c r="AG21" i="398"/>
  <c r="AF21" i="398"/>
  <c r="AE21" i="398"/>
  <c r="AD21" i="398"/>
  <c r="AC21" i="398"/>
  <c r="AB21" i="398"/>
  <c r="AA21" i="398"/>
  <c r="Z21" i="398"/>
  <c r="Y21" i="398"/>
  <c r="X21" i="398"/>
  <c r="W21" i="398"/>
  <c r="V21" i="398"/>
  <c r="U21" i="398"/>
  <c r="T21" i="398"/>
  <c r="S21" i="398"/>
  <c r="R21" i="398"/>
  <c r="Q21" i="398"/>
  <c r="P21" i="398"/>
  <c r="O21" i="398"/>
  <c r="N21" i="398"/>
  <c r="M21" i="398"/>
  <c r="L21" i="398"/>
  <c r="K21" i="398"/>
  <c r="J21" i="398"/>
  <c r="I21" i="398"/>
  <c r="H21" i="398"/>
  <c r="G21" i="398"/>
  <c r="F21" i="398"/>
  <c r="E21" i="398"/>
  <c r="D21" i="398"/>
  <c r="C21" i="398"/>
  <c r="AG20" i="398"/>
  <c r="AF20" i="398"/>
  <c r="AE20" i="398"/>
  <c r="AD20" i="398"/>
  <c r="AC20" i="398"/>
  <c r="AB20" i="398"/>
  <c r="AA20" i="398"/>
  <c r="Z20" i="398"/>
  <c r="Y20" i="398"/>
  <c r="X20" i="398"/>
  <c r="W20" i="398"/>
  <c r="V20" i="398"/>
  <c r="U20" i="398"/>
  <c r="T20" i="398"/>
  <c r="S20" i="398"/>
  <c r="R20" i="398"/>
  <c r="Q20" i="398"/>
  <c r="P20" i="398"/>
  <c r="O20" i="398"/>
  <c r="N20" i="398"/>
  <c r="M20" i="398"/>
  <c r="L20" i="398"/>
  <c r="K20" i="398"/>
  <c r="J20" i="398"/>
  <c r="I20" i="398"/>
  <c r="H20" i="398"/>
  <c r="G20" i="398"/>
  <c r="F20" i="398"/>
  <c r="E20" i="398"/>
  <c r="AH20" i="398"/>
  <c r="D20" i="398"/>
  <c r="C20" i="398"/>
  <c r="AG19" i="398"/>
  <c r="AF19" i="398"/>
  <c r="AE19" i="398"/>
  <c r="AD19" i="398"/>
  <c r="AC19" i="398"/>
  <c r="AB19" i="398"/>
  <c r="AA19" i="398"/>
  <c r="Z19" i="398"/>
  <c r="Y19" i="398"/>
  <c r="X19" i="398"/>
  <c r="W19" i="398"/>
  <c r="V19" i="398"/>
  <c r="U19" i="398"/>
  <c r="T19" i="398"/>
  <c r="S19" i="398"/>
  <c r="R19" i="398"/>
  <c r="Q19" i="398"/>
  <c r="P19" i="398"/>
  <c r="O19" i="398"/>
  <c r="N19" i="398"/>
  <c r="M19" i="398"/>
  <c r="L19" i="398"/>
  <c r="K19" i="398"/>
  <c r="J19" i="398"/>
  <c r="I19" i="398"/>
  <c r="H19" i="398"/>
  <c r="G19" i="398"/>
  <c r="F19" i="398"/>
  <c r="E19" i="398"/>
  <c r="D19" i="398"/>
  <c r="C19" i="398"/>
  <c r="BM18" i="398"/>
  <c r="BK18" i="398"/>
  <c r="BK17" i="398"/>
  <c r="AU17" i="398"/>
  <c r="AT17" i="398"/>
  <c r="AS17" i="398"/>
  <c r="AR17" i="398"/>
  <c r="AK17" i="398"/>
  <c r="AJ17" i="398"/>
  <c r="AI17" i="398"/>
  <c r="B17" i="398"/>
  <c r="A17" i="398"/>
  <c r="BK16" i="398"/>
  <c r="AU16" i="398"/>
  <c r="AT16" i="398"/>
  <c r="AS16" i="398"/>
  <c r="AR16" i="398"/>
  <c r="AK16" i="398"/>
  <c r="AJ16" i="398"/>
  <c r="AI16" i="398"/>
  <c r="B16" i="398"/>
  <c r="A16" i="398"/>
  <c r="BK15" i="398"/>
  <c r="AU15" i="398"/>
  <c r="AT15" i="398"/>
  <c r="AS15" i="398"/>
  <c r="AR15" i="398"/>
  <c r="AK15" i="398"/>
  <c r="AJ15" i="398"/>
  <c r="AI15" i="398"/>
  <c r="B15" i="398"/>
  <c r="A15" i="398"/>
  <c r="BK14" i="398"/>
  <c r="AU14" i="398"/>
  <c r="AT14" i="398"/>
  <c r="AS14" i="398"/>
  <c r="AR14" i="398"/>
  <c r="AK14" i="398"/>
  <c r="AJ14" i="398"/>
  <c r="AI14" i="398"/>
  <c r="B14" i="398"/>
  <c r="A14" i="398"/>
  <c r="BK13" i="398"/>
  <c r="AU13" i="398"/>
  <c r="AT13" i="398"/>
  <c r="AS13" i="398"/>
  <c r="AR13" i="398"/>
  <c r="AK13" i="398"/>
  <c r="AJ13" i="398"/>
  <c r="AI13" i="398"/>
  <c r="B13" i="398"/>
  <c r="A13" i="398"/>
  <c r="BK12" i="398"/>
  <c r="AU12" i="398"/>
  <c r="AT12" i="398"/>
  <c r="AS12" i="398"/>
  <c r="AR12" i="398"/>
  <c r="AK12" i="398"/>
  <c r="AJ12" i="398"/>
  <c r="AI12" i="398"/>
  <c r="B12" i="398"/>
  <c r="A12" i="398"/>
  <c r="BK11" i="398"/>
  <c r="AU11" i="398"/>
  <c r="AT11" i="398"/>
  <c r="AS11" i="398"/>
  <c r="AR11" i="398"/>
  <c r="AK11" i="398"/>
  <c r="AJ11" i="398"/>
  <c r="AI11" i="398"/>
  <c r="B11" i="398"/>
  <c r="A11" i="398"/>
  <c r="BK10" i="398"/>
  <c r="AU10" i="398"/>
  <c r="AT10" i="398"/>
  <c r="AS10" i="398"/>
  <c r="AR10" i="398"/>
  <c r="AK10" i="398"/>
  <c r="AJ10" i="398"/>
  <c r="AI10" i="398"/>
  <c r="B10" i="398"/>
  <c r="A10" i="398"/>
  <c r="BK9" i="398"/>
  <c r="AU9" i="398"/>
  <c r="AT9" i="398"/>
  <c r="AS9" i="398"/>
  <c r="AR9" i="398"/>
  <c r="AK9" i="398"/>
  <c r="AJ9" i="398"/>
  <c r="AI9" i="398"/>
  <c r="B9" i="398"/>
  <c r="A9" i="398"/>
  <c r="BK8" i="398"/>
  <c r="AU8" i="398"/>
  <c r="AT8" i="398"/>
  <c r="AS8" i="398"/>
  <c r="AR8" i="398"/>
  <c r="AK8" i="398"/>
  <c r="AJ8" i="398"/>
  <c r="AI8" i="398"/>
  <c r="B8" i="398"/>
  <c r="A8" i="398"/>
  <c r="BK7" i="398"/>
  <c r="AU7" i="398"/>
  <c r="AT7" i="398"/>
  <c r="AS7" i="398"/>
  <c r="AR7" i="398"/>
  <c r="AK7" i="398"/>
  <c r="AJ7" i="398"/>
  <c r="AI7" i="398"/>
  <c r="B7" i="398"/>
  <c r="A7" i="398"/>
  <c r="BK6" i="398"/>
  <c r="AU6" i="398"/>
  <c r="AT6" i="398"/>
  <c r="AS6" i="398"/>
  <c r="AS18" i="398"/>
  <c r="AR6" i="398"/>
  <c r="AK6" i="398"/>
  <c r="AJ6" i="398"/>
  <c r="AJ18" i="398"/>
  <c r="AI6" i="398"/>
  <c r="B6" i="398"/>
  <c r="A6" i="398"/>
  <c r="AY5" i="398"/>
  <c r="AX5" i="398"/>
  <c r="C4" i="398"/>
  <c r="C5" i="398"/>
  <c r="AG3" i="398"/>
  <c r="AF3" i="398"/>
  <c r="AE3" i="398"/>
  <c r="AD3" i="398"/>
  <c r="AC3" i="398"/>
  <c r="AB3" i="398"/>
  <c r="AA3" i="398"/>
  <c r="Z3" i="398"/>
  <c r="Y3" i="398"/>
  <c r="X3" i="398"/>
  <c r="W3" i="398"/>
  <c r="V3" i="398"/>
  <c r="U3" i="398"/>
  <c r="T3" i="398"/>
  <c r="S3" i="398"/>
  <c r="R3" i="398"/>
  <c r="Q3" i="398"/>
  <c r="P3" i="398"/>
  <c r="O3" i="398"/>
  <c r="N3" i="398"/>
  <c r="M3" i="398"/>
  <c r="L3" i="398"/>
  <c r="K3" i="398"/>
  <c r="J3" i="398"/>
  <c r="I3" i="398"/>
  <c r="H3" i="398"/>
  <c r="G3" i="398"/>
  <c r="F3" i="398"/>
  <c r="E3" i="398"/>
  <c r="D3" i="398"/>
  <c r="C3" i="398"/>
  <c r="AG45" i="397"/>
  <c r="AF45" i="397"/>
  <c r="AE45" i="397"/>
  <c r="AD45" i="397"/>
  <c r="AC45" i="397"/>
  <c r="AB45" i="397"/>
  <c r="AA45" i="397"/>
  <c r="Z45" i="397"/>
  <c r="Y45" i="397"/>
  <c r="X45" i="397"/>
  <c r="W45" i="397"/>
  <c r="V45" i="397"/>
  <c r="U45" i="397"/>
  <c r="T45" i="397"/>
  <c r="S45" i="397"/>
  <c r="R45" i="397"/>
  <c r="Q45" i="397"/>
  <c r="P45" i="397"/>
  <c r="O45" i="397"/>
  <c r="N45" i="397"/>
  <c r="M45" i="397"/>
  <c r="L45" i="397"/>
  <c r="K45" i="397"/>
  <c r="J45" i="397"/>
  <c r="I45" i="397"/>
  <c r="H45" i="397"/>
  <c r="G45" i="397"/>
  <c r="F45" i="397"/>
  <c r="E45" i="397"/>
  <c r="D45" i="397"/>
  <c r="C45" i="397"/>
  <c r="AK40" i="397"/>
  <c r="AJ40" i="397"/>
  <c r="AI40" i="397"/>
  <c r="AK39" i="397"/>
  <c r="AJ39" i="397"/>
  <c r="AI39" i="397"/>
  <c r="AK38" i="397"/>
  <c r="AJ38" i="397"/>
  <c r="AI38" i="397"/>
  <c r="AK37" i="397"/>
  <c r="AJ37" i="397"/>
  <c r="AI37" i="397"/>
  <c r="AK36" i="397"/>
  <c r="AJ36" i="397"/>
  <c r="AI36" i="397"/>
  <c r="AK35" i="397"/>
  <c r="AJ35" i="397"/>
  <c r="AI35" i="397"/>
  <c r="AK34" i="397"/>
  <c r="AJ34" i="397"/>
  <c r="AI34" i="397"/>
  <c r="AK33" i="397"/>
  <c r="AJ33" i="397"/>
  <c r="AI33" i="397"/>
  <c r="AK32" i="397"/>
  <c r="AJ32" i="397"/>
  <c r="AI32" i="397"/>
  <c r="AK31" i="397"/>
  <c r="AK43" i="397"/>
  <c r="AJ31" i="397"/>
  <c r="AI31" i="397"/>
  <c r="C29" i="397"/>
  <c r="D29" i="397"/>
  <c r="E29" i="397"/>
  <c r="F29" i="397"/>
  <c r="AG22" i="397"/>
  <c r="AF22" i="397"/>
  <c r="AE22" i="397"/>
  <c r="AD22" i="397"/>
  <c r="AC22" i="397"/>
  <c r="AB22" i="397"/>
  <c r="AA22" i="397"/>
  <c r="Z22" i="397"/>
  <c r="Y22" i="397"/>
  <c r="X22" i="397"/>
  <c r="W22" i="397"/>
  <c r="V22" i="397"/>
  <c r="U22" i="397"/>
  <c r="T22" i="397"/>
  <c r="S22" i="397"/>
  <c r="R22" i="397"/>
  <c r="Q22" i="397"/>
  <c r="P22" i="397"/>
  <c r="O22" i="397"/>
  <c r="N22" i="397"/>
  <c r="M22" i="397"/>
  <c r="L22" i="397"/>
  <c r="K22" i="397"/>
  <c r="J22" i="397"/>
  <c r="I22" i="397"/>
  <c r="H22" i="397"/>
  <c r="G22" i="397"/>
  <c r="F22" i="397"/>
  <c r="E22" i="397"/>
  <c r="D22" i="397"/>
  <c r="C22" i="397"/>
  <c r="AG21" i="397"/>
  <c r="AF21" i="397"/>
  <c r="AE21" i="397"/>
  <c r="AD21" i="397"/>
  <c r="AC21" i="397"/>
  <c r="AB21" i="397"/>
  <c r="AA21" i="397"/>
  <c r="Z21" i="397"/>
  <c r="Y21" i="397"/>
  <c r="X21" i="397"/>
  <c r="W21" i="397"/>
  <c r="V21" i="397"/>
  <c r="U21" i="397"/>
  <c r="T21" i="397"/>
  <c r="S21" i="397"/>
  <c r="R21" i="397"/>
  <c r="Q21" i="397"/>
  <c r="P21" i="397"/>
  <c r="O21" i="397"/>
  <c r="N21" i="397"/>
  <c r="M21" i="397"/>
  <c r="L21" i="397"/>
  <c r="K21" i="397"/>
  <c r="J21" i="397"/>
  <c r="I21" i="397"/>
  <c r="H21" i="397"/>
  <c r="G21" i="397"/>
  <c r="F21" i="397"/>
  <c r="E21" i="397"/>
  <c r="D21" i="397"/>
  <c r="C21" i="397"/>
  <c r="AG20" i="397"/>
  <c r="AF20" i="397"/>
  <c r="AE20" i="397"/>
  <c r="AD20" i="397"/>
  <c r="AC20" i="397"/>
  <c r="AB20" i="397"/>
  <c r="AA20" i="397"/>
  <c r="Z20" i="397"/>
  <c r="Y20" i="397"/>
  <c r="X20" i="397"/>
  <c r="W20" i="397"/>
  <c r="V20" i="397"/>
  <c r="U20" i="397"/>
  <c r="T20" i="397"/>
  <c r="S20" i="397"/>
  <c r="R20" i="397"/>
  <c r="Q20" i="397"/>
  <c r="P20" i="397"/>
  <c r="O20" i="397"/>
  <c r="N20" i="397"/>
  <c r="M20" i="397"/>
  <c r="L20" i="397"/>
  <c r="K20" i="397"/>
  <c r="J20" i="397"/>
  <c r="I20" i="397"/>
  <c r="H20" i="397"/>
  <c r="G20" i="397"/>
  <c r="F20" i="397"/>
  <c r="E20" i="397"/>
  <c r="D20" i="397"/>
  <c r="C20" i="397"/>
  <c r="AG19" i="397"/>
  <c r="AF19" i="397"/>
  <c r="AE19" i="397"/>
  <c r="AD19" i="397"/>
  <c r="AC19" i="397"/>
  <c r="AB19" i="397"/>
  <c r="AA19" i="397"/>
  <c r="Z19" i="397"/>
  <c r="Y19" i="397"/>
  <c r="X19" i="397"/>
  <c r="W19" i="397"/>
  <c r="V19" i="397"/>
  <c r="U19" i="397"/>
  <c r="T19" i="397"/>
  <c r="S19" i="397"/>
  <c r="R19" i="397"/>
  <c r="Q19" i="397"/>
  <c r="P19" i="397"/>
  <c r="O19" i="397"/>
  <c r="N19" i="397"/>
  <c r="M19" i="397"/>
  <c r="L19" i="397"/>
  <c r="K19" i="397"/>
  <c r="J19" i="397"/>
  <c r="I19" i="397"/>
  <c r="H19" i="397"/>
  <c r="G19" i="397"/>
  <c r="F19" i="397"/>
  <c r="E19" i="397"/>
  <c r="D19" i="397"/>
  <c r="C19" i="397"/>
  <c r="BM18" i="397"/>
  <c r="BK18" i="397"/>
  <c r="BK17" i="397"/>
  <c r="AU17" i="397"/>
  <c r="AT17" i="397"/>
  <c r="AS17" i="397"/>
  <c r="AR17" i="397"/>
  <c r="AK17" i="397"/>
  <c r="AJ17" i="397"/>
  <c r="AI17" i="397"/>
  <c r="B17" i="397"/>
  <c r="A17" i="397"/>
  <c r="BK16" i="397"/>
  <c r="AU16" i="397"/>
  <c r="AT16" i="397"/>
  <c r="AS16" i="397"/>
  <c r="AR16" i="397"/>
  <c r="AK16" i="397"/>
  <c r="AJ16" i="397"/>
  <c r="AI16" i="397"/>
  <c r="A16" i="397"/>
  <c r="BK15" i="397"/>
  <c r="AU15" i="397"/>
  <c r="AT15" i="397"/>
  <c r="AS15" i="397"/>
  <c r="AR15" i="397"/>
  <c r="AK15" i="397"/>
  <c r="AJ15" i="397"/>
  <c r="AI15" i="397"/>
  <c r="B15" i="397"/>
  <c r="A15" i="397"/>
  <c r="BK14" i="397"/>
  <c r="AU14" i="397"/>
  <c r="AT14" i="397"/>
  <c r="AS14" i="397"/>
  <c r="AR14" i="397"/>
  <c r="AK14" i="397"/>
  <c r="AJ14" i="397"/>
  <c r="AI14" i="397"/>
  <c r="A14" i="397"/>
  <c r="BK13" i="397"/>
  <c r="AU13" i="397"/>
  <c r="AT13" i="397"/>
  <c r="AS13" i="397"/>
  <c r="AR13" i="397"/>
  <c r="AR18" i="397" s="1"/>
  <c r="AK13" i="397"/>
  <c r="AJ13" i="397"/>
  <c r="AI13" i="397"/>
  <c r="B13" i="397"/>
  <c r="A13" i="397"/>
  <c r="BK12" i="397"/>
  <c r="AU12" i="397"/>
  <c r="AT12" i="397"/>
  <c r="AS12" i="397"/>
  <c r="AR12" i="397"/>
  <c r="AK12" i="397"/>
  <c r="AJ12" i="397"/>
  <c r="AI12" i="397"/>
  <c r="B12" i="397"/>
  <c r="A12" i="397"/>
  <c r="BK11" i="397"/>
  <c r="AU11" i="397"/>
  <c r="AT11" i="397"/>
  <c r="AS11" i="397"/>
  <c r="AR11" i="397"/>
  <c r="AK11" i="397"/>
  <c r="AJ11" i="397"/>
  <c r="AI11" i="397"/>
  <c r="B11" i="397"/>
  <c r="A11" i="397"/>
  <c r="BK10" i="397"/>
  <c r="AU10" i="397"/>
  <c r="AT10" i="397"/>
  <c r="AS10" i="397"/>
  <c r="AR10" i="397"/>
  <c r="AK10" i="397"/>
  <c r="AJ10" i="397"/>
  <c r="AI10" i="397"/>
  <c r="B10" i="397"/>
  <c r="A10" i="397"/>
  <c r="BK9" i="397"/>
  <c r="AU9" i="397"/>
  <c r="AT9" i="397"/>
  <c r="AS9" i="397"/>
  <c r="AR9" i="397"/>
  <c r="AK9" i="397"/>
  <c r="AJ9" i="397"/>
  <c r="AI9" i="397"/>
  <c r="B9" i="397"/>
  <c r="A9" i="397"/>
  <c r="BK8" i="397"/>
  <c r="AU8" i="397"/>
  <c r="AT8" i="397"/>
  <c r="AS8" i="397"/>
  <c r="AR8" i="397"/>
  <c r="AK8" i="397"/>
  <c r="AJ8" i="397"/>
  <c r="AI8" i="397"/>
  <c r="B8" i="397"/>
  <c r="A8" i="397"/>
  <c r="BK7" i="397"/>
  <c r="AU7" i="397"/>
  <c r="AT7" i="397"/>
  <c r="AS7" i="397"/>
  <c r="AR7" i="397"/>
  <c r="AK7" i="397"/>
  <c r="AJ7" i="397"/>
  <c r="AI7" i="397"/>
  <c r="B7" i="397"/>
  <c r="A7" i="397"/>
  <c r="BK6" i="397"/>
  <c r="AU6" i="397"/>
  <c r="AT6" i="397"/>
  <c r="AS6" i="397"/>
  <c r="AR6" i="397"/>
  <c r="AK6" i="397"/>
  <c r="AK18" i="397"/>
  <c r="AJ6" i="397"/>
  <c r="AI6" i="397"/>
  <c r="B6" i="397"/>
  <c r="A6" i="397"/>
  <c r="AY5" i="397"/>
  <c r="AX5" i="397"/>
  <c r="C4" i="397"/>
  <c r="C5" i="397"/>
  <c r="C18" i="397"/>
  <c r="AG3" i="397"/>
  <c r="AF3" i="397"/>
  <c r="AE3" i="397"/>
  <c r="AD3" i="397"/>
  <c r="AC3" i="397"/>
  <c r="AB3" i="397"/>
  <c r="AA3" i="397"/>
  <c r="Z3" i="397"/>
  <c r="Y3" i="397"/>
  <c r="X3" i="397"/>
  <c r="W3" i="397"/>
  <c r="V3" i="397"/>
  <c r="U3" i="397"/>
  <c r="T3" i="397"/>
  <c r="S3" i="397"/>
  <c r="R3" i="397"/>
  <c r="Q3" i="397"/>
  <c r="P3" i="397"/>
  <c r="O3" i="397"/>
  <c r="N3" i="397"/>
  <c r="M3" i="397"/>
  <c r="L3" i="397"/>
  <c r="K3" i="397"/>
  <c r="J3" i="397"/>
  <c r="I3" i="397"/>
  <c r="H3" i="397"/>
  <c r="G3" i="397"/>
  <c r="F3" i="397"/>
  <c r="E3" i="397"/>
  <c r="D3" i="397"/>
  <c r="C3" i="397"/>
  <c r="AK40" i="396"/>
  <c r="AJ40" i="396"/>
  <c r="AI40" i="396"/>
  <c r="AK39" i="396"/>
  <c r="AJ39" i="396"/>
  <c r="AI39" i="396"/>
  <c r="AK38" i="396"/>
  <c r="AJ38" i="396"/>
  <c r="AI38" i="396"/>
  <c r="AK37" i="396"/>
  <c r="AJ37" i="396"/>
  <c r="AI37" i="396"/>
  <c r="AK36" i="396"/>
  <c r="AJ36" i="396"/>
  <c r="AI36" i="396"/>
  <c r="AK35" i="396"/>
  <c r="AJ35" i="396"/>
  <c r="AI35" i="396"/>
  <c r="AK34" i="396"/>
  <c r="AJ34" i="396"/>
  <c r="AI34" i="396"/>
  <c r="AK33" i="396"/>
  <c r="AJ33" i="396"/>
  <c r="AI33" i="396"/>
  <c r="AK32" i="396"/>
  <c r="AJ32" i="396"/>
  <c r="AI32" i="396"/>
  <c r="AK31" i="396"/>
  <c r="AJ31" i="396"/>
  <c r="AI31" i="396"/>
  <c r="C29" i="396"/>
  <c r="C30" i="396"/>
  <c r="C43" i="396"/>
  <c r="AG22" i="396"/>
  <c r="AF22" i="396"/>
  <c r="AE22" i="396"/>
  <c r="AD22" i="396"/>
  <c r="AC22" i="396"/>
  <c r="AB22" i="396"/>
  <c r="AA22" i="396"/>
  <c r="Z22" i="396"/>
  <c r="Y22" i="396"/>
  <c r="X22" i="396"/>
  <c r="W22" i="396"/>
  <c r="V22" i="396"/>
  <c r="U22" i="396"/>
  <c r="T22" i="396"/>
  <c r="S22" i="396"/>
  <c r="R22" i="396"/>
  <c r="Q22" i="396"/>
  <c r="P22" i="396"/>
  <c r="O22" i="396"/>
  <c r="N22" i="396"/>
  <c r="M22" i="396"/>
  <c r="L22" i="396"/>
  <c r="K22" i="396"/>
  <c r="J22" i="396"/>
  <c r="I22" i="396"/>
  <c r="H22" i="396"/>
  <c r="G22" i="396"/>
  <c r="F22" i="396"/>
  <c r="E22" i="396"/>
  <c r="D22" i="396"/>
  <c r="C22" i="396"/>
  <c r="AG21" i="396"/>
  <c r="AF21" i="396"/>
  <c r="AE21" i="396"/>
  <c r="AD21" i="396"/>
  <c r="AC21" i="396"/>
  <c r="AB21" i="396"/>
  <c r="Z21" i="396"/>
  <c r="Y21" i="396"/>
  <c r="X21" i="396"/>
  <c r="W21" i="396"/>
  <c r="V21" i="396"/>
  <c r="U21" i="396"/>
  <c r="T21" i="396"/>
  <c r="S21" i="396"/>
  <c r="R21" i="396"/>
  <c r="Q21" i="396"/>
  <c r="P21" i="396"/>
  <c r="O21" i="396"/>
  <c r="N21" i="396"/>
  <c r="M21" i="396"/>
  <c r="L21" i="396"/>
  <c r="K21" i="396"/>
  <c r="J21" i="396"/>
  <c r="I21" i="396"/>
  <c r="H21" i="396"/>
  <c r="G21" i="396"/>
  <c r="F21" i="396"/>
  <c r="E21" i="396"/>
  <c r="D21" i="396"/>
  <c r="C21" i="396"/>
  <c r="AG19" i="396"/>
  <c r="AF19" i="396"/>
  <c r="AE19" i="396"/>
  <c r="AD19" i="396"/>
  <c r="AC19" i="396"/>
  <c r="AB19" i="396"/>
  <c r="AA19" i="396"/>
  <c r="Z19" i="396"/>
  <c r="Y19" i="396"/>
  <c r="X19" i="396"/>
  <c r="W19" i="396"/>
  <c r="V19" i="396"/>
  <c r="U19" i="396"/>
  <c r="T19" i="396"/>
  <c r="S19" i="396"/>
  <c r="R19" i="396"/>
  <c r="Q19" i="396"/>
  <c r="P19" i="396"/>
  <c r="O19" i="396"/>
  <c r="N19" i="396"/>
  <c r="M19" i="396"/>
  <c r="L19" i="396"/>
  <c r="K19" i="396"/>
  <c r="J19" i="396"/>
  <c r="I19" i="396"/>
  <c r="H19" i="396"/>
  <c r="G19" i="396"/>
  <c r="F19" i="396"/>
  <c r="E19" i="396"/>
  <c r="D19" i="396"/>
  <c r="C19" i="396"/>
  <c r="BH2" i="396"/>
  <c r="BM18" i="396"/>
  <c r="BK18" i="396"/>
  <c r="BK17" i="396"/>
  <c r="AU17" i="396"/>
  <c r="AU18" i="396" s="1"/>
  <c r="AT17" i="396"/>
  <c r="AT18" i="396" s="1"/>
  <c r="AS17" i="396"/>
  <c r="AR17" i="396"/>
  <c r="AK17" i="396"/>
  <c r="AJ17" i="396"/>
  <c r="AI17" i="396"/>
  <c r="B17" i="396"/>
  <c r="A17" i="396"/>
  <c r="BK16" i="396"/>
  <c r="AU16" i="396"/>
  <c r="AT16" i="396"/>
  <c r="AS16" i="396"/>
  <c r="AR16" i="396"/>
  <c r="AK16" i="396"/>
  <c r="AJ16" i="396"/>
  <c r="AI16" i="396"/>
  <c r="B16" i="396"/>
  <c r="A16" i="396"/>
  <c r="BK15" i="396"/>
  <c r="AU15" i="396"/>
  <c r="AT15" i="396"/>
  <c r="AS15" i="396"/>
  <c r="AR15" i="396"/>
  <c r="AK15" i="396"/>
  <c r="AJ15" i="396"/>
  <c r="AI15" i="396"/>
  <c r="B15" i="396"/>
  <c r="A15" i="396"/>
  <c r="BK14" i="396"/>
  <c r="AU14" i="396"/>
  <c r="AT14" i="396"/>
  <c r="AS14" i="396"/>
  <c r="AR14" i="396"/>
  <c r="AK14" i="396"/>
  <c r="AJ14" i="396"/>
  <c r="AI14" i="396"/>
  <c r="B14" i="396"/>
  <c r="A14" i="396"/>
  <c r="BK13" i="396"/>
  <c r="AU13" i="396"/>
  <c r="AT13" i="396"/>
  <c r="AS13" i="396"/>
  <c r="AR13" i="396"/>
  <c r="AK13" i="396"/>
  <c r="AJ13" i="396"/>
  <c r="AI13" i="396"/>
  <c r="B13" i="396"/>
  <c r="A13" i="396"/>
  <c r="BK12" i="396"/>
  <c r="AU12" i="396"/>
  <c r="AT12" i="396"/>
  <c r="AS12" i="396"/>
  <c r="AR12" i="396"/>
  <c r="AK12" i="396"/>
  <c r="AJ12" i="396"/>
  <c r="AI12" i="396"/>
  <c r="B12" i="396"/>
  <c r="A12" i="396"/>
  <c r="BK11" i="396"/>
  <c r="AU11" i="396"/>
  <c r="AT11" i="396"/>
  <c r="AS11" i="396"/>
  <c r="AR11" i="396"/>
  <c r="AK11" i="396"/>
  <c r="AJ11" i="396"/>
  <c r="AJ18" i="396" s="1"/>
  <c r="AI11" i="396"/>
  <c r="B11" i="396"/>
  <c r="A11" i="396"/>
  <c r="BK10" i="396"/>
  <c r="AU10" i="396"/>
  <c r="AT10" i="396"/>
  <c r="AS10" i="396"/>
  <c r="AR10" i="396"/>
  <c r="AK10" i="396"/>
  <c r="AJ10" i="396"/>
  <c r="AI10" i="396"/>
  <c r="B10" i="396"/>
  <c r="A10" i="396"/>
  <c r="BK9" i="396"/>
  <c r="AU9" i="396"/>
  <c r="AT9" i="396"/>
  <c r="AS9" i="396"/>
  <c r="AR9" i="396"/>
  <c r="AK9" i="396"/>
  <c r="AJ9" i="396"/>
  <c r="AI9" i="396"/>
  <c r="B9" i="396"/>
  <c r="A9" i="396"/>
  <c r="BK8" i="396"/>
  <c r="AU8" i="396"/>
  <c r="AT8" i="396"/>
  <c r="AS8" i="396"/>
  <c r="AR8" i="396"/>
  <c r="AK8" i="396"/>
  <c r="AJ8" i="396"/>
  <c r="AI8" i="396"/>
  <c r="B8" i="396"/>
  <c r="A8" i="396"/>
  <c r="BK7" i="396"/>
  <c r="AU7" i="396"/>
  <c r="AT7" i="396"/>
  <c r="AS7" i="396"/>
  <c r="AR7" i="396"/>
  <c r="AK7" i="396"/>
  <c r="AJ7" i="396"/>
  <c r="AI7" i="396"/>
  <c r="B7" i="396"/>
  <c r="A7" i="396"/>
  <c r="BK6" i="396"/>
  <c r="AU6" i="396"/>
  <c r="AT6" i="396"/>
  <c r="AS6" i="396"/>
  <c r="AR6" i="396"/>
  <c r="AK6" i="396"/>
  <c r="AJ6" i="396"/>
  <c r="AI6" i="396"/>
  <c r="B6" i="396"/>
  <c r="A6" i="396"/>
  <c r="AY5" i="396"/>
  <c r="AX5" i="396"/>
  <c r="C4" i="396"/>
  <c r="AG3" i="396"/>
  <c r="AF3" i="396"/>
  <c r="AE3" i="396"/>
  <c r="AD3" i="396"/>
  <c r="AC3" i="396"/>
  <c r="AB3" i="396"/>
  <c r="AA3" i="396"/>
  <c r="Z3" i="396"/>
  <c r="Y3" i="396"/>
  <c r="X3" i="396"/>
  <c r="W3" i="396"/>
  <c r="V3" i="396"/>
  <c r="U3" i="396"/>
  <c r="T3" i="396"/>
  <c r="S3" i="396"/>
  <c r="R3" i="396"/>
  <c r="Q3" i="396"/>
  <c r="P3" i="396"/>
  <c r="O3" i="396"/>
  <c r="N3" i="396"/>
  <c r="M3" i="396"/>
  <c r="L3" i="396"/>
  <c r="K3" i="396"/>
  <c r="J3" i="396"/>
  <c r="I3" i="396"/>
  <c r="H3" i="396"/>
  <c r="G3" i="396"/>
  <c r="D3" i="396"/>
  <c r="C3" i="396"/>
  <c r="AG45" i="395"/>
  <c r="AF45" i="395"/>
  <c r="AE45" i="395"/>
  <c r="AD45" i="395"/>
  <c r="AC45" i="395"/>
  <c r="AB45" i="395"/>
  <c r="AA45" i="395"/>
  <c r="Z45" i="395"/>
  <c r="Y45" i="395"/>
  <c r="X45" i="395"/>
  <c r="W45" i="395"/>
  <c r="V45" i="395"/>
  <c r="U45" i="395"/>
  <c r="T45" i="395"/>
  <c r="S45" i="395"/>
  <c r="R45" i="395"/>
  <c r="Q45" i="395"/>
  <c r="P45" i="395"/>
  <c r="O45" i="395"/>
  <c r="N45" i="395"/>
  <c r="M45" i="395"/>
  <c r="L45" i="395"/>
  <c r="K45" i="395"/>
  <c r="J45" i="395"/>
  <c r="I45" i="395"/>
  <c r="H45" i="395"/>
  <c r="G45" i="395"/>
  <c r="F45" i="395"/>
  <c r="E45" i="395"/>
  <c r="D45" i="395"/>
  <c r="C45" i="395"/>
  <c r="AK40" i="395"/>
  <c r="AJ40" i="395"/>
  <c r="AI40" i="395"/>
  <c r="AK39" i="395"/>
  <c r="AJ39" i="395"/>
  <c r="AI39" i="395"/>
  <c r="AK38" i="395"/>
  <c r="AJ38" i="395"/>
  <c r="AI38" i="395"/>
  <c r="AK37" i="395"/>
  <c r="AJ37" i="395"/>
  <c r="AI37" i="395"/>
  <c r="AK36" i="395"/>
  <c r="AJ36" i="395"/>
  <c r="AI36" i="395"/>
  <c r="AK35" i="395"/>
  <c r="AJ35" i="395"/>
  <c r="AI35" i="395"/>
  <c r="AK34" i="395"/>
  <c r="AJ34" i="395"/>
  <c r="AI34" i="395"/>
  <c r="AK33" i="395"/>
  <c r="AJ33" i="395"/>
  <c r="AI33" i="395"/>
  <c r="AK32" i="395"/>
  <c r="AJ32" i="395"/>
  <c r="AJ43" i="395"/>
  <c r="AI32" i="395"/>
  <c r="AK31" i="395"/>
  <c r="AK43" i="395"/>
  <c r="AJ31" i="395"/>
  <c r="AI31" i="395"/>
  <c r="C29" i="395"/>
  <c r="C30" i="395"/>
  <c r="C43" i="395"/>
  <c r="AG22" i="395"/>
  <c r="AF22" i="395"/>
  <c r="AE22" i="395"/>
  <c r="AD22" i="395"/>
  <c r="AC22" i="395"/>
  <c r="AB22" i="395"/>
  <c r="AA22" i="395"/>
  <c r="Z22" i="395"/>
  <c r="Y22" i="395"/>
  <c r="X22" i="395"/>
  <c r="W22" i="395"/>
  <c r="V22" i="395"/>
  <c r="U22" i="395"/>
  <c r="T22" i="395"/>
  <c r="S22" i="395"/>
  <c r="R22" i="395"/>
  <c r="Q22" i="395"/>
  <c r="P22" i="395"/>
  <c r="O22" i="395"/>
  <c r="N22" i="395"/>
  <c r="M22" i="395"/>
  <c r="L22" i="395"/>
  <c r="K22" i="395"/>
  <c r="J22" i="395"/>
  <c r="I22" i="395"/>
  <c r="H22" i="395"/>
  <c r="G22" i="395"/>
  <c r="F22" i="395"/>
  <c r="E22" i="395"/>
  <c r="D22" i="395"/>
  <c r="C22" i="395"/>
  <c r="AG21" i="395"/>
  <c r="AF21" i="395"/>
  <c r="AE21" i="395"/>
  <c r="AD21" i="395"/>
  <c r="AC21" i="395"/>
  <c r="AB21" i="395"/>
  <c r="AA21" i="395"/>
  <c r="Z21" i="395"/>
  <c r="Y21" i="395"/>
  <c r="X21" i="395"/>
  <c r="W21" i="395"/>
  <c r="V21" i="395"/>
  <c r="U21" i="395"/>
  <c r="T21" i="395"/>
  <c r="S21" i="395"/>
  <c r="R21" i="395"/>
  <c r="Q21" i="395"/>
  <c r="P21" i="395"/>
  <c r="O21" i="395"/>
  <c r="N21" i="395"/>
  <c r="M21" i="395"/>
  <c r="L21" i="395"/>
  <c r="K21" i="395"/>
  <c r="J21" i="395"/>
  <c r="I21" i="395"/>
  <c r="H21" i="395"/>
  <c r="G21" i="395"/>
  <c r="F21" i="395"/>
  <c r="E21" i="395"/>
  <c r="D21" i="395"/>
  <c r="C21" i="395"/>
  <c r="AG20" i="395"/>
  <c r="AF20" i="395"/>
  <c r="AE20" i="395"/>
  <c r="AD20" i="395"/>
  <c r="AC20" i="395"/>
  <c r="AB20" i="395"/>
  <c r="AA20" i="395"/>
  <c r="Z20" i="395"/>
  <c r="Y20" i="395"/>
  <c r="X20" i="395"/>
  <c r="W20" i="395"/>
  <c r="V20" i="395"/>
  <c r="U20" i="395"/>
  <c r="T20" i="395"/>
  <c r="S20" i="395"/>
  <c r="R20" i="395"/>
  <c r="Q20" i="395"/>
  <c r="P20" i="395"/>
  <c r="O20" i="395"/>
  <c r="N20" i="395"/>
  <c r="M20" i="395"/>
  <c r="L20" i="395"/>
  <c r="K20" i="395"/>
  <c r="J20" i="395"/>
  <c r="I20" i="395"/>
  <c r="H20" i="395"/>
  <c r="G20" i="395"/>
  <c r="F20" i="395"/>
  <c r="E20" i="395"/>
  <c r="D20" i="395"/>
  <c r="C20" i="395"/>
  <c r="AG19" i="395"/>
  <c r="AF19" i="395"/>
  <c r="AE19" i="395"/>
  <c r="AD19" i="395"/>
  <c r="AC19" i="395"/>
  <c r="AB19" i="395"/>
  <c r="AA19" i="395"/>
  <c r="Z19" i="395"/>
  <c r="Y19" i="395"/>
  <c r="X19" i="395"/>
  <c r="W19" i="395"/>
  <c r="V19" i="395"/>
  <c r="U19" i="395"/>
  <c r="T19" i="395"/>
  <c r="S19" i="395"/>
  <c r="R19" i="395"/>
  <c r="Q19" i="395"/>
  <c r="P19" i="395"/>
  <c r="O19" i="395"/>
  <c r="N19" i="395"/>
  <c r="M19" i="395"/>
  <c r="L19" i="395"/>
  <c r="K19" i="395"/>
  <c r="J19" i="395"/>
  <c r="I19" i="395"/>
  <c r="H19" i="395"/>
  <c r="G19" i="395"/>
  <c r="F19" i="395"/>
  <c r="E19" i="395"/>
  <c r="D19" i="395"/>
  <c r="C19" i="395"/>
  <c r="BM18" i="395"/>
  <c r="BK18" i="395"/>
  <c r="BK17" i="395"/>
  <c r="AU17" i="395"/>
  <c r="AT17" i="395"/>
  <c r="AS17" i="395"/>
  <c r="AR17" i="395"/>
  <c r="AK17" i="395"/>
  <c r="AJ17" i="395"/>
  <c r="AI17" i="395"/>
  <c r="B17" i="395"/>
  <c r="A17" i="395"/>
  <c r="BK16" i="395"/>
  <c r="AU16" i="395"/>
  <c r="AT16" i="395"/>
  <c r="AS16" i="395"/>
  <c r="AR16" i="395"/>
  <c r="AK16" i="395"/>
  <c r="AJ16" i="395"/>
  <c r="AI16" i="395"/>
  <c r="B16" i="395"/>
  <c r="A16" i="395"/>
  <c r="BK15" i="395"/>
  <c r="AU15" i="395"/>
  <c r="AT15" i="395"/>
  <c r="AS15" i="395"/>
  <c r="AR15" i="395"/>
  <c r="AK15" i="395"/>
  <c r="AJ15" i="395"/>
  <c r="AI15" i="395"/>
  <c r="B15" i="395"/>
  <c r="A15" i="395"/>
  <c r="BK14" i="395"/>
  <c r="AU14" i="395"/>
  <c r="AT14" i="395"/>
  <c r="AS14" i="395"/>
  <c r="AR14" i="395"/>
  <c r="AK14" i="395"/>
  <c r="AJ14" i="395"/>
  <c r="AI14" i="395"/>
  <c r="B14" i="395"/>
  <c r="A14" i="395"/>
  <c r="BK13" i="395"/>
  <c r="AU13" i="395"/>
  <c r="AT13" i="395"/>
  <c r="AS13" i="395"/>
  <c r="AR13" i="395"/>
  <c r="AK13" i="395"/>
  <c r="AJ13" i="395"/>
  <c r="AI13" i="395"/>
  <c r="B13" i="395"/>
  <c r="A13" i="395"/>
  <c r="BK12" i="395"/>
  <c r="AU12" i="395"/>
  <c r="AT12" i="395"/>
  <c r="AS12" i="395"/>
  <c r="AR12" i="395"/>
  <c r="AK12" i="395"/>
  <c r="AK18" i="395"/>
  <c r="AJ12" i="395"/>
  <c r="AI12" i="395"/>
  <c r="B12" i="395"/>
  <c r="A12" i="395"/>
  <c r="BK11" i="395"/>
  <c r="AU11" i="395"/>
  <c r="AT11" i="395"/>
  <c r="AS11" i="395"/>
  <c r="AR11" i="395"/>
  <c r="AK11" i="395"/>
  <c r="AJ11" i="395"/>
  <c r="AI11" i="395"/>
  <c r="B11" i="395"/>
  <c r="A11" i="395"/>
  <c r="BK10" i="395"/>
  <c r="AU10" i="395"/>
  <c r="AT10" i="395"/>
  <c r="AS10" i="395"/>
  <c r="AR10" i="395"/>
  <c r="AK10" i="395"/>
  <c r="AJ10" i="395"/>
  <c r="AI10" i="395"/>
  <c r="B10" i="395"/>
  <c r="A10" i="395"/>
  <c r="BK9" i="395"/>
  <c r="AU9" i="395"/>
  <c r="AT9" i="395"/>
  <c r="AS9" i="395"/>
  <c r="AR9" i="395"/>
  <c r="AK9" i="395"/>
  <c r="AJ9" i="395"/>
  <c r="AI9" i="395"/>
  <c r="B9" i="395"/>
  <c r="A9" i="395"/>
  <c r="BK8" i="395"/>
  <c r="AU8" i="395"/>
  <c r="AT8" i="395"/>
  <c r="AS8" i="395"/>
  <c r="AR8" i="395"/>
  <c r="AK8" i="395"/>
  <c r="AJ8" i="395"/>
  <c r="AI8" i="395"/>
  <c r="B8" i="395"/>
  <c r="A8" i="395"/>
  <c r="BK7" i="395"/>
  <c r="AU7" i="395"/>
  <c r="AT7" i="395"/>
  <c r="AS7" i="395"/>
  <c r="AR7" i="395"/>
  <c r="AK7" i="395"/>
  <c r="AJ7" i="395"/>
  <c r="AI7" i="395"/>
  <c r="B7" i="395"/>
  <c r="A7" i="395"/>
  <c r="BK6" i="395"/>
  <c r="AU6" i="395"/>
  <c r="AT6" i="395"/>
  <c r="AS6" i="395"/>
  <c r="AS18" i="395"/>
  <c r="AR6" i="395"/>
  <c r="AK6" i="395"/>
  <c r="AJ6" i="395"/>
  <c r="AI6" i="395"/>
  <c r="B6" i="395"/>
  <c r="A6" i="395"/>
  <c r="AY5" i="395"/>
  <c r="AX5" i="395"/>
  <c r="BE3" i="395"/>
  <c r="C4" i="395"/>
  <c r="AG3" i="395"/>
  <c r="AF3" i="395"/>
  <c r="AE3" i="395"/>
  <c r="AD3" i="395"/>
  <c r="AC3" i="395"/>
  <c r="AB3" i="395"/>
  <c r="AA3" i="395"/>
  <c r="Z3" i="395"/>
  <c r="Y3" i="395"/>
  <c r="X3" i="395"/>
  <c r="W3" i="395"/>
  <c r="V3" i="395"/>
  <c r="U3" i="395"/>
  <c r="T3" i="395"/>
  <c r="S3" i="395"/>
  <c r="R3" i="395"/>
  <c r="Q3" i="395"/>
  <c r="P3" i="395"/>
  <c r="O3" i="395"/>
  <c r="N3" i="395"/>
  <c r="M3" i="395"/>
  <c r="L3" i="395"/>
  <c r="K3" i="395"/>
  <c r="J3" i="395"/>
  <c r="I3" i="395"/>
  <c r="H3" i="395"/>
  <c r="G3" i="395"/>
  <c r="F3" i="395"/>
  <c r="E3" i="395"/>
  <c r="D3" i="395"/>
  <c r="C3" i="395"/>
  <c r="AG45" i="394"/>
  <c r="AF45" i="394"/>
  <c r="AE45" i="394"/>
  <c r="AD45" i="394"/>
  <c r="AC45" i="394"/>
  <c r="AB45" i="394"/>
  <c r="AA45" i="394"/>
  <c r="Z45" i="394"/>
  <c r="Y45" i="394"/>
  <c r="X45" i="394"/>
  <c r="W45" i="394"/>
  <c r="V45" i="394"/>
  <c r="U45" i="394"/>
  <c r="T45" i="394"/>
  <c r="S45" i="394"/>
  <c r="R45" i="394"/>
  <c r="Q45" i="394"/>
  <c r="P45" i="394"/>
  <c r="O45" i="394"/>
  <c r="N45" i="394"/>
  <c r="M45" i="394"/>
  <c r="L45" i="394"/>
  <c r="K45" i="394"/>
  <c r="J45" i="394"/>
  <c r="I45" i="394"/>
  <c r="H45" i="394"/>
  <c r="G45" i="394"/>
  <c r="F45" i="394"/>
  <c r="E45" i="394"/>
  <c r="D45" i="394"/>
  <c r="C45" i="394"/>
  <c r="AK40" i="394"/>
  <c r="AJ40" i="394"/>
  <c r="AI40" i="394"/>
  <c r="AK39" i="394"/>
  <c r="AJ39" i="394"/>
  <c r="AI39" i="394"/>
  <c r="AK38" i="394"/>
  <c r="AJ38" i="394"/>
  <c r="AI38" i="394"/>
  <c r="AK37" i="394"/>
  <c r="AJ37" i="394"/>
  <c r="AI37" i="394"/>
  <c r="AK36" i="394"/>
  <c r="AJ36" i="394"/>
  <c r="AI36" i="394"/>
  <c r="AK35" i="394"/>
  <c r="AJ35" i="394"/>
  <c r="AI35" i="394"/>
  <c r="AK34" i="394"/>
  <c r="AJ34" i="394"/>
  <c r="AI34" i="394"/>
  <c r="AK33" i="394"/>
  <c r="AJ33" i="394"/>
  <c r="AI33" i="394"/>
  <c r="AK32" i="394"/>
  <c r="AJ32" i="394"/>
  <c r="AI32" i="394"/>
  <c r="AK31" i="394"/>
  <c r="AJ31" i="394"/>
  <c r="AI31" i="394"/>
  <c r="C29" i="394"/>
  <c r="D29" i="394"/>
  <c r="AG22" i="394"/>
  <c r="AF22" i="394"/>
  <c r="AE22" i="394"/>
  <c r="AD22" i="394"/>
  <c r="AC22" i="394"/>
  <c r="AB22" i="394"/>
  <c r="AA22" i="394"/>
  <c r="Z22" i="394"/>
  <c r="Y22" i="394"/>
  <c r="X22" i="394"/>
  <c r="W22" i="394"/>
  <c r="V22" i="394"/>
  <c r="U22" i="394"/>
  <c r="T22" i="394"/>
  <c r="S22" i="394"/>
  <c r="R22" i="394"/>
  <c r="Q22" i="394"/>
  <c r="P22" i="394"/>
  <c r="O22" i="394"/>
  <c r="N22" i="394"/>
  <c r="M22" i="394"/>
  <c r="L22" i="394"/>
  <c r="K22" i="394"/>
  <c r="J22" i="394"/>
  <c r="I22" i="394"/>
  <c r="H22" i="394"/>
  <c r="G22" i="394"/>
  <c r="F22" i="394"/>
  <c r="E22" i="394"/>
  <c r="D22" i="394"/>
  <c r="C22" i="394"/>
  <c r="AG21" i="394"/>
  <c r="AF21" i="394"/>
  <c r="AE21" i="394"/>
  <c r="AD21" i="394"/>
  <c r="AC21" i="394"/>
  <c r="AB21" i="394"/>
  <c r="AA21" i="394"/>
  <c r="Z21" i="394"/>
  <c r="Y21" i="394"/>
  <c r="X21" i="394"/>
  <c r="W21" i="394"/>
  <c r="V21" i="394"/>
  <c r="U21" i="394"/>
  <c r="T21" i="394"/>
  <c r="S21" i="394"/>
  <c r="R21" i="394"/>
  <c r="Q21" i="394"/>
  <c r="P21" i="394"/>
  <c r="O21" i="394"/>
  <c r="N21" i="394"/>
  <c r="M21" i="394"/>
  <c r="L21" i="394"/>
  <c r="K21" i="394"/>
  <c r="J21" i="394"/>
  <c r="I21" i="394"/>
  <c r="H21" i="394"/>
  <c r="G21" i="394"/>
  <c r="F21" i="394"/>
  <c r="E21" i="394"/>
  <c r="D21" i="394"/>
  <c r="C21" i="394"/>
  <c r="AG20" i="394"/>
  <c r="AF20" i="394"/>
  <c r="AE20" i="394"/>
  <c r="AD20" i="394"/>
  <c r="AC20" i="394"/>
  <c r="AB20" i="394"/>
  <c r="AA20" i="394"/>
  <c r="Z20" i="394"/>
  <c r="Y20" i="394"/>
  <c r="X20" i="394"/>
  <c r="W20" i="394"/>
  <c r="V20" i="394"/>
  <c r="U20" i="394"/>
  <c r="T20" i="394"/>
  <c r="S20" i="394"/>
  <c r="R20" i="394"/>
  <c r="Q20" i="394"/>
  <c r="P20" i="394"/>
  <c r="O20" i="394"/>
  <c r="N20" i="394"/>
  <c r="M20" i="394"/>
  <c r="L20" i="394"/>
  <c r="K20" i="394"/>
  <c r="J20" i="394"/>
  <c r="I20" i="394"/>
  <c r="H20" i="394"/>
  <c r="G20" i="394"/>
  <c r="F20" i="394"/>
  <c r="E20" i="394"/>
  <c r="D20" i="394"/>
  <c r="C20" i="394"/>
  <c r="AG19" i="394"/>
  <c r="AF19" i="394"/>
  <c r="AE19" i="394"/>
  <c r="AD19" i="394"/>
  <c r="AC19" i="394"/>
  <c r="AB19" i="394"/>
  <c r="AA19" i="394"/>
  <c r="Z19" i="394"/>
  <c r="Y19" i="394"/>
  <c r="X19" i="394"/>
  <c r="W19" i="394"/>
  <c r="V19" i="394"/>
  <c r="U19" i="394"/>
  <c r="T19" i="394"/>
  <c r="S19" i="394"/>
  <c r="R19" i="394"/>
  <c r="Q19" i="394"/>
  <c r="P19" i="394"/>
  <c r="O19" i="394"/>
  <c r="N19" i="394"/>
  <c r="M19" i="394"/>
  <c r="L19" i="394"/>
  <c r="K19" i="394"/>
  <c r="J19" i="394"/>
  <c r="I19" i="394"/>
  <c r="H19" i="394"/>
  <c r="G19" i="394"/>
  <c r="F19" i="394"/>
  <c r="E19" i="394"/>
  <c r="D19" i="394"/>
  <c r="C19" i="394"/>
  <c r="BM18" i="394"/>
  <c r="BK18" i="394"/>
  <c r="BK17" i="394"/>
  <c r="AU17" i="394"/>
  <c r="AT17" i="394"/>
  <c r="AS17" i="394"/>
  <c r="AR17" i="394"/>
  <c r="AK17" i="394"/>
  <c r="AJ17" i="394"/>
  <c r="AI17" i="394"/>
  <c r="B17" i="394"/>
  <c r="A17" i="394"/>
  <c r="BK16" i="394"/>
  <c r="AU16" i="394"/>
  <c r="AT16" i="394"/>
  <c r="AS16" i="394"/>
  <c r="AR16" i="394"/>
  <c r="AK16" i="394"/>
  <c r="AJ16" i="394"/>
  <c r="AI16" i="394"/>
  <c r="B16" i="394"/>
  <c r="A16" i="394"/>
  <c r="BK15" i="394"/>
  <c r="AU15" i="394"/>
  <c r="AT15" i="394"/>
  <c r="AS15" i="394"/>
  <c r="AR15" i="394"/>
  <c r="AK15" i="394"/>
  <c r="AJ15" i="394"/>
  <c r="AI15" i="394"/>
  <c r="B15" i="394"/>
  <c r="A15" i="394"/>
  <c r="BK14" i="394"/>
  <c r="AU14" i="394"/>
  <c r="AT14" i="394"/>
  <c r="AS14" i="394"/>
  <c r="AR14" i="394"/>
  <c r="AK14" i="394"/>
  <c r="AJ14" i="394"/>
  <c r="AI14" i="394"/>
  <c r="B14" i="394"/>
  <c r="A14" i="394"/>
  <c r="BK13" i="394"/>
  <c r="AU13" i="394"/>
  <c r="AT13" i="394"/>
  <c r="AS13" i="394"/>
  <c r="AR13" i="394"/>
  <c r="AR18" i="394"/>
  <c r="AK13" i="394"/>
  <c r="AJ13" i="394"/>
  <c r="AI13" i="394"/>
  <c r="A13" i="394"/>
  <c r="BK12" i="394"/>
  <c r="AU12" i="394"/>
  <c r="AT12" i="394"/>
  <c r="AS12" i="394"/>
  <c r="AR12" i="394"/>
  <c r="AK12" i="394"/>
  <c r="AJ12" i="394"/>
  <c r="AI12" i="394"/>
  <c r="B12" i="394"/>
  <c r="A12" i="394"/>
  <c r="BK11" i="394"/>
  <c r="AU11" i="394"/>
  <c r="AT11" i="394"/>
  <c r="AS11" i="394"/>
  <c r="AR11" i="394"/>
  <c r="AK11" i="394"/>
  <c r="AJ11" i="394"/>
  <c r="AI11" i="394"/>
  <c r="B11" i="394"/>
  <c r="A11" i="394"/>
  <c r="BK10" i="394"/>
  <c r="AU10" i="394"/>
  <c r="AT10" i="394"/>
  <c r="AS10" i="394"/>
  <c r="AR10" i="394"/>
  <c r="AK10" i="394"/>
  <c r="AJ10" i="394"/>
  <c r="AI10" i="394"/>
  <c r="B10" i="394"/>
  <c r="A10" i="394"/>
  <c r="BK9" i="394"/>
  <c r="AU9" i="394"/>
  <c r="AT9" i="394"/>
  <c r="AS9" i="394"/>
  <c r="AR9" i="394"/>
  <c r="AK9" i="394"/>
  <c r="AJ9" i="394"/>
  <c r="AI9" i="394"/>
  <c r="B9" i="394"/>
  <c r="A9" i="394"/>
  <c r="BK8" i="394"/>
  <c r="AU8" i="394"/>
  <c r="AT8" i="394"/>
  <c r="AS8" i="394"/>
  <c r="AR8" i="394"/>
  <c r="AK8" i="394"/>
  <c r="AJ8" i="394"/>
  <c r="AI8" i="394"/>
  <c r="B8" i="394"/>
  <c r="A8" i="394"/>
  <c r="BK7" i="394"/>
  <c r="AU7" i="394"/>
  <c r="AT7" i="394"/>
  <c r="AS7" i="394"/>
  <c r="AR7" i="394"/>
  <c r="AK7" i="394"/>
  <c r="AJ7" i="394"/>
  <c r="AI7" i="394"/>
  <c r="B7" i="394"/>
  <c r="A7" i="394"/>
  <c r="BK6" i="394"/>
  <c r="AU6" i="394"/>
  <c r="AT6" i="394"/>
  <c r="AS6" i="394"/>
  <c r="AR6" i="394"/>
  <c r="AK6" i="394"/>
  <c r="AJ6" i="394"/>
  <c r="AJ18" i="394"/>
  <c r="AI6" i="394"/>
  <c r="B6" i="394"/>
  <c r="A6" i="394"/>
  <c r="AY5" i="394"/>
  <c r="AX5" i="394"/>
  <c r="C4" i="394"/>
  <c r="C5" i="394"/>
  <c r="C18" i="394"/>
  <c r="AG3" i="394"/>
  <c r="AF3" i="394"/>
  <c r="AE3" i="394"/>
  <c r="AD3" i="394"/>
  <c r="AC3" i="394"/>
  <c r="AB3" i="394"/>
  <c r="AA3" i="394"/>
  <c r="Z3" i="394"/>
  <c r="Y3" i="394"/>
  <c r="X3" i="394"/>
  <c r="W3" i="394"/>
  <c r="V3" i="394"/>
  <c r="U3" i="394"/>
  <c r="T3" i="394"/>
  <c r="S3" i="394"/>
  <c r="R3" i="394"/>
  <c r="Q3" i="394"/>
  <c r="P3" i="394"/>
  <c r="O3" i="394"/>
  <c r="N3" i="394"/>
  <c r="M3" i="394"/>
  <c r="L3" i="394"/>
  <c r="K3" i="394"/>
  <c r="J3" i="394"/>
  <c r="I3" i="394"/>
  <c r="H3" i="394"/>
  <c r="G3" i="394"/>
  <c r="F3" i="394"/>
  <c r="E3" i="394"/>
  <c r="D3" i="394"/>
  <c r="C3" i="394"/>
  <c r="D19" i="392"/>
  <c r="E19" i="392"/>
  <c r="F19" i="392"/>
  <c r="G19" i="392"/>
  <c r="H19" i="392"/>
  <c r="I19" i="392"/>
  <c r="J19" i="392"/>
  <c r="K19" i="392"/>
  <c r="L19" i="392"/>
  <c r="M19" i="392"/>
  <c r="N19" i="392"/>
  <c r="O19" i="392"/>
  <c r="P19" i="392"/>
  <c r="Q19" i="392"/>
  <c r="R19" i="392"/>
  <c r="S19" i="392"/>
  <c r="T19" i="392"/>
  <c r="U19" i="392"/>
  <c r="V19" i="392"/>
  <c r="W19" i="392"/>
  <c r="X19" i="392"/>
  <c r="Y19" i="392"/>
  <c r="Z19" i="392"/>
  <c r="AA19" i="392"/>
  <c r="AB19" i="392"/>
  <c r="AC19" i="392"/>
  <c r="AD19" i="392"/>
  <c r="AE19" i="392"/>
  <c r="AF19" i="392"/>
  <c r="AG19" i="392"/>
  <c r="C19" i="392"/>
  <c r="D3" i="392"/>
  <c r="E3" i="392"/>
  <c r="F3" i="392"/>
  <c r="G3" i="392"/>
  <c r="H3" i="392"/>
  <c r="I3" i="392"/>
  <c r="J3" i="392"/>
  <c r="K3" i="392"/>
  <c r="L3" i="392"/>
  <c r="M3" i="392"/>
  <c r="N3" i="392"/>
  <c r="O3" i="392"/>
  <c r="P3" i="392"/>
  <c r="Q3" i="392"/>
  <c r="R3" i="392"/>
  <c r="S3" i="392"/>
  <c r="T3" i="392"/>
  <c r="U3" i="392"/>
  <c r="V3" i="392"/>
  <c r="W3" i="392"/>
  <c r="X3" i="392"/>
  <c r="Y3" i="392"/>
  <c r="Z3" i="392"/>
  <c r="AA3" i="392"/>
  <c r="AB3" i="392"/>
  <c r="AC3" i="392"/>
  <c r="AD3" i="392"/>
  <c r="AE3" i="392"/>
  <c r="AF3" i="392"/>
  <c r="C3" i="392"/>
  <c r="AG3" i="392"/>
  <c r="AG45" i="392"/>
  <c r="AF45" i="392"/>
  <c r="AE45" i="392"/>
  <c r="AD45" i="392"/>
  <c r="AC45" i="392"/>
  <c r="AB45" i="392"/>
  <c r="AA45" i="392"/>
  <c r="Z45" i="392"/>
  <c r="Y45" i="392"/>
  <c r="X45" i="392"/>
  <c r="W45" i="392"/>
  <c r="V45" i="392"/>
  <c r="U45" i="392"/>
  <c r="T45" i="392"/>
  <c r="S45" i="392"/>
  <c r="R45" i="392"/>
  <c r="Q45" i="392"/>
  <c r="P45" i="392"/>
  <c r="O45" i="392"/>
  <c r="N45" i="392"/>
  <c r="M45" i="392"/>
  <c r="L45" i="392"/>
  <c r="K45" i="392"/>
  <c r="J45" i="392"/>
  <c r="I45" i="392"/>
  <c r="H45" i="392"/>
  <c r="G45" i="392"/>
  <c r="F45" i="392"/>
  <c r="E45" i="392"/>
  <c r="D45" i="392"/>
  <c r="C45" i="392"/>
  <c r="AK40" i="392"/>
  <c r="AJ40" i="392"/>
  <c r="AI40" i="392"/>
  <c r="AK39" i="392"/>
  <c r="AJ39" i="392"/>
  <c r="AI39" i="392"/>
  <c r="AK38" i="392"/>
  <c r="AJ38" i="392"/>
  <c r="AI38" i="392"/>
  <c r="AK37" i="392"/>
  <c r="AJ37" i="392"/>
  <c r="AI37" i="392"/>
  <c r="AK36" i="392"/>
  <c r="AJ36" i="392"/>
  <c r="AI36" i="392"/>
  <c r="AK35" i="392"/>
  <c r="AJ35" i="392"/>
  <c r="AI35" i="392"/>
  <c r="AK34" i="392"/>
  <c r="AJ34" i="392"/>
  <c r="AI34" i="392"/>
  <c r="AK33" i="392"/>
  <c r="AJ33" i="392"/>
  <c r="AI33" i="392"/>
  <c r="AK32" i="392"/>
  <c r="AJ32" i="392"/>
  <c r="AI32" i="392"/>
  <c r="AK31" i="392"/>
  <c r="AK43" i="392"/>
  <c r="AJ31" i="392"/>
  <c r="AI31" i="392"/>
  <c r="AI43" i="392"/>
  <c r="C29" i="392"/>
  <c r="C30" i="392"/>
  <c r="C43" i="392"/>
  <c r="AG22" i="392"/>
  <c r="AF22" i="392"/>
  <c r="AE22" i="392"/>
  <c r="AD22" i="392"/>
  <c r="AC22" i="392"/>
  <c r="AB22" i="392"/>
  <c r="AA22" i="392"/>
  <c r="Z22" i="392"/>
  <c r="Y22" i="392"/>
  <c r="X22" i="392"/>
  <c r="W22" i="392"/>
  <c r="V22" i="392"/>
  <c r="U22" i="392"/>
  <c r="T22" i="392"/>
  <c r="S22" i="392"/>
  <c r="R22" i="392"/>
  <c r="Q22" i="392"/>
  <c r="P22" i="392"/>
  <c r="O22" i="392"/>
  <c r="N22" i="392"/>
  <c r="M22" i="392"/>
  <c r="L22" i="392"/>
  <c r="K22" i="392"/>
  <c r="J22" i="392"/>
  <c r="I22" i="392"/>
  <c r="H22" i="392"/>
  <c r="G22" i="392"/>
  <c r="F22" i="392"/>
  <c r="E22" i="392"/>
  <c r="D22" i="392"/>
  <c r="C22" i="392"/>
  <c r="AG21" i="392"/>
  <c r="AF21" i="392"/>
  <c r="AE21" i="392"/>
  <c r="AD21" i="392"/>
  <c r="AC21" i="392"/>
  <c r="AB21" i="392"/>
  <c r="AA21" i="392"/>
  <c r="Z21" i="392"/>
  <c r="Y21" i="392"/>
  <c r="X21" i="392"/>
  <c r="W21" i="392"/>
  <c r="V21" i="392"/>
  <c r="U21" i="392"/>
  <c r="T21" i="392"/>
  <c r="S21" i="392"/>
  <c r="R21" i="392"/>
  <c r="Q21" i="392"/>
  <c r="P21" i="392"/>
  <c r="O21" i="392"/>
  <c r="N21" i="392"/>
  <c r="M21" i="392"/>
  <c r="L21" i="392"/>
  <c r="K21" i="392"/>
  <c r="J21" i="392"/>
  <c r="I21" i="392"/>
  <c r="H21" i="392"/>
  <c r="G21" i="392"/>
  <c r="F21" i="392"/>
  <c r="E21" i="392"/>
  <c r="D21" i="392"/>
  <c r="C21" i="392"/>
  <c r="AG20" i="392"/>
  <c r="AF20" i="392"/>
  <c r="AE20" i="392"/>
  <c r="AD20" i="392"/>
  <c r="AC20" i="392"/>
  <c r="AB20" i="392"/>
  <c r="AA20" i="392"/>
  <c r="Z20" i="392"/>
  <c r="Y20" i="392"/>
  <c r="X20" i="392"/>
  <c r="W20" i="392"/>
  <c r="V20" i="392"/>
  <c r="U20" i="392"/>
  <c r="T20" i="392"/>
  <c r="S20" i="392"/>
  <c r="R20" i="392"/>
  <c r="Q20" i="392"/>
  <c r="P20" i="392"/>
  <c r="O20" i="392"/>
  <c r="N20" i="392"/>
  <c r="M20" i="392"/>
  <c r="L20" i="392"/>
  <c r="K20" i="392"/>
  <c r="J20" i="392"/>
  <c r="I20" i="392"/>
  <c r="H20" i="392"/>
  <c r="G20" i="392"/>
  <c r="F20" i="392"/>
  <c r="E20" i="392"/>
  <c r="D20" i="392"/>
  <c r="C20" i="392"/>
  <c r="BM18" i="392"/>
  <c r="BK18" i="392"/>
  <c r="BK17" i="392"/>
  <c r="AU17" i="392"/>
  <c r="AT17" i="392"/>
  <c r="AS17" i="392"/>
  <c r="AR17" i="392"/>
  <c r="AK17" i="392"/>
  <c r="AJ17" i="392"/>
  <c r="AI17" i="392"/>
  <c r="B17" i="392"/>
  <c r="A17" i="392"/>
  <c r="BK16" i="392"/>
  <c r="AU16" i="392"/>
  <c r="AT16" i="392"/>
  <c r="AS16" i="392"/>
  <c r="AR16" i="392"/>
  <c r="AK16" i="392"/>
  <c r="AJ16" i="392"/>
  <c r="AI16" i="392"/>
  <c r="B16" i="392"/>
  <c r="A16" i="392"/>
  <c r="BK15" i="392"/>
  <c r="AU15" i="392"/>
  <c r="AT15" i="392"/>
  <c r="AS15" i="392"/>
  <c r="AR15" i="392"/>
  <c r="AK15" i="392"/>
  <c r="AJ15" i="392"/>
  <c r="AI15" i="392"/>
  <c r="B15" i="392"/>
  <c r="A15" i="392"/>
  <c r="BK14" i="392"/>
  <c r="AU14" i="392"/>
  <c r="AT14" i="392"/>
  <c r="AS14" i="392"/>
  <c r="AR14" i="392"/>
  <c r="AK14" i="392"/>
  <c r="AJ14" i="392"/>
  <c r="AI14" i="392"/>
  <c r="B14" i="392"/>
  <c r="A14" i="392"/>
  <c r="BK13" i="392"/>
  <c r="AU13" i="392"/>
  <c r="AT13" i="392"/>
  <c r="AS13" i="392"/>
  <c r="AR13" i="392"/>
  <c r="AK13" i="392"/>
  <c r="AJ13" i="392"/>
  <c r="AI13" i="392"/>
  <c r="B13" i="392"/>
  <c r="A13" i="392"/>
  <c r="BK12" i="392"/>
  <c r="AU12" i="392"/>
  <c r="AT12" i="392"/>
  <c r="AS12" i="392"/>
  <c r="AR12" i="392"/>
  <c r="AK12" i="392"/>
  <c r="AJ12" i="392"/>
  <c r="AI12" i="392"/>
  <c r="B12" i="392"/>
  <c r="A12" i="392"/>
  <c r="BK11" i="392"/>
  <c r="AU11" i="392"/>
  <c r="AT11" i="392"/>
  <c r="AS11" i="392"/>
  <c r="AR11" i="392"/>
  <c r="AK11" i="392"/>
  <c r="AJ11" i="392"/>
  <c r="AI11" i="392"/>
  <c r="B11" i="392"/>
  <c r="A11" i="392"/>
  <c r="BK10" i="392"/>
  <c r="AU10" i="392"/>
  <c r="AT10" i="392"/>
  <c r="AS10" i="392"/>
  <c r="AR10" i="392"/>
  <c r="AK10" i="392"/>
  <c r="AJ10" i="392"/>
  <c r="AI10" i="392"/>
  <c r="B10" i="392"/>
  <c r="A10" i="392"/>
  <c r="BK9" i="392"/>
  <c r="AU9" i="392"/>
  <c r="AT9" i="392"/>
  <c r="AS9" i="392"/>
  <c r="AR9" i="392"/>
  <c r="AK9" i="392"/>
  <c r="AJ9" i="392"/>
  <c r="AI9" i="392"/>
  <c r="B9" i="392"/>
  <c r="A9" i="392"/>
  <c r="BK8" i="392"/>
  <c r="AU8" i="392"/>
  <c r="AU18" i="392"/>
  <c r="AS8" i="392"/>
  <c r="AR8" i="392"/>
  <c r="AK8" i="392"/>
  <c r="AJ8" i="392"/>
  <c r="AI8" i="392"/>
  <c r="B8" i="392"/>
  <c r="A8" i="392"/>
  <c r="BK7" i="392"/>
  <c r="AU7" i="392"/>
  <c r="AS7" i="392"/>
  <c r="AR7" i="392"/>
  <c r="AK7" i="392"/>
  <c r="AJ7" i="392"/>
  <c r="AI7" i="392"/>
  <c r="B7" i="392"/>
  <c r="A7" i="392"/>
  <c r="BK6" i="392"/>
  <c r="AU6" i="392"/>
  <c r="AT6" i="392"/>
  <c r="AS6" i="392"/>
  <c r="AS18" i="392"/>
  <c r="AR6" i="392"/>
  <c r="AK6" i="392"/>
  <c r="AK18" i="392"/>
  <c r="AJ6" i="392"/>
  <c r="AI6" i="392"/>
  <c r="B6" i="392"/>
  <c r="A6" i="392"/>
  <c r="AY5" i="392"/>
  <c r="AX5" i="392"/>
  <c r="C4" i="392"/>
  <c r="BC2" i="392"/>
  <c r="D22" i="391"/>
  <c r="E22" i="391"/>
  <c r="F22" i="391"/>
  <c r="G22" i="391"/>
  <c r="H22" i="391"/>
  <c r="I22" i="391"/>
  <c r="J22" i="391"/>
  <c r="K22" i="391"/>
  <c r="L22" i="391"/>
  <c r="M22" i="391"/>
  <c r="N22" i="391"/>
  <c r="O22" i="391"/>
  <c r="P22" i="391"/>
  <c r="Q22" i="391"/>
  <c r="R22" i="391"/>
  <c r="S22" i="391"/>
  <c r="T22" i="391"/>
  <c r="U22" i="391"/>
  <c r="V22" i="391"/>
  <c r="W22" i="391"/>
  <c r="X22" i="391"/>
  <c r="Y22" i="391"/>
  <c r="Z22" i="391"/>
  <c r="AA22" i="391"/>
  <c r="AB22" i="391"/>
  <c r="AC22" i="391"/>
  <c r="AD22" i="391"/>
  <c r="AE22" i="391"/>
  <c r="AF22" i="391"/>
  <c r="AG22" i="391"/>
  <c r="C22" i="391"/>
  <c r="D21" i="391"/>
  <c r="E21" i="391"/>
  <c r="F21" i="391"/>
  <c r="G21" i="391"/>
  <c r="H21" i="391"/>
  <c r="I21" i="391"/>
  <c r="J21" i="391"/>
  <c r="K21" i="391"/>
  <c r="L21" i="391"/>
  <c r="M21" i="391"/>
  <c r="N21" i="391"/>
  <c r="O21" i="391"/>
  <c r="P21" i="391"/>
  <c r="Q21" i="391"/>
  <c r="R21" i="391"/>
  <c r="S21" i="391"/>
  <c r="T21" i="391"/>
  <c r="U21" i="391"/>
  <c r="V21" i="391"/>
  <c r="W21" i="391"/>
  <c r="X21" i="391"/>
  <c r="Y21" i="391"/>
  <c r="Z21" i="391"/>
  <c r="AA21" i="391"/>
  <c r="AB21" i="391"/>
  <c r="AC21" i="391"/>
  <c r="AD21" i="391"/>
  <c r="AE21" i="391"/>
  <c r="AF21" i="391"/>
  <c r="AG21" i="391"/>
  <c r="C21" i="391"/>
  <c r="AI9" i="391"/>
  <c r="AI10" i="391"/>
  <c r="AI11" i="391"/>
  <c r="AI12" i="391"/>
  <c r="AI13" i="391"/>
  <c r="AI14" i="391"/>
  <c r="AI15" i="391"/>
  <c r="AI6" i="391"/>
  <c r="AI7" i="391"/>
  <c r="AI8" i="391"/>
  <c r="AI16" i="391"/>
  <c r="AI17" i="391"/>
  <c r="BM18" i="391"/>
  <c r="BK18" i="391"/>
  <c r="BH2" i="391"/>
  <c r="D45" i="391"/>
  <c r="E45" i="391"/>
  <c r="F45" i="391"/>
  <c r="G45" i="391"/>
  <c r="H45" i="391"/>
  <c r="I45" i="391"/>
  <c r="J45" i="391"/>
  <c r="K45" i="391"/>
  <c r="L45" i="391"/>
  <c r="M45" i="391"/>
  <c r="N45" i="391"/>
  <c r="O45" i="391"/>
  <c r="P45" i="391"/>
  <c r="Q45" i="391"/>
  <c r="R45" i="391"/>
  <c r="S45" i="391"/>
  <c r="T45" i="391"/>
  <c r="U45" i="391"/>
  <c r="V45" i="391"/>
  <c r="W45" i="391"/>
  <c r="X45" i="391"/>
  <c r="Y45" i="391"/>
  <c r="Z45" i="391"/>
  <c r="AA45" i="391"/>
  <c r="AB45" i="391"/>
  <c r="AC45" i="391"/>
  <c r="AD45" i="391"/>
  <c r="AE45" i="391"/>
  <c r="AF45" i="391"/>
  <c r="AG45" i="391"/>
  <c r="C45" i="391"/>
  <c r="D20" i="391"/>
  <c r="E20" i="391"/>
  <c r="F20" i="391"/>
  <c r="G20" i="391"/>
  <c r="H20" i="391"/>
  <c r="I20" i="391"/>
  <c r="J20" i="391"/>
  <c r="K20" i="391"/>
  <c r="L20" i="391"/>
  <c r="M20" i="391"/>
  <c r="N20" i="391"/>
  <c r="O20" i="391"/>
  <c r="P20" i="391"/>
  <c r="Q20" i="391"/>
  <c r="R20" i="391"/>
  <c r="S20" i="391"/>
  <c r="T20" i="391"/>
  <c r="U20" i="391"/>
  <c r="V20" i="391"/>
  <c r="W20" i="391"/>
  <c r="X20" i="391"/>
  <c r="Y20" i="391"/>
  <c r="Z20" i="391"/>
  <c r="AA20" i="391"/>
  <c r="AB20" i="391"/>
  <c r="AC20" i="391"/>
  <c r="AD20" i="391"/>
  <c r="AE20" i="391"/>
  <c r="AF20" i="391"/>
  <c r="AG20" i="391"/>
  <c r="C20" i="391"/>
  <c r="AU7" i="391"/>
  <c r="AU8" i="391"/>
  <c r="AU9" i="391"/>
  <c r="AU10" i="391"/>
  <c r="AU11" i="391"/>
  <c r="AU12" i="391"/>
  <c r="AU13" i="391"/>
  <c r="AU14" i="391"/>
  <c r="AU15" i="391"/>
  <c r="AU16" i="391"/>
  <c r="AU17" i="391"/>
  <c r="AT7" i="391"/>
  <c r="AT8" i="391"/>
  <c r="AT9" i="391"/>
  <c r="AT10" i="391"/>
  <c r="AT11" i="391"/>
  <c r="AT12" i="391"/>
  <c r="AT13" i="391"/>
  <c r="AT14" i="391"/>
  <c r="AT15" i="391"/>
  <c r="AT16" i="391"/>
  <c r="AT17" i="391"/>
  <c r="AS7" i="391"/>
  <c r="AS8" i="391"/>
  <c r="AS9" i="391"/>
  <c r="AS10" i="391"/>
  <c r="AS11" i="391"/>
  <c r="AS12" i="391"/>
  <c r="AS13" i="391"/>
  <c r="AS14" i="391"/>
  <c r="AS15" i="391"/>
  <c r="AS16" i="391"/>
  <c r="AS17" i="391"/>
  <c r="AK7" i="391"/>
  <c r="AK8" i="391"/>
  <c r="AK9" i="391"/>
  <c r="AK10" i="391"/>
  <c r="AK11" i="391"/>
  <c r="AK12" i="391"/>
  <c r="AK13" i="391"/>
  <c r="AK14" i="391"/>
  <c r="AK15" i="391"/>
  <c r="AK16" i="391"/>
  <c r="AK17" i="391"/>
  <c r="AJ7" i="391"/>
  <c r="AJ8" i="391"/>
  <c r="AJ9" i="391"/>
  <c r="AJ10" i="391"/>
  <c r="AJ11" i="391"/>
  <c r="AJ12" i="391"/>
  <c r="AJ13" i="391"/>
  <c r="AJ14" i="391"/>
  <c r="AJ15" i="391"/>
  <c r="AJ16" i="391"/>
  <c r="AJ17" i="391"/>
  <c r="B7" i="391"/>
  <c r="B8" i="391"/>
  <c r="B9" i="391"/>
  <c r="B10" i="391"/>
  <c r="B11" i="391"/>
  <c r="B12" i="391"/>
  <c r="B13" i="391"/>
  <c r="B14" i="391"/>
  <c r="B15" i="391"/>
  <c r="B16" i="391"/>
  <c r="B17" i="391"/>
  <c r="B6" i="391"/>
  <c r="BK7" i="391"/>
  <c r="BK8" i="391"/>
  <c r="BK9" i="391"/>
  <c r="BK10" i="391"/>
  <c r="BK11" i="391"/>
  <c r="BK12" i="391"/>
  <c r="BK13" i="391"/>
  <c r="BK14" i="391"/>
  <c r="BK15" i="391"/>
  <c r="BK16" i="391"/>
  <c r="BK17" i="391"/>
  <c r="BK6" i="391"/>
  <c r="A8" i="391"/>
  <c r="A9" i="391"/>
  <c r="A10" i="391"/>
  <c r="A11" i="391"/>
  <c r="A12" i="391"/>
  <c r="A13" i="391"/>
  <c r="A14" i="391"/>
  <c r="A15" i="391"/>
  <c r="A16" i="391"/>
  <c r="A17" i="391"/>
  <c r="A7" i="391"/>
  <c r="A6" i="391"/>
  <c r="C4" i="391"/>
  <c r="AK40" i="391"/>
  <c r="AJ40" i="391"/>
  <c r="AI40" i="391"/>
  <c r="AK39" i="391"/>
  <c r="AJ39" i="391"/>
  <c r="AI39" i="391"/>
  <c r="AK38" i="391"/>
  <c r="AJ38" i="391"/>
  <c r="AI38" i="391"/>
  <c r="AK37" i="391"/>
  <c r="AJ37" i="391"/>
  <c r="AI37" i="391"/>
  <c r="AK36" i="391"/>
  <c r="AJ36" i="391"/>
  <c r="AI36" i="391"/>
  <c r="AK35" i="391"/>
  <c r="AJ35" i="391"/>
  <c r="AI35" i="391"/>
  <c r="AK34" i="391"/>
  <c r="AJ34" i="391"/>
  <c r="AI34" i="391"/>
  <c r="AK33" i="391"/>
  <c r="AK43" i="391"/>
  <c r="AJ33" i="391"/>
  <c r="AI33" i="391"/>
  <c r="AK32" i="391"/>
  <c r="AJ32" i="391"/>
  <c r="AI32" i="391"/>
  <c r="AK31" i="391"/>
  <c r="AJ31" i="391"/>
  <c r="AI31" i="391"/>
  <c r="C29" i="391"/>
  <c r="AR17" i="391"/>
  <c r="AR16" i="391"/>
  <c r="AR15" i="391"/>
  <c r="AR14" i="391"/>
  <c r="AR13" i="391"/>
  <c r="AR12" i="391"/>
  <c r="AR11" i="391"/>
  <c r="AR10" i="391"/>
  <c r="AR9" i="391"/>
  <c r="AR8" i="391"/>
  <c r="AR7" i="391"/>
  <c r="AU6" i="391"/>
  <c r="AT6" i="391"/>
  <c r="AS6" i="391"/>
  <c r="AS18" i="391"/>
  <c r="AR6" i="391"/>
  <c r="AK6" i="391"/>
  <c r="AK18" i="391"/>
  <c r="AJ6" i="391"/>
  <c r="AJ18" i="391"/>
  <c r="AY5" i="391"/>
  <c r="AX5" i="391"/>
  <c r="AU7" i="385"/>
  <c r="AU8" i="385"/>
  <c r="AU9" i="385"/>
  <c r="AU10" i="385"/>
  <c r="AU11" i="385"/>
  <c r="AU12" i="385"/>
  <c r="AU13" i="385"/>
  <c r="AU14" i="385"/>
  <c r="AU15" i="385"/>
  <c r="AU16" i="385"/>
  <c r="AT7" i="385"/>
  <c r="AT8" i="385"/>
  <c r="AT9" i="385"/>
  <c r="AT10" i="385"/>
  <c r="AT11" i="385"/>
  <c r="AT12" i="385"/>
  <c r="AT13" i="385"/>
  <c r="AT14" i="385"/>
  <c r="AT15" i="385"/>
  <c r="AT16" i="385"/>
  <c r="AT17" i="385"/>
  <c r="AS7" i="385"/>
  <c r="AS8" i="385"/>
  <c r="AS9" i="385"/>
  <c r="AS10" i="385"/>
  <c r="AS11" i="385"/>
  <c r="AS12" i="385"/>
  <c r="AS13" i="385"/>
  <c r="AS14" i="385"/>
  <c r="AS15" i="385"/>
  <c r="AS16" i="385"/>
  <c r="AR7" i="385"/>
  <c r="AR8" i="385"/>
  <c r="AR9" i="385"/>
  <c r="AR10" i="385"/>
  <c r="AR11" i="385"/>
  <c r="AR12" i="385"/>
  <c r="AR13" i="385"/>
  <c r="AR14" i="385"/>
  <c r="AR15" i="385"/>
  <c r="AR16" i="385"/>
  <c r="AR17" i="385"/>
  <c r="AU6" i="385"/>
  <c r="AT6" i="385"/>
  <c r="AS6" i="385"/>
  <c r="AR6" i="385"/>
  <c r="AK40" i="385"/>
  <c r="AJ40" i="385"/>
  <c r="AI40" i="385"/>
  <c r="AK39" i="385"/>
  <c r="AJ39" i="385"/>
  <c r="AI39" i="385"/>
  <c r="AK38" i="385"/>
  <c r="AJ38" i="385"/>
  <c r="AI38" i="385"/>
  <c r="AK37" i="385"/>
  <c r="AJ37" i="385"/>
  <c r="AI37" i="385"/>
  <c r="AK36" i="385"/>
  <c r="AK43" i="385" s="1"/>
  <c r="AJ36" i="385"/>
  <c r="AI36" i="385"/>
  <c r="AK35" i="385"/>
  <c r="AJ35" i="385"/>
  <c r="AI35" i="385"/>
  <c r="AK34" i="385"/>
  <c r="AJ34" i="385"/>
  <c r="AI34" i="385"/>
  <c r="AK33" i="385"/>
  <c r="AJ33" i="385"/>
  <c r="AI33" i="385"/>
  <c r="AK32" i="385"/>
  <c r="AJ32" i="385"/>
  <c r="AI32" i="385"/>
  <c r="AK31" i="385"/>
  <c r="AJ31" i="385"/>
  <c r="AJ43" i="385"/>
  <c r="AI31" i="385"/>
  <c r="C29" i="385"/>
  <c r="C30" i="385"/>
  <c r="BD2" i="385"/>
  <c r="BF2" i="385" a="1"/>
  <c r="BF2" i="385" s="1"/>
  <c r="BH2" i="385"/>
  <c r="C4" i="385"/>
  <c r="BC2" i="385"/>
  <c r="AY5" i="385"/>
  <c r="AX5" i="385"/>
  <c r="AK21" i="385"/>
  <c r="AI21" i="385"/>
  <c r="AJ21" i="385"/>
  <c r="AK15" i="385"/>
  <c r="AJ15" i="385"/>
  <c r="AI15" i="385"/>
  <c r="AK16" i="385"/>
  <c r="AJ16" i="385"/>
  <c r="AI16" i="385"/>
  <c r="AK13" i="385"/>
  <c r="AJ13" i="385"/>
  <c r="AI13" i="385"/>
  <c r="AK12" i="385"/>
  <c r="AJ12" i="385"/>
  <c r="AI12" i="385"/>
  <c r="AK11" i="385"/>
  <c r="AJ11" i="385"/>
  <c r="AI11" i="385"/>
  <c r="AK10" i="385"/>
  <c r="AJ10" i="385"/>
  <c r="AI10" i="385"/>
  <c r="AK9" i="385"/>
  <c r="AJ9" i="385"/>
  <c r="AI9" i="385"/>
  <c r="AK8" i="385"/>
  <c r="AJ8" i="385"/>
  <c r="AI8" i="385"/>
  <c r="AK7" i="385"/>
  <c r="AJ7" i="385"/>
  <c r="AI7" i="385"/>
  <c r="AK6" i="385"/>
  <c r="AJ6" i="385"/>
  <c r="AI6" i="385"/>
  <c r="AB31" i="378"/>
  <c r="Z31" i="378"/>
  <c r="Z32" i="379"/>
  <c r="AB32" i="379"/>
  <c r="AI18" i="379"/>
  <c r="AI17" i="379"/>
  <c r="AI16" i="379"/>
  <c r="AI15" i="379"/>
  <c r="AI10" i="379"/>
  <c r="AI9" i="379"/>
  <c r="AI8" i="379"/>
  <c r="AI5" i="379"/>
  <c r="AJ22" i="377"/>
  <c r="AI22" i="377"/>
  <c r="AH22" i="377"/>
  <c r="AJ21" i="377"/>
  <c r="AI21" i="377"/>
  <c r="AH21" i="377"/>
  <c r="AJ20" i="377"/>
  <c r="AI20" i="377"/>
  <c r="AH20" i="377"/>
  <c r="AJ19" i="377"/>
  <c r="AH19" i="377"/>
  <c r="AJ18" i="377"/>
  <c r="AI18" i="377"/>
  <c r="AH18" i="377"/>
  <c r="AJ15" i="377"/>
  <c r="AI15" i="377"/>
  <c r="AH15" i="377"/>
  <c r="AJ14" i="377"/>
  <c r="AI14" i="377"/>
  <c r="AH14" i="377"/>
  <c r="AJ13" i="377"/>
  <c r="AI13" i="377"/>
  <c r="AH13" i="377"/>
  <c r="AJ12" i="377"/>
  <c r="AI12" i="377"/>
  <c r="AH12" i="377"/>
  <c r="AJ11" i="377"/>
  <c r="AI11" i="377"/>
  <c r="AH11" i="377"/>
  <c r="AJ10" i="377"/>
  <c r="AI10" i="377"/>
  <c r="AH10" i="377"/>
  <c r="AJ9" i="377"/>
  <c r="AI9" i="377"/>
  <c r="AH9" i="377"/>
  <c r="AJ8" i="377"/>
  <c r="AI8" i="377"/>
  <c r="AH8" i="377"/>
  <c r="AJ7" i="377"/>
  <c r="AI7" i="377"/>
  <c r="AH7" i="377"/>
  <c r="AH6" i="377"/>
  <c r="AG32" i="376"/>
  <c r="AF32" i="376"/>
  <c r="AE32" i="376"/>
  <c r="AC32" i="376"/>
  <c r="AA32" i="376"/>
  <c r="S16" i="376"/>
  <c r="AH17" i="376"/>
  <c r="C3" i="376"/>
  <c r="AG17" i="350"/>
  <c r="AJ15" i="350"/>
  <c r="AI15" i="350"/>
  <c r="AH15" i="350"/>
  <c r="AJ14" i="350"/>
  <c r="AI14" i="350"/>
  <c r="AH14" i="350"/>
  <c r="AJ13" i="350"/>
  <c r="AI13" i="350"/>
  <c r="AJ12" i="350"/>
  <c r="AI12" i="350"/>
  <c r="AH12" i="350"/>
  <c r="AJ11" i="350"/>
  <c r="AI11" i="350"/>
  <c r="AH11" i="350"/>
  <c r="AJ10" i="350"/>
  <c r="AI10" i="350"/>
  <c r="AH10" i="350"/>
  <c r="AJ9" i="350"/>
  <c r="AI9" i="350"/>
  <c r="AH9" i="350"/>
  <c r="AJ8" i="350"/>
  <c r="AI8" i="350"/>
  <c r="AH8" i="350"/>
  <c r="AJ7" i="350"/>
  <c r="AI7" i="350"/>
  <c r="AH7" i="350"/>
  <c r="AJ6" i="350"/>
  <c r="AI6" i="350"/>
  <c r="AH6" i="350"/>
  <c r="AJ5" i="350"/>
  <c r="AI5" i="350"/>
  <c r="AH5" i="350"/>
  <c r="B3" i="350"/>
  <c r="H2" i="350"/>
  <c r="AJ15" i="370"/>
  <c r="AI15" i="370"/>
  <c r="AH15" i="370"/>
  <c r="AJ14" i="370"/>
  <c r="AI14" i="370"/>
  <c r="AH14" i="370"/>
  <c r="AJ13" i="370"/>
  <c r="AI13" i="370"/>
  <c r="AH13" i="370"/>
  <c r="AJ12" i="370"/>
  <c r="AI12" i="370"/>
  <c r="AH12" i="370"/>
  <c r="AJ11" i="370"/>
  <c r="AI11" i="370"/>
  <c r="AH11" i="370"/>
  <c r="AJ10" i="370"/>
  <c r="AI10" i="370"/>
  <c r="AH10" i="370"/>
  <c r="AJ9" i="370"/>
  <c r="AI9" i="370"/>
  <c r="AH9" i="370"/>
  <c r="AJ8" i="370"/>
  <c r="AI8" i="370"/>
  <c r="AH8" i="370"/>
  <c r="AJ7" i="370"/>
  <c r="AI7" i="370"/>
  <c r="AH7" i="370"/>
  <c r="AJ6" i="370"/>
  <c r="AI6" i="370"/>
  <c r="AH6" i="370"/>
  <c r="AJ5" i="370"/>
  <c r="AI5" i="370"/>
  <c r="AH5" i="370"/>
  <c r="B3" i="370"/>
  <c r="B4" i="370"/>
  <c r="AG30" i="350"/>
  <c r="AE30" i="350"/>
  <c r="AF30" i="350"/>
  <c r="J19" i="370"/>
  <c r="AD32" i="379"/>
  <c r="AC32" i="379"/>
  <c r="Q25" i="379"/>
  <c r="T25" i="379"/>
  <c r="J20" i="379"/>
  <c r="AJ18" i="379"/>
  <c r="AH18" i="379"/>
  <c r="AJ10" i="379"/>
  <c r="AH10" i="379"/>
  <c r="AJ9" i="379"/>
  <c r="AH9" i="379"/>
  <c r="AJ8" i="379"/>
  <c r="AH8" i="379"/>
  <c r="AJ7" i="379"/>
  <c r="AI7" i="379"/>
  <c r="AH7" i="379"/>
  <c r="AJ6" i="379"/>
  <c r="AI6" i="379"/>
  <c r="AH6" i="379"/>
  <c r="AJ5" i="379"/>
  <c r="AH5" i="379"/>
  <c r="AJ17" i="379"/>
  <c r="AH17" i="379"/>
  <c r="AJ16" i="379"/>
  <c r="AH16" i="379"/>
  <c r="AJ15" i="379"/>
  <c r="AH15" i="379"/>
  <c r="B3" i="379"/>
  <c r="H2" i="379"/>
  <c r="AD31" i="378"/>
  <c r="AC31" i="378"/>
  <c r="Q24" i="378"/>
  <c r="T24" i="378"/>
  <c r="J19" i="378"/>
  <c r="AJ15" i="378"/>
  <c r="AI15" i="378"/>
  <c r="AH15" i="378"/>
  <c r="AJ14" i="378"/>
  <c r="AI14" i="378"/>
  <c r="AH14" i="378"/>
  <c r="AJ13" i="378"/>
  <c r="AI13" i="378"/>
  <c r="AH13" i="378"/>
  <c r="AJ12" i="378"/>
  <c r="AI12" i="378"/>
  <c r="AH12" i="378"/>
  <c r="AJ11" i="378"/>
  <c r="AI11" i="378"/>
  <c r="AH11" i="378"/>
  <c r="AJ10" i="378"/>
  <c r="AI10" i="378"/>
  <c r="AH10" i="378"/>
  <c r="AJ9" i="378"/>
  <c r="AI9" i="378"/>
  <c r="AH9" i="378"/>
  <c r="AJ8" i="378"/>
  <c r="AI8" i="378"/>
  <c r="AH8" i="378"/>
  <c r="AJ7" i="378"/>
  <c r="AI7" i="378"/>
  <c r="AH7" i="378"/>
  <c r="AJ6" i="378"/>
  <c r="AI6" i="378"/>
  <c r="AH6" i="378"/>
  <c r="AJ5" i="378"/>
  <c r="AI5" i="378"/>
  <c r="AH5" i="378"/>
  <c r="B3" i="378"/>
  <c r="B4" i="378"/>
  <c r="B16" i="378"/>
  <c r="AJ5" i="377"/>
  <c r="AI5" i="377"/>
  <c r="AH5" i="377"/>
  <c r="B3" i="377"/>
  <c r="B4" i="377"/>
  <c r="H2" i="377"/>
  <c r="AD32" i="376"/>
  <c r="K20" i="376"/>
  <c r="AK15" i="376"/>
  <c r="AJ15" i="376"/>
  <c r="AI15" i="376"/>
  <c r="AK14" i="376"/>
  <c r="AJ14" i="376"/>
  <c r="AI14" i="376"/>
  <c r="AK13" i="376"/>
  <c r="AJ13" i="376"/>
  <c r="AI13" i="376"/>
  <c r="AK12" i="376"/>
  <c r="AJ12" i="376"/>
  <c r="AI12" i="376"/>
  <c r="AK11" i="376"/>
  <c r="AJ11" i="376"/>
  <c r="AI11" i="376"/>
  <c r="AK10" i="376"/>
  <c r="AJ10" i="376"/>
  <c r="AI10" i="376"/>
  <c r="AK9" i="376"/>
  <c r="AJ9" i="376"/>
  <c r="AI9" i="376"/>
  <c r="AK8" i="376"/>
  <c r="AJ8" i="376"/>
  <c r="AI8" i="376"/>
  <c r="AK7" i="376"/>
  <c r="AJ7" i="376"/>
  <c r="AI7" i="376"/>
  <c r="AK6" i="376"/>
  <c r="AJ6" i="376"/>
  <c r="AI6" i="376"/>
  <c r="AK5" i="376"/>
  <c r="AJ5" i="376"/>
  <c r="AI5" i="376"/>
  <c r="AD31" i="370"/>
  <c r="AC31" i="370"/>
  <c r="AB31" i="370"/>
  <c r="Z31" i="370"/>
  <c r="Q24" i="370"/>
  <c r="T24" i="370"/>
  <c r="AF25" i="345"/>
  <c r="J20" i="350"/>
  <c r="AD25" i="349"/>
  <c r="AC25" i="349"/>
  <c r="AB25" i="349"/>
  <c r="Z25" i="349"/>
  <c r="Q21" i="349"/>
  <c r="T21" i="349"/>
  <c r="J16" i="349"/>
  <c r="AJ12" i="349"/>
  <c r="AI12" i="349"/>
  <c r="AH12" i="349"/>
  <c r="AJ11" i="349"/>
  <c r="AI11" i="349"/>
  <c r="AH11" i="349"/>
  <c r="AJ10" i="349"/>
  <c r="AI10" i="349"/>
  <c r="AH10" i="349"/>
  <c r="AJ9" i="349"/>
  <c r="AI9" i="349"/>
  <c r="AH9" i="349"/>
  <c r="AJ8" i="349"/>
  <c r="AI8" i="349"/>
  <c r="AH8" i="349"/>
  <c r="AJ7" i="349"/>
  <c r="AI7" i="349"/>
  <c r="AH7" i="349"/>
  <c r="AJ6" i="349"/>
  <c r="AI6" i="349"/>
  <c r="AH6" i="349"/>
  <c r="AJ5" i="349"/>
  <c r="AI5" i="349"/>
  <c r="AH5" i="349"/>
  <c r="B3" i="349"/>
  <c r="B4" i="349"/>
  <c r="B13" i="349"/>
  <c r="AD25" i="348"/>
  <c r="AC25" i="348"/>
  <c r="AB25" i="348"/>
  <c r="Z25" i="348"/>
  <c r="AE24" i="348"/>
  <c r="AE23" i="348"/>
  <c r="AE22" i="348"/>
  <c r="AE21" i="348"/>
  <c r="Q21" i="348"/>
  <c r="T21" i="348"/>
  <c r="AE20" i="348"/>
  <c r="AE19" i="348"/>
  <c r="AE18" i="348"/>
  <c r="AE17" i="348"/>
  <c r="J16" i="348"/>
  <c r="AJ12" i="348"/>
  <c r="AI12" i="348"/>
  <c r="AH12" i="348"/>
  <c r="AJ11" i="348"/>
  <c r="AI11" i="348"/>
  <c r="AH11" i="348"/>
  <c r="AJ10" i="348"/>
  <c r="AI10" i="348"/>
  <c r="AH10" i="348"/>
  <c r="AJ9" i="348"/>
  <c r="AI9" i="348"/>
  <c r="AH9" i="348"/>
  <c r="AJ8" i="348"/>
  <c r="AI8" i="348"/>
  <c r="AH8" i="348"/>
  <c r="AJ7" i="348"/>
  <c r="AI7" i="348"/>
  <c r="AH7" i="348"/>
  <c r="AJ6" i="348"/>
  <c r="AI6" i="348"/>
  <c r="AH6" i="348"/>
  <c r="AJ5" i="348"/>
  <c r="AI5" i="348"/>
  <c r="AH5" i="348"/>
  <c r="B3" i="348"/>
  <c r="B4" i="348"/>
  <c r="B13" i="348"/>
  <c r="AD25" i="345"/>
  <c r="AC25" i="345"/>
  <c r="AB25" i="345"/>
  <c r="Z25" i="345"/>
  <c r="Q21" i="345"/>
  <c r="T21" i="345"/>
  <c r="J16" i="345"/>
  <c r="AJ12" i="345"/>
  <c r="AI12" i="345"/>
  <c r="AH12" i="345"/>
  <c r="AJ11" i="345"/>
  <c r="AI11" i="345"/>
  <c r="AH11" i="345"/>
  <c r="AJ10" i="345"/>
  <c r="AI10" i="345"/>
  <c r="AH10" i="345"/>
  <c r="AJ9" i="345"/>
  <c r="AI9" i="345"/>
  <c r="AH9" i="345"/>
  <c r="AJ8" i="345"/>
  <c r="AI8" i="345"/>
  <c r="AH8" i="345"/>
  <c r="AJ7" i="345"/>
  <c r="AI7" i="345"/>
  <c r="AH7" i="345"/>
  <c r="AJ6" i="345"/>
  <c r="AI6" i="345"/>
  <c r="AH6" i="345"/>
  <c r="AJ5" i="345"/>
  <c r="AI5" i="345"/>
  <c r="AH5" i="345"/>
  <c r="B3" i="345"/>
  <c r="AD25" i="343"/>
  <c r="AC25" i="343"/>
  <c r="AB25" i="343"/>
  <c r="Z25" i="343"/>
  <c r="Q21" i="343"/>
  <c r="T21" i="343"/>
  <c r="J16" i="343"/>
  <c r="AJ12" i="343"/>
  <c r="AI12" i="343"/>
  <c r="AH12" i="343"/>
  <c r="AJ11" i="343"/>
  <c r="AI11" i="343"/>
  <c r="AH11" i="343"/>
  <c r="AJ10" i="343"/>
  <c r="AI10" i="343"/>
  <c r="AH10" i="343"/>
  <c r="AJ9" i="343"/>
  <c r="AI9" i="343"/>
  <c r="AH9" i="343"/>
  <c r="AJ8" i="343"/>
  <c r="AI8" i="343"/>
  <c r="AH8" i="343"/>
  <c r="AJ7" i="343"/>
  <c r="AI7" i="343"/>
  <c r="AH7" i="343"/>
  <c r="AJ6" i="343"/>
  <c r="AI6" i="343"/>
  <c r="AH6" i="343"/>
  <c r="AJ5" i="343"/>
  <c r="AI5" i="343"/>
  <c r="AH5" i="343"/>
  <c r="B3" i="343"/>
  <c r="AD25" i="342"/>
  <c r="AC25" i="342"/>
  <c r="AB25" i="342"/>
  <c r="Z25" i="342"/>
  <c r="Q21" i="342"/>
  <c r="T21" i="342"/>
  <c r="J16" i="342"/>
  <c r="AJ12" i="342"/>
  <c r="AI12" i="342"/>
  <c r="AH12" i="342"/>
  <c r="AJ11" i="342"/>
  <c r="AI11" i="342"/>
  <c r="AH11" i="342"/>
  <c r="AJ10" i="342"/>
  <c r="AI10" i="342"/>
  <c r="AH10" i="342"/>
  <c r="AJ9" i="342"/>
  <c r="AI9" i="342"/>
  <c r="AH9" i="342"/>
  <c r="AJ8" i="342"/>
  <c r="AI8" i="342"/>
  <c r="AH8" i="342"/>
  <c r="AJ7" i="342"/>
  <c r="AI7" i="342"/>
  <c r="AH7" i="342"/>
  <c r="AJ6" i="342"/>
  <c r="AI6" i="342"/>
  <c r="AH6" i="342"/>
  <c r="AJ5" i="342"/>
  <c r="AI5" i="342"/>
  <c r="AH5" i="342"/>
  <c r="B3" i="342"/>
  <c r="H2" i="342"/>
  <c r="K13" i="340"/>
  <c r="AE18" i="336"/>
  <c r="AE17" i="336"/>
  <c r="AJ12" i="336"/>
  <c r="AI12" i="336"/>
  <c r="AH12" i="336"/>
  <c r="AJ11" i="336"/>
  <c r="AI11" i="336"/>
  <c r="AH11" i="336"/>
  <c r="AD25" i="341"/>
  <c r="AC25" i="341"/>
  <c r="AB25" i="341"/>
  <c r="Z25" i="341"/>
  <c r="AE24" i="341"/>
  <c r="AE23" i="341"/>
  <c r="AE22" i="341"/>
  <c r="AE21" i="341"/>
  <c r="AE20" i="341"/>
  <c r="AE19" i="341"/>
  <c r="AE18" i="341"/>
  <c r="AE17" i="341"/>
  <c r="AD25" i="340"/>
  <c r="AC25" i="340"/>
  <c r="AB25" i="340"/>
  <c r="Z25" i="340"/>
  <c r="AE24" i="340"/>
  <c r="AE23" i="340"/>
  <c r="AE22" i="340"/>
  <c r="AE21" i="340"/>
  <c r="AE20" i="340"/>
  <c r="AE19" i="340"/>
  <c r="AE18" i="340"/>
  <c r="AE17" i="340"/>
  <c r="Q21" i="336"/>
  <c r="T21" i="336"/>
  <c r="Q21" i="341"/>
  <c r="T21" i="341"/>
  <c r="Q21" i="340"/>
  <c r="T21" i="340"/>
  <c r="AE19" i="336"/>
  <c r="AE20" i="336"/>
  <c r="AE21" i="336"/>
  <c r="AE22" i="336"/>
  <c r="AE23" i="336"/>
  <c r="AE24" i="336"/>
  <c r="R13" i="336"/>
  <c r="AC25" i="336"/>
  <c r="AB25" i="336"/>
  <c r="Z25" i="336"/>
  <c r="J16" i="341"/>
  <c r="AJ12" i="341"/>
  <c r="AI12" i="341"/>
  <c r="AH12" i="341"/>
  <c r="AJ11" i="341"/>
  <c r="AI11" i="341"/>
  <c r="AH11" i="341"/>
  <c r="AJ10" i="341"/>
  <c r="AI10" i="341"/>
  <c r="AH10" i="341"/>
  <c r="AJ9" i="341"/>
  <c r="AI9" i="341"/>
  <c r="AH9" i="341"/>
  <c r="AJ8" i="341"/>
  <c r="AI8" i="341"/>
  <c r="AH8" i="341"/>
  <c r="AJ7" i="341"/>
  <c r="AI7" i="341"/>
  <c r="AH7" i="341"/>
  <c r="AJ6" i="341"/>
  <c r="AI6" i="341"/>
  <c r="AH6" i="341"/>
  <c r="AJ5" i="341"/>
  <c r="AI5" i="341"/>
  <c r="AH5" i="341"/>
  <c r="B3" i="341"/>
  <c r="B3" i="340"/>
  <c r="H2" i="340"/>
  <c r="AH5" i="340"/>
  <c r="AI5" i="340"/>
  <c r="AJ5" i="340"/>
  <c r="AH6" i="340"/>
  <c r="AI6" i="340"/>
  <c r="AJ6" i="340"/>
  <c r="AH7" i="340"/>
  <c r="AI7" i="340"/>
  <c r="AJ7" i="340"/>
  <c r="AH8" i="340"/>
  <c r="AI8" i="340"/>
  <c r="AJ8" i="340"/>
  <c r="AH9" i="340"/>
  <c r="AI9" i="340"/>
  <c r="AJ9" i="340"/>
  <c r="AH10" i="340"/>
  <c r="AI10" i="340"/>
  <c r="AJ10" i="340"/>
  <c r="AH11" i="340"/>
  <c r="AI11" i="340"/>
  <c r="AJ11" i="340"/>
  <c r="AH12" i="340"/>
  <c r="AI12" i="340"/>
  <c r="AJ12" i="340"/>
  <c r="J16" i="340"/>
  <c r="B3" i="336"/>
  <c r="H2" i="336"/>
  <c r="B3" i="335"/>
  <c r="J16" i="335"/>
  <c r="AD25" i="336"/>
  <c r="J16" i="336"/>
  <c r="AJ10" i="336"/>
  <c r="AI10" i="336"/>
  <c r="AH10" i="336"/>
  <c r="AJ9" i="336"/>
  <c r="AI9" i="336"/>
  <c r="AH9" i="336"/>
  <c r="AJ8" i="336"/>
  <c r="AI8" i="336"/>
  <c r="AH8" i="336"/>
  <c r="AJ7" i="336"/>
  <c r="AI7" i="336"/>
  <c r="AH7" i="336"/>
  <c r="AJ6" i="336"/>
  <c r="AI6" i="336"/>
  <c r="AH6" i="336"/>
  <c r="AJ5" i="336"/>
  <c r="AI5" i="336"/>
  <c r="AH5" i="336"/>
  <c r="T21" i="335"/>
  <c r="AD25" i="335"/>
  <c r="AF14" i="335"/>
  <c r="P14" i="335"/>
  <c r="AG13" i="335"/>
  <c r="AJ12" i="335"/>
  <c r="AI12" i="335"/>
  <c r="AH12" i="335"/>
  <c r="AJ11" i="335"/>
  <c r="AI11" i="335"/>
  <c r="AH11" i="335"/>
  <c r="AJ10" i="335"/>
  <c r="AI10" i="335"/>
  <c r="AH10" i="335"/>
  <c r="AJ9" i="335"/>
  <c r="AI9" i="335"/>
  <c r="AH9" i="335"/>
  <c r="AJ8" i="335"/>
  <c r="AI8" i="335"/>
  <c r="AH8" i="335"/>
  <c r="AJ7" i="335"/>
  <c r="AI7" i="335"/>
  <c r="AH7" i="335"/>
  <c r="AJ6" i="335"/>
  <c r="AI6" i="335"/>
  <c r="AH6" i="335"/>
  <c r="AJ5" i="335"/>
  <c r="AI5" i="335"/>
  <c r="AH5" i="335"/>
  <c r="AD25" i="334"/>
  <c r="AF14" i="334"/>
  <c r="P14" i="334"/>
  <c r="AG13" i="334"/>
  <c r="B3" i="334"/>
  <c r="J16" i="334"/>
  <c r="T22" i="334"/>
  <c r="AJ12" i="334"/>
  <c r="AI12" i="334"/>
  <c r="AH12" i="334"/>
  <c r="AJ11" i="334"/>
  <c r="AI11" i="334"/>
  <c r="AH11" i="334"/>
  <c r="AJ10" i="334"/>
  <c r="AI10" i="334"/>
  <c r="AH10" i="334"/>
  <c r="AJ9" i="334"/>
  <c r="AI9" i="334"/>
  <c r="AH9" i="334"/>
  <c r="AJ8" i="334"/>
  <c r="AI8" i="334"/>
  <c r="AH8" i="334"/>
  <c r="AJ7" i="334"/>
  <c r="AI7" i="334"/>
  <c r="AH7" i="334"/>
  <c r="AJ6" i="334"/>
  <c r="AI6" i="334"/>
  <c r="AH6" i="334"/>
  <c r="AJ5" i="334"/>
  <c r="AI5" i="334"/>
  <c r="AH5" i="334"/>
  <c r="AG13" i="332"/>
  <c r="Y14" i="332"/>
  <c r="Q14" i="332"/>
  <c r="AK11" i="332"/>
  <c r="AK10" i="332"/>
  <c r="X17" i="332"/>
  <c r="W17" i="332"/>
  <c r="V17" i="332"/>
  <c r="U17" i="332"/>
  <c r="T17" i="332"/>
  <c r="S17" i="332"/>
  <c r="R17" i="332"/>
  <c r="AC27" i="332"/>
  <c r="AA27" i="332"/>
  <c r="AF14" i="332"/>
  <c r="AE27" i="332"/>
  <c r="AF17" i="332"/>
  <c r="AF16" i="332"/>
  <c r="AJ6" i="332"/>
  <c r="AI5" i="332"/>
  <c r="AC17" i="332"/>
  <c r="AB17" i="332"/>
  <c r="AA17" i="332"/>
  <c r="Z17" i="332"/>
  <c r="Y17" i="332"/>
  <c r="Q17" i="332"/>
  <c r="P17" i="332"/>
  <c r="O17" i="332"/>
  <c r="N17" i="332"/>
  <c r="M17" i="332"/>
  <c r="L17" i="332"/>
  <c r="K17" i="332"/>
  <c r="J17" i="332"/>
  <c r="I17" i="332"/>
  <c r="C17" i="332"/>
  <c r="D17" i="332"/>
  <c r="E17" i="332"/>
  <c r="F17" i="332"/>
  <c r="G17" i="332"/>
  <c r="H17" i="332"/>
  <c r="AD17" i="332"/>
  <c r="AD16" i="332"/>
  <c r="AE17" i="332"/>
  <c r="AE16" i="332"/>
  <c r="AC16" i="332"/>
  <c r="AB16" i="332"/>
  <c r="AA16" i="332"/>
  <c r="Z16" i="332"/>
  <c r="Y16" i="332"/>
  <c r="X16" i="332"/>
  <c r="W16" i="332"/>
  <c r="V16" i="332"/>
  <c r="U16" i="332"/>
  <c r="T16" i="332"/>
  <c r="S16" i="332"/>
  <c r="R16" i="332"/>
  <c r="Q16" i="332"/>
  <c r="P16" i="332"/>
  <c r="O16" i="332"/>
  <c r="N16" i="332"/>
  <c r="M16" i="332"/>
  <c r="L16" i="332"/>
  <c r="K16" i="332"/>
  <c r="J16" i="332"/>
  <c r="I16" i="332"/>
  <c r="H16" i="332"/>
  <c r="G16" i="332"/>
  <c r="F16" i="332"/>
  <c r="E16" i="332"/>
  <c r="D16" i="332"/>
  <c r="C16" i="332"/>
  <c r="AF15" i="332"/>
  <c r="AE15" i="332"/>
  <c r="AD15" i="332"/>
  <c r="AC15" i="332"/>
  <c r="Z15" i="332"/>
  <c r="Y15" i="332"/>
  <c r="X15" i="332"/>
  <c r="W15" i="332"/>
  <c r="V15" i="332"/>
  <c r="U15" i="332"/>
  <c r="T15" i="332"/>
  <c r="S15" i="332"/>
  <c r="R15" i="332"/>
  <c r="Q15" i="332"/>
  <c r="P15" i="332"/>
  <c r="O15" i="332"/>
  <c r="N15" i="332"/>
  <c r="M15" i="332"/>
  <c r="L15" i="332"/>
  <c r="K15" i="332"/>
  <c r="J15" i="332"/>
  <c r="I15" i="332"/>
  <c r="H15" i="332"/>
  <c r="G15" i="332"/>
  <c r="F15" i="332"/>
  <c r="E15" i="332"/>
  <c r="D15" i="332"/>
  <c r="C15" i="332"/>
  <c r="AJ5" i="332"/>
  <c r="AD29" i="332"/>
  <c r="AI12" i="332"/>
  <c r="AJ12" i="332"/>
  <c r="AK12" i="332"/>
  <c r="AL12" i="332"/>
  <c r="AH12" i="332"/>
  <c r="AM12" i="332"/>
  <c r="U24" i="332"/>
  <c r="K18" i="332"/>
  <c r="AM11" i="332"/>
  <c r="AL11" i="332"/>
  <c r="AJ11" i="332"/>
  <c r="AI11" i="332"/>
  <c r="AH11" i="332"/>
  <c r="AM10" i="332"/>
  <c r="AH10" i="332"/>
  <c r="AL10" i="332"/>
  <c r="AJ10" i="332"/>
  <c r="AI10" i="332"/>
  <c r="AM9" i="332"/>
  <c r="AL9" i="332"/>
  <c r="AK9" i="332"/>
  <c r="AJ9" i="332"/>
  <c r="AI9" i="332"/>
  <c r="AH9" i="332"/>
  <c r="AM8" i="332"/>
  <c r="AL8" i="332"/>
  <c r="AK8" i="332"/>
  <c r="AJ8" i="332"/>
  <c r="AI8" i="332"/>
  <c r="AH8" i="332"/>
  <c r="AM7" i="332"/>
  <c r="AL7" i="332"/>
  <c r="AK7" i="332"/>
  <c r="AJ7" i="332"/>
  <c r="AJ13" i="332"/>
  <c r="AI7" i="332"/>
  <c r="AM6" i="332"/>
  <c r="AH6" i="332"/>
  <c r="AL6" i="332"/>
  <c r="AK6" i="332"/>
  <c r="AI6" i="332"/>
  <c r="AM5" i="332"/>
  <c r="AL5" i="332"/>
  <c r="AK5" i="332"/>
  <c r="C3" i="332"/>
  <c r="I2" i="332"/>
  <c r="AL6" i="377"/>
  <c r="AK6" i="377"/>
  <c r="AG6" i="377"/>
  <c r="BB2" i="385"/>
  <c r="H2" i="385"/>
  <c r="BC2" i="396"/>
  <c r="BB2" i="395"/>
  <c r="BC2" i="395"/>
  <c r="D29" i="395"/>
  <c r="D30" i="395"/>
  <c r="D43" i="395"/>
  <c r="H2" i="395"/>
  <c r="D4" i="394"/>
  <c r="D5" i="394"/>
  <c r="D18" i="394"/>
  <c r="E4" i="394"/>
  <c r="F4" i="394"/>
  <c r="G4" i="394"/>
  <c r="F5" i="394"/>
  <c r="F18" i="394"/>
  <c r="H2" i="394"/>
  <c r="BB2" i="394"/>
  <c r="BC2" i="394"/>
  <c r="D29" i="392"/>
  <c r="E29" i="392"/>
  <c r="F29" i="392"/>
  <c r="F30" i="392"/>
  <c r="D4" i="392"/>
  <c r="D5" i="392"/>
  <c r="D4" i="398"/>
  <c r="E4" i="398"/>
  <c r="F4" i="398"/>
  <c r="H2" i="398"/>
  <c r="BB2" i="398"/>
  <c r="BC2" i="398"/>
  <c r="D4" i="397"/>
  <c r="E4" i="397"/>
  <c r="E5" i="397"/>
  <c r="D5" i="397"/>
  <c r="D18" i="397"/>
  <c r="H2" i="397"/>
  <c r="BB2" i="397"/>
  <c r="BC2" i="397"/>
  <c r="C3" i="377"/>
  <c r="BB2" i="392"/>
  <c r="H2" i="392"/>
  <c r="C30" i="397"/>
  <c r="C43" i="397"/>
  <c r="C3" i="349"/>
  <c r="D3" i="349"/>
  <c r="D4" i="349"/>
  <c r="D13" i="349"/>
  <c r="H2" i="349"/>
  <c r="C3" i="379"/>
  <c r="C4" i="379"/>
  <c r="C12" i="379"/>
  <c r="C30" i="394"/>
  <c r="C43" i="394"/>
  <c r="C5" i="392"/>
  <c r="C3" i="345"/>
  <c r="C4" i="345"/>
  <c r="C13" i="345"/>
  <c r="B4" i="345"/>
  <c r="B13" i="345"/>
  <c r="D4" i="395"/>
  <c r="E4" i="395"/>
  <c r="D5" i="395"/>
  <c r="D18" i="395"/>
  <c r="C5" i="396"/>
  <c r="C18" i="396"/>
  <c r="B4" i="350"/>
  <c r="D30" i="397"/>
  <c r="D43" i="397"/>
  <c r="E30" i="397"/>
  <c r="E43" i="397"/>
  <c r="D29" i="396"/>
  <c r="D30" i="396"/>
  <c r="E29" i="396"/>
  <c r="E30" i="396"/>
  <c r="E43" i="396"/>
  <c r="H2" i="370"/>
  <c r="C3" i="370"/>
  <c r="BH2" i="395"/>
  <c r="C3" i="350"/>
  <c r="C3" i="378"/>
  <c r="C4" i="378"/>
  <c r="C16" i="378"/>
  <c r="H2" i="378"/>
  <c r="AR18" i="398"/>
  <c r="AT18" i="398"/>
  <c r="D29" i="399"/>
  <c r="BB2" i="399"/>
  <c r="H2" i="399"/>
  <c r="BC2" i="399"/>
  <c r="D4" i="399"/>
  <c r="D5" i="399"/>
  <c r="AJ43" i="398"/>
  <c r="C5" i="391"/>
  <c r="C18" i="391"/>
  <c r="D4" i="391"/>
  <c r="D5" i="391"/>
  <c r="D18" i="391"/>
  <c r="AI18" i="385"/>
  <c r="C18" i="392"/>
  <c r="H2" i="345"/>
  <c r="B4" i="340"/>
  <c r="B13" i="340"/>
  <c r="D3" i="378"/>
  <c r="D4" i="378"/>
  <c r="D16" i="378"/>
  <c r="E3" i="378"/>
  <c r="C5" i="385"/>
  <c r="C18" i="385"/>
  <c r="D4" i="385"/>
  <c r="AU18" i="394"/>
  <c r="E29" i="399"/>
  <c r="D30" i="399"/>
  <c r="D43" i="399"/>
  <c r="AT18" i="394"/>
  <c r="C3" i="336"/>
  <c r="C4" i="336"/>
  <c r="C13" i="336"/>
  <c r="D3" i="336"/>
  <c r="C5" i="395"/>
  <c r="C18" i="395"/>
  <c r="F4" i="397"/>
  <c r="B4" i="336"/>
  <c r="B13" i="336"/>
  <c r="BH2" i="394"/>
  <c r="C43" i="398"/>
  <c r="BH2" i="397"/>
  <c r="B4" i="343"/>
  <c r="B13" i="343"/>
  <c r="D29" i="398"/>
  <c r="D30" i="394"/>
  <c r="D43" i="394"/>
  <c r="E29" i="394"/>
  <c r="E30" i="394"/>
  <c r="E43" i="394"/>
  <c r="E5" i="394"/>
  <c r="E18" i="394"/>
  <c r="H2" i="334"/>
  <c r="C3" i="334"/>
  <c r="C4" i="334"/>
  <c r="B4" i="334"/>
  <c r="C4" i="370"/>
  <c r="D3" i="370"/>
  <c r="E3" i="370"/>
  <c r="F3" i="370"/>
  <c r="E18" i="397"/>
  <c r="AR18" i="391"/>
  <c r="D3" i="334"/>
  <c r="D4" i="334"/>
  <c r="D5" i="398"/>
  <c r="B4" i="342"/>
  <c r="B13" i="342"/>
  <c r="C3" i="342"/>
  <c r="AU18" i="398"/>
  <c r="D29" i="385"/>
  <c r="E29" i="385"/>
  <c r="C43" i="385"/>
  <c r="D43" i="396"/>
  <c r="E4" i="392"/>
  <c r="D18" i="392"/>
  <c r="D3" i="345"/>
  <c r="D3" i="376"/>
  <c r="D4" i="376"/>
  <c r="I2" i="376"/>
  <c r="C4" i="376"/>
  <c r="D4" i="396"/>
  <c r="H2" i="396"/>
  <c r="BB2" i="396"/>
  <c r="AK18" i="398"/>
  <c r="E4" i="391"/>
  <c r="F4" i="391"/>
  <c r="G4" i="391"/>
  <c r="H4" i="391"/>
  <c r="E5" i="391"/>
  <c r="E18" i="391"/>
  <c r="AK18" i="394"/>
  <c r="AS18" i="394"/>
  <c r="H2" i="391"/>
  <c r="BC2" i="391"/>
  <c r="BB2" i="391"/>
  <c r="H2" i="343"/>
  <c r="C3" i="343"/>
  <c r="D3" i="343"/>
  <c r="E3" i="343"/>
  <c r="AI43" i="394"/>
  <c r="AJ43" i="394"/>
  <c r="AJ18" i="392"/>
  <c r="D18" i="398"/>
  <c r="E5" i="398"/>
  <c r="E18" i="398"/>
  <c r="C4" i="343"/>
  <c r="C13" i="343"/>
  <c r="F29" i="396"/>
  <c r="G29" i="396"/>
  <c r="C4" i="342"/>
  <c r="C13" i="342"/>
  <c r="D3" i="342"/>
  <c r="E3" i="342"/>
  <c r="F3" i="342"/>
  <c r="F4" i="342"/>
  <c r="F13" i="342"/>
  <c r="D30" i="385"/>
  <c r="D43" i="385"/>
  <c r="E4" i="342"/>
  <c r="E13" i="342"/>
  <c r="G3" i="342"/>
  <c r="H3" i="342"/>
  <c r="H4" i="342"/>
  <c r="H13" i="342"/>
  <c r="G4" i="342"/>
  <c r="G13" i="342"/>
  <c r="I3" i="342"/>
  <c r="AI43" i="395"/>
  <c r="AR18" i="395"/>
  <c r="AJ18" i="395"/>
  <c r="AJ18" i="399"/>
  <c r="AK18" i="399"/>
  <c r="AH20" i="399"/>
  <c r="AI43" i="397"/>
  <c r="AT18" i="400"/>
  <c r="AS18" i="400"/>
  <c r="AR18" i="400"/>
  <c r="AJ43" i="400"/>
  <c r="D29" i="400"/>
  <c r="E29" i="400"/>
  <c r="C18" i="400"/>
  <c r="D4" i="400"/>
  <c r="D5" i="400"/>
  <c r="D18" i="400"/>
  <c r="D30" i="400"/>
  <c r="D43" i="400"/>
  <c r="H2" i="400"/>
  <c r="BB2" i="400"/>
  <c r="BC2" i="400"/>
  <c r="E4" i="400"/>
  <c r="AH20" i="391"/>
  <c r="F5" i="397"/>
  <c r="F18" i="397"/>
  <c r="G4" i="397"/>
  <c r="AH7" i="332"/>
  <c r="B4" i="335"/>
  <c r="BH2" i="392"/>
  <c r="E4" i="399"/>
  <c r="E4" i="370"/>
  <c r="E4" i="396"/>
  <c r="D5" i="396"/>
  <c r="D18" i="396"/>
  <c r="E3" i="334"/>
  <c r="E3" i="349"/>
  <c r="F3" i="349"/>
  <c r="F4" i="349"/>
  <c r="F13" i="349"/>
  <c r="D4" i="370"/>
  <c r="E3" i="376"/>
  <c r="E4" i="376"/>
  <c r="F29" i="385"/>
  <c r="E30" i="385"/>
  <c r="E43" i="385"/>
  <c r="D30" i="392"/>
  <c r="D43" i="392"/>
  <c r="AT18" i="391"/>
  <c r="AI43" i="385"/>
  <c r="AU18" i="391"/>
  <c r="C30" i="391"/>
  <c r="C43" i="391"/>
  <c r="D29" i="391"/>
  <c r="AK43" i="394"/>
  <c r="F30" i="397"/>
  <c r="F43" i="397"/>
  <c r="G29" i="397"/>
  <c r="H2" i="348"/>
  <c r="C3" i="348"/>
  <c r="AI43" i="391"/>
  <c r="AR18" i="399"/>
  <c r="AJ43" i="391"/>
  <c r="AH20" i="394"/>
  <c r="BH3" i="392"/>
  <c r="AH20" i="392"/>
  <c r="AJ43" i="392"/>
  <c r="BH2" i="398"/>
  <c r="C18" i="398"/>
  <c r="AT18" i="392"/>
  <c r="AU18" i="395"/>
  <c r="AT18" i="399"/>
  <c r="C4" i="332"/>
  <c r="AR18" i="392"/>
  <c r="D18" i="399"/>
  <c r="E5" i="399"/>
  <c r="E18" i="399"/>
  <c r="F4" i="399"/>
  <c r="E30" i="392"/>
  <c r="E43" i="392"/>
  <c r="C4" i="348"/>
  <c r="C13" i="348"/>
  <c r="D3" i="348"/>
  <c r="D4" i="348"/>
  <c r="E4" i="349"/>
  <c r="E13" i="349"/>
  <c r="E4" i="343"/>
  <c r="E13" i="343"/>
  <c r="F3" i="343"/>
  <c r="E5" i="396"/>
  <c r="E18" i="396"/>
  <c r="F4" i="396"/>
  <c r="G30" i="396"/>
  <c r="G43" i="396"/>
  <c r="H29" i="396"/>
  <c r="D13" i="348"/>
  <c r="G29" i="392"/>
  <c r="G30" i="392"/>
  <c r="G43" i="392"/>
  <c r="F43" i="392"/>
  <c r="G4" i="396"/>
  <c r="F5" i="396"/>
  <c r="F18" i="396"/>
  <c r="F5" i="399"/>
  <c r="F18" i="399"/>
  <c r="G4" i="399"/>
  <c r="G5" i="399"/>
  <c r="H29" i="392"/>
  <c r="G5" i="396"/>
  <c r="G18" i="396"/>
  <c r="H4" i="396"/>
  <c r="I4" i="396"/>
  <c r="J4" i="396"/>
  <c r="H5" i="396"/>
  <c r="H18" i="396"/>
  <c r="I29" i="392"/>
  <c r="H30" i="392"/>
  <c r="H43" i="392"/>
  <c r="G18" i="399"/>
  <c r="I5" i="396"/>
  <c r="I18" i="396"/>
  <c r="AJ43" i="397"/>
  <c r="AJ18" i="397"/>
  <c r="AH20" i="397"/>
  <c r="AH20" i="395"/>
  <c r="AT18" i="395"/>
  <c r="I30" i="392"/>
  <c r="I43" i="392"/>
  <c r="J29" i="392"/>
  <c r="I4" i="342"/>
  <c r="I13" i="342"/>
  <c r="J3" i="342"/>
  <c r="F30" i="385"/>
  <c r="F43" i="385"/>
  <c r="G29" i="385"/>
  <c r="F29" i="400"/>
  <c r="E30" i="400"/>
  <c r="E43" i="400"/>
  <c r="C4" i="350"/>
  <c r="D3" i="350"/>
  <c r="G30" i="397"/>
  <c r="G43" i="397"/>
  <c r="H29" i="397"/>
  <c r="I4" i="391"/>
  <c r="H5" i="391"/>
  <c r="H18" i="391"/>
  <c r="D4" i="336"/>
  <c r="E3" i="336"/>
  <c r="F5" i="398"/>
  <c r="G4" i="398"/>
  <c r="H30" i="396"/>
  <c r="H43" i="396"/>
  <c r="I29" i="396"/>
  <c r="H4" i="397"/>
  <c r="G5" i="397"/>
  <c r="K4" i="396"/>
  <c r="J5" i="396"/>
  <c r="D30" i="391"/>
  <c r="D43" i="391"/>
  <c r="E29" i="391"/>
  <c r="G3" i="349"/>
  <c r="F3" i="376"/>
  <c r="E29" i="398"/>
  <c r="D30" i="398"/>
  <c r="D43" i="398"/>
  <c r="C4" i="377"/>
  <c r="D3" i="377"/>
  <c r="G5" i="391"/>
  <c r="G18" i="391"/>
  <c r="E3" i="345"/>
  <c r="D4" i="345"/>
  <c r="AK13" i="332"/>
  <c r="F3" i="378"/>
  <c r="E4" i="378"/>
  <c r="H4" i="394"/>
  <c r="G5" i="394"/>
  <c r="G3" i="343"/>
  <c r="F4" i="343"/>
  <c r="F13" i="343"/>
  <c r="F5" i="391"/>
  <c r="F4" i="395"/>
  <c r="E5" i="395"/>
  <c r="G3" i="370"/>
  <c r="F4" i="370"/>
  <c r="C3" i="341"/>
  <c r="B4" i="341"/>
  <c r="H2" i="341"/>
  <c r="D3" i="332"/>
  <c r="F30" i="396"/>
  <c r="F43" i="396"/>
  <c r="C4" i="349"/>
  <c r="C3" i="335"/>
  <c r="H2" i="335"/>
  <c r="D3" i="379"/>
  <c r="D4" i="342"/>
  <c r="F29" i="399"/>
  <c r="E30" i="399"/>
  <c r="E43" i="399"/>
  <c r="D5" i="385"/>
  <c r="E4" i="385"/>
  <c r="F3" i="334"/>
  <c r="E4" i="334"/>
  <c r="E29" i="395"/>
  <c r="H4" i="399"/>
  <c r="E3" i="348"/>
  <c r="F29" i="394"/>
  <c r="D4" i="343"/>
  <c r="E5" i="400"/>
  <c r="F4" i="400"/>
  <c r="E5" i="392"/>
  <c r="F4" i="392"/>
  <c r="AG17" i="332"/>
  <c r="AI13" i="332"/>
  <c r="AH5" i="332"/>
  <c r="AK16" i="376"/>
  <c r="C3" i="340"/>
  <c r="B4" i="379"/>
  <c r="D13" i="336"/>
  <c r="F5" i="395"/>
  <c r="F18" i="395"/>
  <c r="G4" i="395"/>
  <c r="F3" i="336"/>
  <c r="E4" i="336"/>
  <c r="E13" i="336"/>
  <c r="G4" i="370"/>
  <c r="H3" i="370"/>
  <c r="F29" i="391"/>
  <c r="E30" i="391"/>
  <c r="E43" i="391"/>
  <c r="E30" i="398"/>
  <c r="E43" i="398"/>
  <c r="F29" i="398"/>
  <c r="C4" i="341"/>
  <c r="C13" i="341"/>
  <c r="D3" i="341"/>
  <c r="D18" i="385"/>
  <c r="F18" i="391"/>
  <c r="E5" i="385"/>
  <c r="E18" i="385"/>
  <c r="F4" i="385"/>
  <c r="H3" i="349"/>
  <c r="G4" i="349"/>
  <c r="G13" i="349"/>
  <c r="D13" i="343"/>
  <c r="I4" i="394"/>
  <c r="H5" i="394"/>
  <c r="H18" i="394"/>
  <c r="K5" i="396"/>
  <c r="K18" i="396"/>
  <c r="L4" i="396"/>
  <c r="F30" i="400"/>
  <c r="F43" i="400"/>
  <c r="G29" i="400"/>
  <c r="C4" i="340"/>
  <c r="D3" i="340"/>
  <c r="E18" i="395"/>
  <c r="G4" i="343"/>
  <c r="G13" i="343"/>
  <c r="H3" i="343"/>
  <c r="E16" i="378"/>
  <c r="G18" i="397"/>
  <c r="G30" i="385"/>
  <c r="G43" i="385"/>
  <c r="H29" i="385"/>
  <c r="F5" i="392"/>
  <c r="F18" i="392"/>
  <c r="G4" i="392"/>
  <c r="E3" i="379"/>
  <c r="D4" i="379"/>
  <c r="D12" i="379"/>
  <c r="G18" i="394"/>
  <c r="D3" i="335"/>
  <c r="C4" i="335"/>
  <c r="F30" i="394"/>
  <c r="F43" i="394"/>
  <c r="G29" i="394"/>
  <c r="I5" i="391"/>
  <c r="I18" i="391"/>
  <c r="J4" i="391"/>
  <c r="F30" i="399"/>
  <c r="F43" i="399"/>
  <c r="G29" i="399"/>
  <c r="E18" i="400"/>
  <c r="C13" i="349"/>
  <c r="F3" i="348"/>
  <c r="E4" i="348"/>
  <c r="F4" i="378"/>
  <c r="F16" i="378"/>
  <c r="G3" i="378"/>
  <c r="H5" i="397"/>
  <c r="H18" i="397"/>
  <c r="I4" i="397"/>
  <c r="I4" i="399"/>
  <c r="H5" i="399"/>
  <c r="D4" i="332"/>
  <c r="E3" i="332"/>
  <c r="J29" i="396"/>
  <c r="I30" i="396"/>
  <c r="I43" i="396"/>
  <c r="J4" i="342"/>
  <c r="J13" i="342"/>
  <c r="K3" i="342"/>
  <c r="G3" i="334"/>
  <c r="F4" i="334"/>
  <c r="I29" i="397"/>
  <c r="H30" i="397"/>
  <c r="H43" i="397"/>
  <c r="D4" i="350"/>
  <c r="E3" i="350"/>
  <c r="J18" i="396"/>
  <c r="G3" i="376"/>
  <c r="F4" i="376"/>
  <c r="D13" i="342"/>
  <c r="G4" i="400"/>
  <c r="F5" i="400"/>
  <c r="F18" i="400"/>
  <c r="D13" i="345"/>
  <c r="E30" i="395"/>
  <c r="E43" i="395"/>
  <c r="F29" i="395"/>
  <c r="E4" i="345"/>
  <c r="E13" i="345"/>
  <c r="F3" i="345"/>
  <c r="G5" i="398"/>
  <c r="G18" i="398"/>
  <c r="H4" i="398"/>
  <c r="J30" i="392"/>
  <c r="J43" i="392"/>
  <c r="K29" i="392"/>
  <c r="E3" i="377"/>
  <c r="D4" i="377"/>
  <c r="E18" i="392"/>
  <c r="B12" i="379"/>
  <c r="B13" i="341"/>
  <c r="F18" i="398"/>
  <c r="E3" i="340"/>
  <c r="D4" i="340"/>
  <c r="D13" i="340"/>
  <c r="F30" i="395"/>
  <c r="F43" i="395"/>
  <c r="G29" i="395"/>
  <c r="C13" i="340"/>
  <c r="H4" i="370"/>
  <c r="I3" i="370"/>
  <c r="E4" i="350"/>
  <c r="F3" i="350"/>
  <c r="G4" i="378"/>
  <c r="H3" i="378"/>
  <c r="F3" i="379"/>
  <c r="E4" i="379"/>
  <c r="G30" i="400"/>
  <c r="G43" i="400"/>
  <c r="H29" i="400"/>
  <c r="E3" i="341"/>
  <c r="D4" i="341"/>
  <c r="E4" i="332"/>
  <c r="F3" i="332"/>
  <c r="K4" i="391"/>
  <c r="J5" i="391"/>
  <c r="G3" i="345"/>
  <c r="F4" i="345"/>
  <c r="E4" i="377"/>
  <c r="F3" i="377"/>
  <c r="I3" i="349"/>
  <c r="H4" i="349"/>
  <c r="L29" i="392"/>
  <c r="K30" i="392"/>
  <c r="K43" i="392"/>
  <c r="J29" i="397"/>
  <c r="I30" i="397"/>
  <c r="I43" i="397"/>
  <c r="H29" i="394"/>
  <c r="G30" i="394"/>
  <c r="G43" i="394"/>
  <c r="H4" i="392"/>
  <c r="G5" i="392"/>
  <c r="M4" i="396"/>
  <c r="L5" i="396"/>
  <c r="H3" i="376"/>
  <c r="G4" i="376"/>
  <c r="E13" i="348"/>
  <c r="F5" i="385"/>
  <c r="G4" i="385"/>
  <c r="F4" i="336"/>
  <c r="G3" i="336"/>
  <c r="H18" i="399"/>
  <c r="F4" i="348"/>
  <c r="F13" i="348"/>
  <c r="G3" i="348"/>
  <c r="H30" i="385"/>
  <c r="H43" i="385"/>
  <c r="I29" i="385"/>
  <c r="H4" i="343"/>
  <c r="I3" i="343"/>
  <c r="H3" i="334"/>
  <c r="G4" i="334"/>
  <c r="J4" i="399"/>
  <c r="I5" i="399"/>
  <c r="I18" i="399"/>
  <c r="I4" i="398"/>
  <c r="H5" i="398"/>
  <c r="H4" i="400"/>
  <c r="G5" i="400"/>
  <c r="G29" i="398"/>
  <c r="F30" i="398"/>
  <c r="F43" i="398"/>
  <c r="G5" i="395"/>
  <c r="H4" i="395"/>
  <c r="E3" i="335"/>
  <c r="D4" i="335"/>
  <c r="I5" i="394"/>
  <c r="J4" i="394"/>
  <c r="L3" i="342"/>
  <c r="K4" i="342"/>
  <c r="J4" i="397"/>
  <c r="I5" i="397"/>
  <c r="G29" i="391"/>
  <c r="F30" i="391"/>
  <c r="F43" i="391"/>
  <c r="J30" i="396"/>
  <c r="J43" i="396"/>
  <c r="K29" i="396"/>
  <c r="G30" i="399"/>
  <c r="G43" i="399"/>
  <c r="H29" i="399"/>
  <c r="K13" i="342"/>
  <c r="L4" i="342"/>
  <c r="L13" i="342"/>
  <c r="M3" i="342"/>
  <c r="J18" i="391"/>
  <c r="G16" i="378"/>
  <c r="I29" i="394"/>
  <c r="H30" i="394"/>
  <c r="H43" i="394"/>
  <c r="F4" i="377"/>
  <c r="G3" i="377"/>
  <c r="L4" i="391"/>
  <c r="K5" i="391"/>
  <c r="F4" i="350"/>
  <c r="G3" i="350"/>
  <c r="E4" i="340"/>
  <c r="F3" i="340"/>
  <c r="K30" i="396"/>
  <c r="K43" i="396"/>
  <c r="L29" i="396"/>
  <c r="E4" i="335"/>
  <c r="F3" i="335"/>
  <c r="K4" i="399"/>
  <c r="J5" i="399"/>
  <c r="I4" i="343"/>
  <c r="J3" i="343"/>
  <c r="G5" i="385"/>
  <c r="H4" i="385"/>
  <c r="L18" i="396"/>
  <c r="I3" i="378"/>
  <c r="H4" i="378"/>
  <c r="H13" i="343"/>
  <c r="F18" i="385"/>
  <c r="M5" i="396"/>
  <c r="M18" i="396"/>
  <c r="N4" i="396"/>
  <c r="H30" i="400"/>
  <c r="H43" i="400"/>
  <c r="I29" i="400"/>
  <c r="I18" i="394"/>
  <c r="I3" i="334"/>
  <c r="H4" i="334"/>
  <c r="F13" i="345"/>
  <c r="G30" i="395"/>
  <c r="G43" i="395"/>
  <c r="H29" i="395"/>
  <c r="J5" i="394"/>
  <c r="J18" i="394"/>
  <c r="K4" i="394"/>
  <c r="I3" i="376"/>
  <c r="H4" i="376"/>
  <c r="H3" i="345"/>
  <c r="G4" i="345"/>
  <c r="F4" i="332"/>
  <c r="G3" i="332"/>
  <c r="K29" i="397"/>
  <c r="J30" i="397"/>
  <c r="J43" i="397"/>
  <c r="H13" i="349"/>
  <c r="H5" i="395"/>
  <c r="H18" i="395"/>
  <c r="I4" i="395"/>
  <c r="I30" i="385"/>
  <c r="I43" i="385"/>
  <c r="J29" i="385"/>
  <c r="G4" i="336"/>
  <c r="H3" i="336"/>
  <c r="G18" i="392"/>
  <c r="I4" i="349"/>
  <c r="I13" i="349"/>
  <c r="J3" i="349"/>
  <c r="H29" i="391"/>
  <c r="G30" i="391"/>
  <c r="G43" i="391"/>
  <c r="G18" i="395"/>
  <c r="G18" i="400"/>
  <c r="F13" i="336"/>
  <c r="I4" i="392"/>
  <c r="H5" i="392"/>
  <c r="H18" i="392"/>
  <c r="J3" i="370"/>
  <c r="I4" i="370"/>
  <c r="I4" i="400"/>
  <c r="H5" i="400"/>
  <c r="L30" i="392"/>
  <c r="L43" i="392"/>
  <c r="M29" i="392"/>
  <c r="D13" i="341"/>
  <c r="E12" i="379"/>
  <c r="F3" i="341"/>
  <c r="E4" i="341"/>
  <c r="E13" i="341"/>
  <c r="F4" i="379"/>
  <c r="F12" i="379"/>
  <c r="G3" i="379"/>
  <c r="I29" i="399"/>
  <c r="H30" i="399"/>
  <c r="H43" i="399"/>
  <c r="H18" i="398"/>
  <c r="I18" i="397"/>
  <c r="H29" i="398"/>
  <c r="G30" i="398"/>
  <c r="G43" i="398"/>
  <c r="J4" i="398"/>
  <c r="I5" i="398"/>
  <c r="H3" i="348"/>
  <c r="G4" i="348"/>
  <c r="K4" i="397"/>
  <c r="J5" i="397"/>
  <c r="G13" i="348"/>
  <c r="J3" i="376"/>
  <c r="I4" i="376"/>
  <c r="H3" i="377"/>
  <c r="G4" i="377"/>
  <c r="I3" i="348"/>
  <c r="H4" i="348"/>
  <c r="F4" i="335"/>
  <c r="G3" i="335"/>
  <c r="H4" i="336"/>
  <c r="I3" i="336"/>
  <c r="H5" i="385"/>
  <c r="I4" i="385"/>
  <c r="I30" i="394"/>
  <c r="I43" i="394"/>
  <c r="J29" i="394"/>
  <c r="J4" i="370"/>
  <c r="K3" i="370"/>
  <c r="H18" i="400"/>
  <c r="G13" i="336"/>
  <c r="G18" i="385"/>
  <c r="L30" i="396"/>
  <c r="L43" i="396"/>
  <c r="M29" i="396"/>
  <c r="F4" i="341"/>
  <c r="G3" i="341"/>
  <c r="I5" i="400"/>
  <c r="J4" i="400"/>
  <c r="I18" i="398"/>
  <c r="H16" i="378"/>
  <c r="O4" i="396"/>
  <c r="N5" i="396"/>
  <c r="I4" i="378"/>
  <c r="J3" i="378"/>
  <c r="G3" i="340"/>
  <c r="F4" i="340"/>
  <c r="K4" i="398"/>
  <c r="J5" i="398"/>
  <c r="J29" i="399"/>
  <c r="I30" i="399"/>
  <c r="I43" i="399"/>
  <c r="J4" i="349"/>
  <c r="K3" i="349"/>
  <c r="K29" i="385"/>
  <c r="J30" i="385"/>
  <c r="J43" i="385"/>
  <c r="E13" i="340"/>
  <c r="J18" i="397"/>
  <c r="K5" i="397"/>
  <c r="L4" i="397"/>
  <c r="I5" i="392"/>
  <c r="J4" i="392"/>
  <c r="G4" i="332"/>
  <c r="H3" i="332"/>
  <c r="L4" i="394"/>
  <c r="K5" i="394"/>
  <c r="I4" i="334"/>
  <c r="J3" i="334"/>
  <c r="I29" i="398"/>
  <c r="H30" i="398"/>
  <c r="H43" i="398"/>
  <c r="M30" i="392"/>
  <c r="M43" i="392"/>
  <c r="N29" i="392"/>
  <c r="H3" i="350"/>
  <c r="G4" i="350"/>
  <c r="G13" i="345"/>
  <c r="K30" i="397"/>
  <c r="K43" i="397"/>
  <c r="L29" i="397"/>
  <c r="I3" i="345"/>
  <c r="H4" i="345"/>
  <c r="H30" i="395"/>
  <c r="H43" i="395"/>
  <c r="I29" i="395"/>
  <c r="K3" i="343"/>
  <c r="J4" i="343"/>
  <c r="I13" i="343"/>
  <c r="I5" i="395"/>
  <c r="J4" i="395"/>
  <c r="J18" i="399"/>
  <c r="K18" i="391"/>
  <c r="N3" i="342"/>
  <c r="M4" i="342"/>
  <c r="H3" i="379"/>
  <c r="G4" i="379"/>
  <c r="G12" i="379"/>
  <c r="H30" i="391"/>
  <c r="H43" i="391"/>
  <c r="I29" i="391"/>
  <c r="I30" i="400"/>
  <c r="I43" i="400"/>
  <c r="J29" i="400"/>
  <c r="L4" i="399"/>
  <c r="K5" i="399"/>
  <c r="L5" i="391"/>
  <c r="M4" i="391"/>
  <c r="K4" i="370"/>
  <c r="L3" i="370"/>
  <c r="J29" i="395"/>
  <c r="I30" i="395"/>
  <c r="I43" i="395"/>
  <c r="N18" i="396"/>
  <c r="G4" i="341"/>
  <c r="H3" i="341"/>
  <c r="H13" i="348"/>
  <c r="M13" i="342"/>
  <c r="O5" i="396"/>
  <c r="P4" i="396"/>
  <c r="F13" i="341"/>
  <c r="J3" i="348"/>
  <c r="I4" i="348"/>
  <c r="K18" i="399"/>
  <c r="N4" i="342"/>
  <c r="O3" i="342"/>
  <c r="J30" i="399"/>
  <c r="J43" i="399"/>
  <c r="K29" i="399"/>
  <c r="K29" i="394"/>
  <c r="J30" i="394"/>
  <c r="J43" i="394"/>
  <c r="H4" i="377"/>
  <c r="I3" i="377"/>
  <c r="K4" i="395"/>
  <c r="J5" i="395"/>
  <c r="J18" i="395"/>
  <c r="H4" i="350"/>
  <c r="I3" i="350"/>
  <c r="O29" i="392"/>
  <c r="N30" i="392"/>
  <c r="N43" i="392"/>
  <c r="K4" i="392"/>
  <c r="J5" i="392"/>
  <c r="K30" i="385"/>
  <c r="K43" i="385"/>
  <c r="L29" i="385"/>
  <c r="J18" i="398"/>
  <c r="I16" i="378"/>
  <c r="I18" i="395"/>
  <c r="I18" i="392"/>
  <c r="K5" i="398"/>
  <c r="L4" i="398"/>
  <c r="J4" i="376"/>
  <c r="K3" i="376"/>
  <c r="J30" i="400"/>
  <c r="J43" i="400"/>
  <c r="K29" i="400"/>
  <c r="J13" i="343"/>
  <c r="J3" i="345"/>
  <c r="I4" i="345"/>
  <c r="J4" i="385"/>
  <c r="I5" i="385"/>
  <c r="I3" i="379"/>
  <c r="H4" i="379"/>
  <c r="K4" i="343"/>
  <c r="L3" i="343"/>
  <c r="M29" i="397"/>
  <c r="L30" i="397"/>
  <c r="L43" i="397"/>
  <c r="M30" i="396"/>
  <c r="M43" i="396"/>
  <c r="N29" i="396"/>
  <c r="H18" i="385"/>
  <c r="K3" i="334"/>
  <c r="J4" i="334"/>
  <c r="K4" i="349"/>
  <c r="L3" i="349"/>
  <c r="F13" i="340"/>
  <c r="L5" i="399"/>
  <c r="L18" i="399"/>
  <c r="M4" i="399"/>
  <c r="J13" i="349"/>
  <c r="G4" i="340"/>
  <c r="H3" i="340"/>
  <c r="K18" i="394"/>
  <c r="I4" i="336"/>
  <c r="J3" i="336"/>
  <c r="G4" i="335"/>
  <c r="H3" i="335"/>
  <c r="J29" i="398"/>
  <c r="I30" i="398"/>
  <c r="I43" i="398"/>
  <c r="M4" i="394"/>
  <c r="L5" i="394"/>
  <c r="K4" i="400"/>
  <c r="J5" i="400"/>
  <c r="H13" i="336"/>
  <c r="H13" i="345"/>
  <c r="N4" i="391"/>
  <c r="M5" i="391"/>
  <c r="H4" i="332"/>
  <c r="I3" i="332"/>
  <c r="M4" i="397"/>
  <c r="L5" i="397"/>
  <c r="I18" i="400"/>
  <c r="I30" i="391"/>
  <c r="I43" i="391"/>
  <c r="J29" i="391"/>
  <c r="L18" i="391"/>
  <c r="K18" i="397"/>
  <c r="J4" i="378"/>
  <c r="J16" i="378"/>
  <c r="K3" i="378"/>
  <c r="N4" i="397"/>
  <c r="M5" i="397"/>
  <c r="H4" i="341"/>
  <c r="I3" i="341"/>
  <c r="G13" i="341"/>
  <c r="L18" i="394"/>
  <c r="N4" i="394"/>
  <c r="M5" i="394"/>
  <c r="K5" i="395"/>
  <c r="L4" i="395"/>
  <c r="L29" i="399"/>
  <c r="K30" i="399"/>
  <c r="K43" i="399"/>
  <c r="M5" i="399"/>
  <c r="N4" i="399"/>
  <c r="J30" i="398"/>
  <c r="J43" i="398"/>
  <c r="K29" i="398"/>
  <c r="I3" i="335"/>
  <c r="H4" i="335"/>
  <c r="K30" i="400"/>
  <c r="K43" i="400"/>
  <c r="L29" i="400"/>
  <c r="J18" i="392"/>
  <c r="I13" i="345"/>
  <c r="L4" i="392"/>
  <c r="K5" i="392"/>
  <c r="L4" i="343"/>
  <c r="M3" i="343"/>
  <c r="K13" i="343"/>
  <c r="H12" i="379"/>
  <c r="K3" i="345"/>
  <c r="J4" i="345"/>
  <c r="J30" i="395"/>
  <c r="J43" i="395"/>
  <c r="K29" i="395"/>
  <c r="I4" i="332"/>
  <c r="J3" i="332"/>
  <c r="M3" i="349"/>
  <c r="L4" i="349"/>
  <c r="J3" i="379"/>
  <c r="I4" i="379"/>
  <c r="P29" i="392"/>
  <c r="O30" i="392"/>
  <c r="O43" i="392"/>
  <c r="J18" i="400"/>
  <c r="K13" i="349"/>
  <c r="K4" i="376"/>
  <c r="L3" i="376"/>
  <c r="J3" i="350"/>
  <c r="I4" i="350"/>
  <c r="N30" i="396"/>
  <c r="N43" i="396"/>
  <c r="O29" i="396"/>
  <c r="K4" i="385"/>
  <c r="J5" i="385"/>
  <c r="K4" i="378"/>
  <c r="L3" i="378"/>
  <c r="J30" i="391"/>
  <c r="J43" i="391"/>
  <c r="K29" i="391"/>
  <c r="M18" i="391"/>
  <c r="K5" i="400"/>
  <c r="L4" i="400"/>
  <c r="I4" i="377"/>
  <c r="J3" i="377"/>
  <c r="P3" i="342"/>
  <c r="O4" i="342"/>
  <c r="M3" i="370"/>
  <c r="L4" i="370"/>
  <c r="K18" i="398"/>
  <c r="L30" i="385"/>
  <c r="L43" i="385"/>
  <c r="M29" i="385"/>
  <c r="N5" i="391"/>
  <c r="O4" i="391"/>
  <c r="H4" i="340"/>
  <c r="I3" i="340"/>
  <c r="N13" i="342"/>
  <c r="Q4" i="396"/>
  <c r="P5" i="396"/>
  <c r="J4" i="336"/>
  <c r="K3" i="336"/>
  <c r="G13" i="340"/>
  <c r="M30" i="397"/>
  <c r="M43" i="397"/>
  <c r="N29" i="397"/>
  <c r="I13" i="348"/>
  <c r="O18" i="396"/>
  <c r="I13" i="336"/>
  <c r="K4" i="334"/>
  <c r="L3" i="334"/>
  <c r="J4" i="348"/>
  <c r="K3" i="348"/>
  <c r="L18" i="397"/>
  <c r="I18" i="385"/>
  <c r="L5" i="398"/>
  <c r="L18" i="398"/>
  <c r="M4" i="398"/>
  <c r="L29" i="394"/>
  <c r="K30" i="394"/>
  <c r="K43" i="394"/>
  <c r="M29" i="400"/>
  <c r="L30" i="400"/>
  <c r="L43" i="400"/>
  <c r="H13" i="340"/>
  <c r="M4" i="400"/>
  <c r="L5" i="400"/>
  <c r="K5" i="385"/>
  <c r="L4" i="385"/>
  <c r="P30" i="392"/>
  <c r="P43" i="392"/>
  <c r="Q29" i="392"/>
  <c r="K4" i="345"/>
  <c r="K13" i="345"/>
  <c r="L3" i="345"/>
  <c r="K18" i="392"/>
  <c r="L4" i="376"/>
  <c r="M3" i="376"/>
  <c r="L3" i="336"/>
  <c r="K4" i="336"/>
  <c r="K18" i="400"/>
  <c r="O30" i="396"/>
  <c r="O43" i="396"/>
  <c r="P29" i="396"/>
  <c r="L5" i="392"/>
  <c r="L18" i="392"/>
  <c r="M4" i="392"/>
  <c r="M18" i="394"/>
  <c r="J13" i="336"/>
  <c r="L29" i="395"/>
  <c r="K30" i="395"/>
  <c r="K43" i="395"/>
  <c r="N5" i="394"/>
  <c r="O4" i="394"/>
  <c r="O5" i="391"/>
  <c r="O18" i="391"/>
  <c r="P4" i="391"/>
  <c r="I4" i="341"/>
  <c r="J3" i="341"/>
  <c r="J18" i="385"/>
  <c r="N18" i="391"/>
  <c r="I4" i="335"/>
  <c r="J3" i="335"/>
  <c r="L30" i="399"/>
  <c r="L43" i="399"/>
  <c r="M29" i="399"/>
  <c r="H13" i="341"/>
  <c r="O13" i="342"/>
  <c r="N3" i="343"/>
  <c r="M4" i="343"/>
  <c r="K30" i="398"/>
  <c r="K43" i="398"/>
  <c r="L29" i="398"/>
  <c r="M4" i="395"/>
  <c r="L5" i="395"/>
  <c r="P4" i="342"/>
  <c r="Q3" i="342"/>
  <c r="I12" i="379"/>
  <c r="L13" i="343"/>
  <c r="K18" i="395"/>
  <c r="M18" i="397"/>
  <c r="L4" i="334"/>
  <c r="M3" i="334"/>
  <c r="J4" i="379"/>
  <c r="K3" i="379"/>
  <c r="O4" i="397"/>
  <c r="N5" i="397"/>
  <c r="J3" i="340"/>
  <c r="I4" i="340"/>
  <c r="J4" i="332"/>
  <c r="K3" i="332"/>
  <c r="P18" i="396"/>
  <c r="J4" i="377"/>
  <c r="K3" i="377"/>
  <c r="L29" i="391"/>
  <c r="K30" i="391"/>
  <c r="K43" i="391"/>
  <c r="N3" i="370"/>
  <c r="M4" i="370"/>
  <c r="Q5" i="396"/>
  <c r="R4" i="396"/>
  <c r="N29" i="385"/>
  <c r="M30" i="385"/>
  <c r="M43" i="385"/>
  <c r="N5" i="399"/>
  <c r="O4" i="399"/>
  <c r="L30" i="394"/>
  <c r="L43" i="394"/>
  <c r="M29" i="394"/>
  <c r="N30" i="397"/>
  <c r="N43" i="397"/>
  <c r="O29" i="397"/>
  <c r="J4" i="350"/>
  <c r="K3" i="350"/>
  <c r="M18" i="399"/>
  <c r="N4" i="398"/>
  <c r="M5" i="398"/>
  <c r="K4" i="348"/>
  <c r="L3" i="348"/>
  <c r="L13" i="349"/>
  <c r="J13" i="345"/>
  <c r="J13" i="348"/>
  <c r="L4" i="378"/>
  <c r="L16" i="378"/>
  <c r="M3" i="378"/>
  <c r="N3" i="349"/>
  <c r="M4" i="349"/>
  <c r="K16" i="378"/>
  <c r="M13" i="343"/>
  <c r="N3" i="378"/>
  <c r="M4" i="378"/>
  <c r="M16" i="378"/>
  <c r="O5" i="399"/>
  <c r="P4" i="399"/>
  <c r="J12" i="379"/>
  <c r="Q4" i="391"/>
  <c r="P5" i="391"/>
  <c r="K18" i="385"/>
  <c r="N29" i="400"/>
  <c r="M30" i="400"/>
  <c r="M43" i="400"/>
  <c r="N18" i="399"/>
  <c r="O3" i="370"/>
  <c r="N4" i="370"/>
  <c r="L18" i="400"/>
  <c r="K4" i="350"/>
  <c r="L3" i="350"/>
  <c r="N4" i="400"/>
  <c r="M5" i="400"/>
  <c r="P13" i="342"/>
  <c r="O4" i="398"/>
  <c r="N5" i="398"/>
  <c r="N18" i="398"/>
  <c r="L3" i="332"/>
  <c r="K4" i="332"/>
  <c r="N30" i="385"/>
  <c r="N43" i="385"/>
  <c r="O29" i="385"/>
  <c r="M4" i="334"/>
  <c r="N3" i="334"/>
  <c r="M5" i="392"/>
  <c r="N4" i="392"/>
  <c r="K13" i="336"/>
  <c r="O3" i="343"/>
  <c r="N4" i="343"/>
  <c r="N13" i="343"/>
  <c r="I13" i="340"/>
  <c r="N29" i="399"/>
  <c r="M30" i="399"/>
  <c r="M43" i="399"/>
  <c r="L4" i="336"/>
  <c r="M3" i="336"/>
  <c r="J4" i="340"/>
  <c r="K3" i="340"/>
  <c r="S4" i="396"/>
  <c r="R5" i="396"/>
  <c r="N18" i="397"/>
  <c r="P4" i="394"/>
  <c r="O5" i="394"/>
  <c r="O18" i="394"/>
  <c r="M4" i="376"/>
  <c r="N3" i="376"/>
  <c r="L3" i="379"/>
  <c r="K4" i="379"/>
  <c r="K12" i="379"/>
  <c r="N29" i="394"/>
  <c r="M30" i="394"/>
  <c r="M43" i="394"/>
  <c r="Q18" i="396"/>
  <c r="P4" i="397"/>
  <c r="O5" i="397"/>
  <c r="L18" i="395"/>
  <c r="K3" i="341"/>
  <c r="J4" i="341"/>
  <c r="J13" i="341"/>
  <c r="N18" i="394"/>
  <c r="Q29" i="396"/>
  <c r="P30" i="396"/>
  <c r="P43" i="396"/>
  <c r="M5" i="395"/>
  <c r="N4" i="395"/>
  <c r="K3" i="335"/>
  <c r="J4" i="335"/>
  <c r="I13" i="341"/>
  <c r="M4" i="385"/>
  <c r="L5" i="385"/>
  <c r="L18" i="385"/>
  <c r="M13" i="349"/>
  <c r="M3" i="348"/>
  <c r="L4" i="348"/>
  <c r="L3" i="377"/>
  <c r="K4" i="377"/>
  <c r="M29" i="398"/>
  <c r="L30" i="398"/>
  <c r="L43" i="398"/>
  <c r="O30" i="397"/>
  <c r="O43" i="397"/>
  <c r="P29" i="397"/>
  <c r="O3" i="349"/>
  <c r="N4" i="349"/>
  <c r="K13" i="348"/>
  <c r="L4" i="345"/>
  <c r="M3" i="345"/>
  <c r="M18" i="398"/>
  <c r="L30" i="391"/>
  <c r="L43" i="391"/>
  <c r="M29" i="391"/>
  <c r="Q4" i="342"/>
  <c r="Q13" i="342"/>
  <c r="R3" i="342"/>
  <c r="M29" i="395"/>
  <c r="L30" i="395"/>
  <c r="L43" i="395"/>
  <c r="Q30" i="392"/>
  <c r="Q43" i="392"/>
  <c r="R29" i="392"/>
  <c r="N13" i="349"/>
  <c r="M3" i="377"/>
  <c r="L4" i="377"/>
  <c r="M5" i="385"/>
  <c r="M18" i="385"/>
  <c r="N4" i="385"/>
  <c r="P3" i="370"/>
  <c r="O4" i="370"/>
  <c r="M4" i="345"/>
  <c r="M13" i="345"/>
  <c r="N3" i="345"/>
  <c r="P3" i="349"/>
  <c r="O4" i="349"/>
  <c r="O13" i="349"/>
  <c r="K4" i="341"/>
  <c r="K13" i="341"/>
  <c r="L3" i="341"/>
  <c r="L4" i="379"/>
  <c r="L12" i="379"/>
  <c r="M3" i="379"/>
  <c r="P3" i="343"/>
  <c r="O4" i="343"/>
  <c r="O13" i="343"/>
  <c r="N4" i="334"/>
  <c r="O3" i="334"/>
  <c r="M18" i="395"/>
  <c r="O18" i="397"/>
  <c r="P18" i="391"/>
  <c r="M4" i="348"/>
  <c r="M13" i="348"/>
  <c r="N3" i="348"/>
  <c r="Q4" i="397"/>
  <c r="P5" i="397"/>
  <c r="P18" i="397"/>
  <c r="R4" i="391"/>
  <c r="Q5" i="391"/>
  <c r="Q18" i="391"/>
  <c r="R30" i="392"/>
  <c r="R43" i="392"/>
  <c r="S29" i="392"/>
  <c r="O3" i="376"/>
  <c r="N4" i="376"/>
  <c r="O30" i="385"/>
  <c r="O43" i="385"/>
  <c r="P29" i="385"/>
  <c r="M18" i="400"/>
  <c r="R29" i="396"/>
  <c r="Q30" i="396"/>
  <c r="Q43" i="396"/>
  <c r="O4" i="400"/>
  <c r="N5" i="400"/>
  <c r="N18" i="400"/>
  <c r="O29" i="399"/>
  <c r="N30" i="399"/>
  <c r="N43" i="399"/>
  <c r="P5" i="394"/>
  <c r="P18" i="394"/>
  <c r="Q4" i="394"/>
  <c r="M3" i="332"/>
  <c r="L4" i="332"/>
  <c r="L13" i="348"/>
  <c r="L3" i="340"/>
  <c r="K4" i="340"/>
  <c r="P5" i="399"/>
  <c r="P18" i="399"/>
  <c r="Q4" i="399"/>
  <c r="J13" i="340"/>
  <c r="O5" i="398"/>
  <c r="O18" i="398"/>
  <c r="P4" i="398"/>
  <c r="O18" i="399"/>
  <c r="T4" i="396"/>
  <c r="S5" i="396"/>
  <c r="S18" i="396"/>
  <c r="K4" i="335"/>
  <c r="L3" i="335"/>
  <c r="L4" i="350"/>
  <c r="M3" i="350"/>
  <c r="L13" i="345"/>
  <c r="Q29" i="397"/>
  <c r="P30" i="397"/>
  <c r="P43" i="397"/>
  <c r="O3" i="378"/>
  <c r="N4" i="378"/>
  <c r="N16" i="378"/>
  <c r="M30" i="395"/>
  <c r="M43" i="395"/>
  <c r="N29" i="395"/>
  <c r="N29" i="391"/>
  <c r="M30" i="391"/>
  <c r="M43" i="391"/>
  <c r="N3" i="336"/>
  <c r="M4" i="336"/>
  <c r="M13" i="336"/>
  <c r="O4" i="392"/>
  <c r="N5" i="392"/>
  <c r="N18" i="392"/>
  <c r="O29" i="400"/>
  <c r="N30" i="400"/>
  <c r="N43" i="400"/>
  <c r="N29" i="398"/>
  <c r="M30" i="398"/>
  <c r="M43" i="398"/>
  <c r="R4" i="342"/>
  <c r="R13" i="342"/>
  <c r="S3" i="342"/>
  <c r="O4" i="395"/>
  <c r="N5" i="395"/>
  <c r="N18" i="395"/>
  <c r="O29" i="394"/>
  <c r="N30" i="394"/>
  <c r="N43" i="394"/>
  <c r="R18" i="396"/>
  <c r="L13" i="336"/>
  <c r="M18" i="392"/>
  <c r="S4" i="391"/>
  <c r="R5" i="391"/>
  <c r="R18" i="391"/>
  <c r="O3" i="345"/>
  <c r="N4" i="345"/>
  <c r="N13" i="345"/>
  <c r="P4" i="392"/>
  <c r="O5" i="392"/>
  <c r="O18" i="392"/>
  <c r="O3" i="348"/>
  <c r="N4" i="348"/>
  <c r="N13" i="348"/>
  <c r="P4" i="370"/>
  <c r="Q3" i="370"/>
  <c r="O4" i="334"/>
  <c r="P3" i="334"/>
  <c r="O4" i="385"/>
  <c r="N5" i="385"/>
  <c r="N18" i="385"/>
  <c r="P5" i="398"/>
  <c r="P18" i="398"/>
  <c r="Q4" i="398"/>
  <c r="P29" i="400"/>
  <c r="O30" i="400"/>
  <c r="O43" i="400"/>
  <c r="M4" i="350"/>
  <c r="N3" i="350"/>
  <c r="N3" i="332"/>
  <c r="M4" i="332"/>
  <c r="S29" i="396"/>
  <c r="R30" i="396"/>
  <c r="R43" i="396"/>
  <c r="O3" i="336"/>
  <c r="N4" i="336"/>
  <c r="N13" i="336"/>
  <c r="N30" i="391"/>
  <c r="N43" i="391"/>
  <c r="O29" i="391"/>
  <c r="P4" i="343"/>
  <c r="P13" i="343"/>
  <c r="Q3" i="343"/>
  <c r="N3" i="377"/>
  <c r="M4" i="377"/>
  <c r="R29" i="397"/>
  <c r="Q30" i="397"/>
  <c r="Q43" i="397"/>
  <c r="R4" i="397"/>
  <c r="Q5" i="397"/>
  <c r="Q18" i="397"/>
  <c r="P29" i="394"/>
  <c r="O30" i="394"/>
  <c r="O43" i="394"/>
  <c r="N30" i="395"/>
  <c r="N43" i="395"/>
  <c r="O29" i="395"/>
  <c r="L4" i="335"/>
  <c r="M3" i="335"/>
  <c r="Q5" i="399"/>
  <c r="Q18" i="399"/>
  <c r="R4" i="399"/>
  <c r="R4" i="394"/>
  <c r="Q5" i="394"/>
  <c r="Q18" i="394"/>
  <c r="P3" i="378"/>
  <c r="O4" i="378"/>
  <c r="O16" i="378"/>
  <c r="Q29" i="385"/>
  <c r="P30" i="385"/>
  <c r="P43" i="385"/>
  <c r="N3" i="379"/>
  <c r="M4" i="379"/>
  <c r="M12" i="379"/>
  <c r="N30" i="398"/>
  <c r="N43" i="398"/>
  <c r="O29" i="398"/>
  <c r="M3" i="340"/>
  <c r="L4" i="340"/>
  <c r="L13" i="340"/>
  <c r="O30" i="399"/>
  <c r="O43" i="399"/>
  <c r="P29" i="399"/>
  <c r="T3" i="342"/>
  <c r="S4" i="342"/>
  <c r="S13" i="342"/>
  <c r="U4" i="396"/>
  <c r="T5" i="396"/>
  <c r="T18" i="396"/>
  <c r="O4" i="376"/>
  <c r="P3" i="376"/>
  <c r="M3" i="341"/>
  <c r="L4" i="341"/>
  <c r="L13" i="341"/>
  <c r="P4" i="349"/>
  <c r="P13" i="349"/>
  <c r="Q3" i="349"/>
  <c r="O5" i="395"/>
  <c r="O18" i="395"/>
  <c r="P4" i="395"/>
  <c r="O5" i="400"/>
  <c r="O18" i="400"/>
  <c r="P4" i="400"/>
  <c r="S30" i="392"/>
  <c r="S43" i="392"/>
  <c r="T29" i="392"/>
  <c r="P5" i="400"/>
  <c r="P18" i="400"/>
  <c r="Q4" i="400"/>
  <c r="R5" i="394"/>
  <c r="R18" i="394"/>
  <c r="S4" i="394"/>
  <c r="U29" i="392"/>
  <c r="T30" i="392"/>
  <c r="T43" i="392"/>
  <c r="O30" i="391"/>
  <c r="O43" i="391"/>
  <c r="P29" i="391"/>
  <c r="M4" i="335"/>
  <c r="N3" i="335"/>
  <c r="P3" i="336"/>
  <c r="O4" i="336"/>
  <c r="O13" i="336"/>
  <c r="R5" i="399"/>
  <c r="R18" i="399"/>
  <c r="S4" i="399"/>
  <c r="P4" i="334"/>
  <c r="Q3" i="334"/>
  <c r="R3" i="343"/>
  <c r="Q4" i="343"/>
  <c r="Q13" i="343"/>
  <c r="Q29" i="394"/>
  <c r="P30" i="394"/>
  <c r="P43" i="394"/>
  <c r="N4" i="332"/>
  <c r="O3" i="332"/>
  <c r="O4" i="348"/>
  <c r="O13" i="348"/>
  <c r="P3" i="348"/>
  <c r="P29" i="398"/>
  <c r="O30" i="398"/>
  <c r="O43" i="398"/>
  <c r="P5" i="395"/>
  <c r="P18" i="395"/>
  <c r="Q4" i="395"/>
  <c r="R3" i="349"/>
  <c r="Q4" i="349"/>
  <c r="Q13" i="349"/>
  <c r="O30" i="395"/>
  <c r="O43" i="395"/>
  <c r="P29" i="395"/>
  <c r="R5" i="397"/>
  <c r="R18" i="397"/>
  <c r="S4" i="397"/>
  <c r="P5" i="392"/>
  <c r="P18" i="392"/>
  <c r="Q4" i="392"/>
  <c r="P4" i="385"/>
  <c r="O5" i="385"/>
  <c r="O18" i="385"/>
  <c r="M4" i="340"/>
  <c r="M13" i="340"/>
  <c r="N3" i="340"/>
  <c r="R3" i="370"/>
  <c r="Q4" i="370"/>
  <c r="S30" i="396"/>
  <c r="S43" i="396"/>
  <c r="T29" i="396"/>
  <c r="U5" i="396"/>
  <c r="U18" i="396"/>
  <c r="V4" i="396"/>
  <c r="R29" i="385"/>
  <c r="Q30" i="385"/>
  <c r="Q43" i="385"/>
  <c r="S29" i="397"/>
  <c r="R30" i="397"/>
  <c r="R43" i="397"/>
  <c r="P30" i="400"/>
  <c r="P43" i="400"/>
  <c r="Q29" i="400"/>
  <c r="P3" i="345"/>
  <c r="O4" i="345"/>
  <c r="O13" i="345"/>
  <c r="Q29" i="399"/>
  <c r="P30" i="399"/>
  <c r="P43" i="399"/>
  <c r="N3" i="341"/>
  <c r="M4" i="341"/>
  <c r="M13" i="341"/>
  <c r="Q3" i="376"/>
  <c r="P4" i="376"/>
  <c r="O3" i="350"/>
  <c r="N4" i="350"/>
  <c r="N4" i="379"/>
  <c r="N12" i="379"/>
  <c r="O3" i="379"/>
  <c r="Q5" i="398"/>
  <c r="Q18" i="398"/>
  <c r="R4" i="398"/>
  <c r="U3" i="342"/>
  <c r="T4" i="342"/>
  <c r="T13" i="342"/>
  <c r="Q3" i="378"/>
  <c r="P4" i="378"/>
  <c r="P16" i="378"/>
  <c r="N4" i="377"/>
  <c r="O3" i="377"/>
  <c r="T4" i="391"/>
  <c r="S5" i="391"/>
  <c r="S18" i="391"/>
  <c r="S5" i="399"/>
  <c r="S18" i="399"/>
  <c r="T4" i="399"/>
  <c r="P3" i="350"/>
  <c r="O4" i="350"/>
  <c r="Q4" i="376"/>
  <c r="R3" i="376"/>
  <c r="Q5" i="395"/>
  <c r="Q18" i="395"/>
  <c r="R4" i="395"/>
  <c r="O3" i="340"/>
  <c r="N4" i="340"/>
  <c r="N13" i="340"/>
  <c r="P4" i="348"/>
  <c r="P13" i="348"/>
  <c r="Q3" i="348"/>
  <c r="P30" i="391"/>
  <c r="P43" i="391"/>
  <c r="Q29" i="391"/>
  <c r="S3" i="349"/>
  <c r="R4" i="349"/>
  <c r="R13" i="349"/>
  <c r="R30" i="385"/>
  <c r="R43" i="385"/>
  <c r="S29" i="385"/>
  <c r="T30" i="396"/>
  <c r="T43" i="396"/>
  <c r="U29" i="396"/>
  <c r="U4" i="391"/>
  <c r="T5" i="391"/>
  <c r="T18" i="391"/>
  <c r="P3" i="377"/>
  <c r="O4" i="377"/>
  <c r="R29" i="399"/>
  <c r="Q30" i="399"/>
  <c r="Q43" i="399"/>
  <c r="Q4" i="378"/>
  <c r="Q16" i="378"/>
  <c r="R3" i="378"/>
  <c r="Q3" i="345"/>
  <c r="P4" i="345"/>
  <c r="P13" i="345"/>
  <c r="P5" i="385"/>
  <c r="P18" i="385"/>
  <c r="Q4" i="385"/>
  <c r="V29" i="392"/>
  <c r="U30" i="392"/>
  <c r="U43" i="392"/>
  <c r="P3" i="379"/>
  <c r="O4" i="379"/>
  <c r="O12" i="379"/>
  <c r="Q4" i="334"/>
  <c r="R3" i="334"/>
  <c r="N4" i="335"/>
  <c r="O3" i="335"/>
  <c r="O3" i="341"/>
  <c r="N4" i="341"/>
  <c r="N13" i="341"/>
  <c r="S3" i="370"/>
  <c r="R4" i="370"/>
  <c r="Q30" i="400"/>
  <c r="Q43" i="400"/>
  <c r="R29" i="400"/>
  <c r="R4" i="392"/>
  <c r="Q5" i="392"/>
  <c r="Q18" i="392"/>
  <c r="S5" i="394"/>
  <c r="S18" i="394"/>
  <c r="T4" i="394"/>
  <c r="Q3" i="336"/>
  <c r="P4" i="336"/>
  <c r="P13" i="336"/>
  <c r="P30" i="398"/>
  <c r="P43" i="398"/>
  <c r="Q29" i="398"/>
  <c r="R29" i="394"/>
  <c r="Q30" i="394"/>
  <c r="Q43" i="394"/>
  <c r="Q29" i="395"/>
  <c r="P30" i="395"/>
  <c r="P43" i="395"/>
  <c r="P3" i="332"/>
  <c r="O4" i="332"/>
  <c r="R5" i="398"/>
  <c r="R18" i="398"/>
  <c r="S4" i="398"/>
  <c r="T4" i="397"/>
  <c r="S5" i="397"/>
  <c r="S18" i="397"/>
  <c r="Q5" i="400"/>
  <c r="Q18" i="400"/>
  <c r="R4" i="400"/>
  <c r="W4" i="396"/>
  <c r="V5" i="396"/>
  <c r="V18" i="396"/>
  <c r="U4" i="342"/>
  <c r="U13" i="342"/>
  <c r="V3" i="342"/>
  <c r="S30" i="397"/>
  <c r="S43" i="397"/>
  <c r="T29" i="397"/>
  <c r="R4" i="343"/>
  <c r="R13" i="343"/>
  <c r="S3" i="343"/>
  <c r="Q30" i="391"/>
  <c r="Q43" i="391"/>
  <c r="R29" i="391"/>
  <c r="T3" i="349"/>
  <c r="S4" i="349"/>
  <c r="S13" i="349"/>
  <c r="S29" i="400"/>
  <c r="R30" i="400"/>
  <c r="R43" i="400"/>
  <c r="O4" i="340"/>
  <c r="O13" i="340"/>
  <c r="P3" i="340"/>
  <c r="S4" i="395"/>
  <c r="R5" i="395"/>
  <c r="R18" i="395"/>
  <c r="U4" i="397"/>
  <c r="T5" i="397"/>
  <c r="T18" i="397"/>
  <c r="P3" i="341"/>
  <c r="O4" i="341"/>
  <c r="O13" i="341"/>
  <c r="T30" i="397"/>
  <c r="T43" i="397"/>
  <c r="U29" i="397"/>
  <c r="P3" i="335"/>
  <c r="O4" i="335"/>
  <c r="S3" i="376"/>
  <c r="R4" i="376"/>
  <c r="R4" i="385"/>
  <c r="Q5" i="385"/>
  <c r="Q18" i="385"/>
  <c r="R5" i="392"/>
  <c r="R18" i="392"/>
  <c r="S4" i="392"/>
  <c r="Q30" i="395"/>
  <c r="Q43" i="395"/>
  <c r="R29" i="395"/>
  <c r="V4" i="342"/>
  <c r="V13" i="342"/>
  <c r="W3" i="342"/>
  <c r="R4" i="334"/>
  <c r="S3" i="334"/>
  <c r="U5" i="391"/>
  <c r="U18" i="391"/>
  <c r="V4" i="391"/>
  <c r="P4" i="332"/>
  <c r="Q3" i="332"/>
  <c r="Q3" i="377"/>
  <c r="P4" i="377"/>
  <c r="V29" i="396"/>
  <c r="U30" i="396"/>
  <c r="U43" i="396"/>
  <c r="T4" i="398"/>
  <c r="S5" i="398"/>
  <c r="S18" i="398"/>
  <c r="S4" i="370"/>
  <c r="T3" i="370"/>
  <c r="S4" i="343"/>
  <c r="S13" i="343"/>
  <c r="T3" i="343"/>
  <c r="R30" i="399"/>
  <c r="R43" i="399"/>
  <c r="S29" i="399"/>
  <c r="R30" i="394"/>
  <c r="R43" i="394"/>
  <c r="S29" i="394"/>
  <c r="R3" i="336"/>
  <c r="Q4" i="336"/>
  <c r="Q13" i="336"/>
  <c r="P4" i="379"/>
  <c r="P12" i="379"/>
  <c r="Q3" i="379"/>
  <c r="Q3" i="350"/>
  <c r="P4" i="350"/>
  <c r="R3" i="345"/>
  <c r="Q4" i="345"/>
  <c r="Q13" i="345"/>
  <c r="R4" i="378"/>
  <c r="R16" i="378"/>
  <c r="S3" i="378"/>
  <c r="R3" i="348"/>
  <c r="Q4" i="348"/>
  <c r="Q13" i="348"/>
  <c r="X4" i="396"/>
  <c r="W5" i="396"/>
  <c r="W18" i="396"/>
  <c r="R5" i="400"/>
  <c r="R18" i="400"/>
  <c r="S4" i="400"/>
  <c r="U4" i="394"/>
  <c r="T5" i="394"/>
  <c r="T18" i="394"/>
  <c r="T29" i="385"/>
  <c r="S30" i="385"/>
  <c r="S43" i="385"/>
  <c r="U4" i="399"/>
  <c r="T5" i="399"/>
  <c r="T18" i="399"/>
  <c r="Q30" i="398"/>
  <c r="Q43" i="398"/>
  <c r="R29" i="398"/>
  <c r="W29" i="392"/>
  <c r="V30" i="392"/>
  <c r="V43" i="392"/>
  <c r="V5" i="391"/>
  <c r="V18" i="391"/>
  <c r="W4" i="391"/>
  <c r="T29" i="399"/>
  <c r="S30" i="399"/>
  <c r="S43" i="399"/>
  <c r="T3" i="334"/>
  <c r="S4" i="334"/>
  <c r="V4" i="397"/>
  <c r="U5" i="397"/>
  <c r="U18" i="397"/>
  <c r="S5" i="392"/>
  <c r="S18" i="392"/>
  <c r="T4" i="392"/>
  <c r="Q3" i="340"/>
  <c r="P4" i="340"/>
  <c r="P13" i="340"/>
  <c r="V29" i="397"/>
  <c r="U30" i="397"/>
  <c r="U43" i="397"/>
  <c r="Y4" i="396"/>
  <c r="X5" i="396"/>
  <c r="X18" i="396"/>
  <c r="P4" i="341"/>
  <c r="P13" i="341"/>
  <c r="Q3" i="341"/>
  <c r="W4" i="342"/>
  <c r="W13" i="342"/>
  <c r="X3" i="342"/>
  <c r="S29" i="398"/>
  <c r="R30" i="398"/>
  <c r="R43" i="398"/>
  <c r="R4" i="345"/>
  <c r="R13" i="345"/>
  <c r="S3" i="345"/>
  <c r="R3" i="350"/>
  <c r="Q4" i="350"/>
  <c r="W29" i="396"/>
  <c r="V30" i="396"/>
  <c r="V43" i="396"/>
  <c r="R5" i="385"/>
  <c r="R18" i="385"/>
  <c r="S4" i="385"/>
  <c r="T29" i="400"/>
  <c r="S30" i="400"/>
  <c r="S43" i="400"/>
  <c r="S4" i="378"/>
  <c r="S16" i="378"/>
  <c r="T3" i="378"/>
  <c r="U3" i="370"/>
  <c r="T4" i="370"/>
  <c r="X29" i="392"/>
  <c r="W30" i="392"/>
  <c r="W43" i="392"/>
  <c r="T5" i="398"/>
  <c r="T18" i="398"/>
  <c r="U4" i="398"/>
  <c r="T30" i="385"/>
  <c r="T43" i="385"/>
  <c r="U29" i="385"/>
  <c r="R3" i="377"/>
  <c r="Q4" i="377"/>
  <c r="S4" i="376"/>
  <c r="T3" i="376"/>
  <c r="T4" i="349"/>
  <c r="T13" i="349"/>
  <c r="U3" i="349"/>
  <c r="T4" i="400"/>
  <c r="S5" i="400"/>
  <c r="S18" i="400"/>
  <c r="U3" i="343"/>
  <c r="T4" i="343"/>
  <c r="T13" i="343"/>
  <c r="S3" i="348"/>
  <c r="R4" i="348"/>
  <c r="R13" i="348"/>
  <c r="S29" i="395"/>
  <c r="R30" i="395"/>
  <c r="R43" i="395"/>
  <c r="V4" i="399"/>
  <c r="U5" i="399"/>
  <c r="U18" i="399"/>
  <c r="Q4" i="332"/>
  <c r="R3" i="332"/>
  <c r="R30" i="391"/>
  <c r="R43" i="391"/>
  <c r="S29" i="391"/>
  <c r="S30" i="394"/>
  <c r="S43" i="394"/>
  <c r="T29" i="394"/>
  <c r="S5" i="395"/>
  <c r="S18" i="395"/>
  <c r="T4" i="395"/>
  <c r="Q4" i="379"/>
  <c r="Q12" i="379"/>
  <c r="R3" i="379"/>
  <c r="V4" i="394"/>
  <c r="U5" i="394"/>
  <c r="U18" i="394"/>
  <c r="S3" i="336"/>
  <c r="R4" i="336"/>
  <c r="P4" i="335"/>
  <c r="Q3" i="335"/>
  <c r="U29" i="400"/>
  <c r="T30" i="400"/>
  <c r="T43" i="400"/>
  <c r="T29" i="391"/>
  <c r="S30" i="391"/>
  <c r="S43" i="391"/>
  <c r="S3" i="332"/>
  <c r="R4" i="332"/>
  <c r="R3" i="340"/>
  <c r="Q4" i="340"/>
  <c r="Q13" i="340"/>
  <c r="V3" i="349"/>
  <c r="U4" i="349"/>
  <c r="U13" i="349"/>
  <c r="U3" i="376"/>
  <c r="T4" i="376"/>
  <c r="U4" i="392"/>
  <c r="T5" i="392"/>
  <c r="T18" i="392"/>
  <c r="Y5" i="396"/>
  <c r="Y18" i="396"/>
  <c r="Z4" i="396"/>
  <c r="Q4" i="335"/>
  <c r="R3" i="335"/>
  <c r="V4" i="398"/>
  <c r="U5" i="398"/>
  <c r="U18" i="398"/>
  <c r="S4" i="345"/>
  <c r="S13" i="345"/>
  <c r="T3" i="345"/>
  <c r="V5" i="399"/>
  <c r="V18" i="399"/>
  <c r="W4" i="399"/>
  <c r="V5" i="397"/>
  <c r="V18" i="397"/>
  <c r="W4" i="397"/>
  <c r="S4" i="336"/>
  <c r="S13" i="336"/>
  <c r="T3" i="336"/>
  <c r="X29" i="396"/>
  <c r="W30" i="396"/>
  <c r="W43" i="396"/>
  <c r="W4" i="394"/>
  <c r="V5" i="394"/>
  <c r="V18" i="394"/>
  <c r="T3" i="348"/>
  <c r="S4" i="348"/>
  <c r="S13" i="348"/>
  <c r="Y29" i="392"/>
  <c r="X30" i="392"/>
  <c r="X43" i="392"/>
  <c r="T29" i="398"/>
  <c r="S30" i="398"/>
  <c r="S43" i="398"/>
  <c r="U3" i="334"/>
  <c r="T4" i="334"/>
  <c r="T4" i="385"/>
  <c r="S5" i="385"/>
  <c r="S18" i="385"/>
  <c r="V30" i="397"/>
  <c r="V43" i="397"/>
  <c r="W29" i="397"/>
  <c r="R4" i="379"/>
  <c r="R12" i="379"/>
  <c r="S3" i="379"/>
  <c r="Y3" i="342"/>
  <c r="X4" i="342"/>
  <c r="X13" i="342"/>
  <c r="S3" i="377"/>
  <c r="R4" i="377"/>
  <c r="T29" i="395"/>
  <c r="S30" i="395"/>
  <c r="S43" i="395"/>
  <c r="V3" i="343"/>
  <c r="U4" i="343"/>
  <c r="U13" i="343"/>
  <c r="U4" i="370"/>
  <c r="V3" i="370"/>
  <c r="U29" i="399"/>
  <c r="T30" i="399"/>
  <c r="T43" i="399"/>
  <c r="U29" i="394"/>
  <c r="T30" i="394"/>
  <c r="T43" i="394"/>
  <c r="R4" i="350"/>
  <c r="S3" i="350"/>
  <c r="U4" i="395"/>
  <c r="T5" i="395"/>
  <c r="T18" i="395"/>
  <c r="T4" i="378"/>
  <c r="T16" i="378"/>
  <c r="U3" i="378"/>
  <c r="Q4" i="341"/>
  <c r="Q13" i="341"/>
  <c r="R3" i="341"/>
  <c r="X4" i="391"/>
  <c r="W5" i="391"/>
  <c r="W18" i="391"/>
  <c r="U30" i="385"/>
  <c r="U43" i="385"/>
  <c r="V29" i="385"/>
  <c r="U4" i="400"/>
  <c r="T5" i="400"/>
  <c r="T18" i="400"/>
  <c r="V4" i="395"/>
  <c r="U5" i="395"/>
  <c r="U18" i="395"/>
  <c r="Z5" i="396"/>
  <c r="Z18" i="396"/>
  <c r="AA4" i="396"/>
  <c r="W5" i="397"/>
  <c r="W18" i="397"/>
  <c r="X4" i="397"/>
  <c r="Z3" i="342"/>
  <c r="Y4" i="342"/>
  <c r="Y13" i="342"/>
  <c r="W3" i="349"/>
  <c r="V4" i="349"/>
  <c r="V13" i="349"/>
  <c r="T3" i="350"/>
  <c r="S4" i="350"/>
  <c r="U5" i="392"/>
  <c r="U18" i="392"/>
  <c r="V4" i="392"/>
  <c r="V29" i="394"/>
  <c r="U30" i="394"/>
  <c r="U43" i="394"/>
  <c r="U4" i="376"/>
  <c r="V3" i="376"/>
  <c r="Y29" i="396"/>
  <c r="X30" i="396"/>
  <c r="X43" i="396"/>
  <c r="S3" i="340"/>
  <c r="R4" i="340"/>
  <c r="R13" i="340"/>
  <c r="U3" i="336"/>
  <c r="T4" i="336"/>
  <c r="T13" i="336"/>
  <c r="W30" i="397"/>
  <c r="W43" i="397"/>
  <c r="X29" i="397"/>
  <c r="T5" i="385"/>
  <c r="T18" i="385"/>
  <c r="U4" i="385"/>
  <c r="U4" i="334"/>
  <c r="V3" i="334"/>
  <c r="Y4" i="391"/>
  <c r="X5" i="391"/>
  <c r="X18" i="391"/>
  <c r="V4" i="343"/>
  <c r="V13" i="343"/>
  <c r="W3" i="343"/>
  <c r="U29" i="398"/>
  <c r="T30" i="398"/>
  <c r="T43" i="398"/>
  <c r="S4" i="332"/>
  <c r="T3" i="332"/>
  <c r="U30" i="399"/>
  <c r="U43" i="399"/>
  <c r="V29" i="399"/>
  <c r="R4" i="341"/>
  <c r="R13" i="341"/>
  <c r="S3" i="341"/>
  <c r="T3" i="379"/>
  <c r="S4" i="379"/>
  <c r="S12" i="379"/>
  <c r="V4" i="400"/>
  <c r="U5" i="400"/>
  <c r="U18" i="400"/>
  <c r="W5" i="399"/>
  <c r="W18" i="399"/>
  <c r="X4" i="399"/>
  <c r="T30" i="395"/>
  <c r="T43" i="395"/>
  <c r="U29" i="395"/>
  <c r="Z29" i="392"/>
  <c r="Y30" i="392"/>
  <c r="Y43" i="392"/>
  <c r="V5" i="398"/>
  <c r="V18" i="398"/>
  <c r="W4" i="398"/>
  <c r="U29" i="391"/>
  <c r="T30" i="391"/>
  <c r="T43" i="391"/>
  <c r="X4" i="394"/>
  <c r="W5" i="394"/>
  <c r="W18" i="394"/>
  <c r="V4" i="370"/>
  <c r="W3" i="370"/>
  <c r="U3" i="345"/>
  <c r="T4" i="345"/>
  <c r="T13" i="345"/>
  <c r="V3" i="378"/>
  <c r="U4" i="378"/>
  <c r="U16" i="378"/>
  <c r="S3" i="335"/>
  <c r="R4" i="335"/>
  <c r="V30" i="385"/>
  <c r="V43" i="385"/>
  <c r="W29" i="385"/>
  <c r="S4" i="377"/>
  <c r="T3" i="377"/>
  <c r="U3" i="348"/>
  <c r="T4" i="348"/>
  <c r="T13" i="348"/>
  <c r="U30" i="400"/>
  <c r="U43" i="400"/>
  <c r="V29" i="400"/>
  <c r="V4" i="334"/>
  <c r="W3" i="334"/>
  <c r="Z4" i="391"/>
  <c r="Y5" i="391"/>
  <c r="Y18" i="391"/>
  <c r="V5" i="400"/>
  <c r="V18" i="400"/>
  <c r="W4" i="400"/>
  <c r="V5" i="392"/>
  <c r="V18" i="392"/>
  <c r="W4" i="392"/>
  <c r="X3" i="370"/>
  <c r="W4" i="370"/>
  <c r="W4" i="349"/>
  <c r="W13" i="349"/>
  <c r="X3" i="349"/>
  <c r="W29" i="400"/>
  <c r="V30" i="400"/>
  <c r="V43" i="400"/>
  <c r="W3" i="378"/>
  <c r="V4" i="378"/>
  <c r="V16" i="378"/>
  <c r="T4" i="350"/>
  <c r="U3" i="350"/>
  <c r="U30" i="391"/>
  <c r="U43" i="391"/>
  <c r="V29" i="391"/>
  <c r="AA3" i="342"/>
  <c r="Z4" i="342"/>
  <c r="Z13" i="342"/>
  <c r="T3" i="341"/>
  <c r="S4" i="341"/>
  <c r="S13" i="341"/>
  <c r="T4" i="377"/>
  <c r="U3" i="377"/>
  <c r="U3" i="332"/>
  <c r="T4" i="332"/>
  <c r="X5" i="397"/>
  <c r="X18" i="397"/>
  <c r="Y4" i="397"/>
  <c r="U4" i="345"/>
  <c r="U13" i="345"/>
  <c r="V3" i="345"/>
  <c r="V3" i="348"/>
  <c r="U4" i="348"/>
  <c r="U13" i="348"/>
  <c r="S4" i="340"/>
  <c r="S13" i="340"/>
  <c r="T3" i="340"/>
  <c r="Y4" i="399"/>
  <c r="X5" i="399"/>
  <c r="X18" i="399"/>
  <c r="U5" i="385"/>
  <c r="U18" i="385"/>
  <c r="V4" i="385"/>
  <c r="U4" i="336"/>
  <c r="U13" i="336"/>
  <c r="V3" i="336"/>
  <c r="W30" i="385"/>
  <c r="W43" i="385"/>
  <c r="X29" i="385"/>
  <c r="AA5" i="396"/>
  <c r="AA18" i="396"/>
  <c r="AB4" i="396"/>
  <c r="U3" i="379"/>
  <c r="T4" i="379"/>
  <c r="T12" i="379"/>
  <c r="Y29" i="397"/>
  <c r="X30" i="397"/>
  <c r="X43" i="397"/>
  <c r="Y4" i="394"/>
  <c r="X5" i="394"/>
  <c r="X18" i="394"/>
  <c r="AA29" i="392"/>
  <c r="Z30" i="392"/>
  <c r="Z43" i="392"/>
  <c r="U30" i="398"/>
  <c r="U43" i="398"/>
  <c r="V29" i="398"/>
  <c r="Y30" i="396"/>
  <c r="Y43" i="396"/>
  <c r="Z29" i="396"/>
  <c r="W5" i="398"/>
  <c r="W18" i="398"/>
  <c r="X4" i="398"/>
  <c r="V29" i="395"/>
  <c r="U30" i="395"/>
  <c r="U43" i="395"/>
  <c r="X3" i="343"/>
  <c r="W4" i="343"/>
  <c r="W13" i="343"/>
  <c r="V4" i="376"/>
  <c r="W3" i="376"/>
  <c r="W29" i="394"/>
  <c r="V30" i="394"/>
  <c r="V43" i="394"/>
  <c r="V30" i="399"/>
  <c r="V43" i="399"/>
  <c r="W29" i="399"/>
  <c r="T3" i="335"/>
  <c r="S4" i="335"/>
  <c r="W4" i="395"/>
  <c r="V5" i="395"/>
  <c r="V18" i="395"/>
  <c r="W4" i="378"/>
  <c r="W16" i="378"/>
  <c r="X3" i="378"/>
  <c r="W29" i="395"/>
  <c r="V30" i="395"/>
  <c r="V43" i="395"/>
  <c r="Y3" i="349"/>
  <c r="X4" i="349"/>
  <c r="X13" i="349"/>
  <c r="X4" i="370"/>
  <c r="Y3" i="370"/>
  <c r="V3" i="332"/>
  <c r="U4" i="332"/>
  <c r="W5" i="392"/>
  <c r="W18" i="392"/>
  <c r="X4" i="392"/>
  <c r="V3" i="379"/>
  <c r="U4" i="379"/>
  <c r="U12" i="379"/>
  <c r="AA29" i="396"/>
  <c r="Z30" i="396"/>
  <c r="Z43" i="396"/>
  <c r="T4" i="341"/>
  <c r="T13" i="341"/>
  <c r="U3" i="341"/>
  <c r="W29" i="398"/>
  <c r="V30" i="398"/>
  <c r="V43" i="398"/>
  <c r="V5" i="385"/>
  <c r="V18" i="385"/>
  <c r="W4" i="385"/>
  <c r="X4" i="400"/>
  <c r="W5" i="400"/>
  <c r="W18" i="400"/>
  <c r="Y3" i="343"/>
  <c r="X4" i="343"/>
  <c r="X13" i="343"/>
  <c r="Z4" i="397"/>
  <c r="Y5" i="397"/>
  <c r="Y18" i="397"/>
  <c r="Y4" i="398"/>
  <c r="X5" i="398"/>
  <c r="X18" i="398"/>
  <c r="AB29" i="392"/>
  <c r="AA30" i="392"/>
  <c r="AA43" i="392"/>
  <c r="Y5" i="399"/>
  <c r="Y18" i="399"/>
  <c r="Z4" i="399"/>
  <c r="AB3" i="342"/>
  <c r="AA4" i="342"/>
  <c r="AA13" i="342"/>
  <c r="U3" i="340"/>
  <c r="T4" i="340"/>
  <c r="T13" i="340"/>
  <c r="W29" i="391"/>
  <c r="V30" i="391"/>
  <c r="V43" i="391"/>
  <c r="X30" i="385"/>
  <c r="X43" i="385"/>
  <c r="Y29" i="385"/>
  <c r="V4" i="336"/>
  <c r="V13" i="336"/>
  <c r="W3" i="336"/>
  <c r="W5" i="395"/>
  <c r="W18" i="395"/>
  <c r="X4" i="395"/>
  <c r="X29" i="394"/>
  <c r="W30" i="394"/>
  <c r="W43" i="394"/>
  <c r="Y5" i="394"/>
  <c r="Y18" i="394"/>
  <c r="Z4" i="394"/>
  <c r="AA4" i="391"/>
  <c r="Z5" i="391"/>
  <c r="Z18" i="391"/>
  <c r="V4" i="345"/>
  <c r="V13" i="345"/>
  <c r="W3" i="345"/>
  <c r="V3" i="377"/>
  <c r="U4" i="377"/>
  <c r="T4" i="335"/>
  <c r="U3" i="335"/>
  <c r="X29" i="399"/>
  <c r="W30" i="399"/>
  <c r="W43" i="399"/>
  <c r="X3" i="376"/>
  <c r="W4" i="376"/>
  <c r="U4" i="350"/>
  <c r="V3" i="350"/>
  <c r="X3" i="334"/>
  <c r="W4" i="334"/>
  <c r="AC4" i="396"/>
  <c r="AB5" i="396"/>
  <c r="AB18" i="396"/>
  <c r="X29" i="400"/>
  <c r="W30" i="400"/>
  <c r="W43" i="400"/>
  <c r="Y30" i="397"/>
  <c r="Y43" i="397"/>
  <c r="Z29" i="397"/>
  <c r="W3" i="348"/>
  <c r="V4" i="348"/>
  <c r="V13" i="348"/>
  <c r="W3" i="350"/>
  <c r="V4" i="350"/>
  <c r="Z4" i="398"/>
  <c r="Y5" i="398"/>
  <c r="Y18" i="398"/>
  <c r="X3" i="336"/>
  <c r="W4" i="336"/>
  <c r="W13" i="336"/>
  <c r="Z5" i="397"/>
  <c r="Z18" i="397"/>
  <c r="AA4" i="397"/>
  <c r="Z3" i="343"/>
  <c r="Y4" i="343"/>
  <c r="Y13" i="343"/>
  <c r="V4" i="332"/>
  <c r="W3" i="332"/>
  <c r="AB29" i="396"/>
  <c r="AA30" i="396"/>
  <c r="AA43" i="396"/>
  <c r="W3" i="379"/>
  <c r="V4" i="379"/>
  <c r="V12" i="379"/>
  <c r="Y4" i="392"/>
  <c r="X5" i="392"/>
  <c r="X18" i="392"/>
  <c r="Z29" i="385"/>
  <c r="Y30" i="385"/>
  <c r="Y43" i="385"/>
  <c r="Z3" i="370"/>
  <c r="Y4" i="370"/>
  <c r="Y29" i="399"/>
  <c r="X30" i="399"/>
  <c r="X43" i="399"/>
  <c r="U4" i="335"/>
  <c r="V3" i="335"/>
  <c r="W30" i="391"/>
  <c r="W43" i="391"/>
  <c r="X29" i="391"/>
  <c r="X3" i="348"/>
  <c r="W4" i="348"/>
  <c r="W13" i="348"/>
  <c r="X4" i="385"/>
  <c r="W5" i="385"/>
  <c r="W18" i="385"/>
  <c r="Y29" i="400"/>
  <c r="X30" i="400"/>
  <c r="X43" i="400"/>
  <c r="V3" i="340"/>
  <c r="U4" i="340"/>
  <c r="U13" i="340"/>
  <c r="Y4" i="349"/>
  <c r="Y13" i="349"/>
  <c r="Z3" i="349"/>
  <c r="W4" i="345"/>
  <c r="W13" i="345"/>
  <c r="X3" i="345"/>
  <c r="X30" i="394"/>
  <c r="X43" i="394"/>
  <c r="Y29" i="394"/>
  <c r="Y4" i="395"/>
  <c r="X5" i="395"/>
  <c r="X18" i="395"/>
  <c r="AC5" i="396"/>
  <c r="AC18" i="396"/>
  <c r="AD4" i="396"/>
  <c r="AA5" i="391"/>
  <c r="AA18" i="391"/>
  <c r="AB4" i="391"/>
  <c r="AC3" i="342"/>
  <c r="AB4" i="342"/>
  <c r="AB13" i="342"/>
  <c r="X29" i="398"/>
  <c r="W30" i="398"/>
  <c r="W43" i="398"/>
  <c r="X29" i="395"/>
  <c r="W30" i="395"/>
  <c r="W43" i="395"/>
  <c r="Y4" i="400"/>
  <c r="X5" i="400"/>
  <c r="X18" i="400"/>
  <c r="Z5" i="394"/>
  <c r="Z18" i="394"/>
  <c r="AA4" i="394"/>
  <c r="Z5" i="399"/>
  <c r="Z18" i="399"/>
  <c r="AA4" i="399"/>
  <c r="U4" i="341"/>
  <c r="U13" i="341"/>
  <c r="V3" i="341"/>
  <c r="X4" i="378"/>
  <c r="X16" i="378"/>
  <c r="Y3" i="378"/>
  <c r="AC29" i="392"/>
  <c r="AB30" i="392"/>
  <c r="AB43" i="392"/>
  <c r="X4" i="376"/>
  <c r="Y3" i="376"/>
  <c r="Z30" i="397"/>
  <c r="Z43" i="397"/>
  <c r="AA29" i="397"/>
  <c r="V4" i="377"/>
  <c r="W3" i="377"/>
  <c r="X4" i="334"/>
  <c r="Y3" i="334"/>
  <c r="X5" i="385"/>
  <c r="X18" i="385"/>
  <c r="Y4" i="385"/>
  <c r="AE4" i="396"/>
  <c r="AD5" i="396"/>
  <c r="AD18" i="396"/>
  <c r="AC29" i="396"/>
  <c r="AB30" i="396"/>
  <c r="AB43" i="396"/>
  <c r="AB4" i="394"/>
  <c r="AA5" i="394"/>
  <c r="AA18" i="394"/>
  <c r="AB5" i="391"/>
  <c r="AB18" i="391"/>
  <c r="AC4" i="391"/>
  <c r="Z4" i="343"/>
  <c r="Z13" i="343"/>
  <c r="AA3" i="343"/>
  <c r="X4" i="348"/>
  <c r="X13" i="348"/>
  <c r="Y3" i="348"/>
  <c r="AA5" i="397"/>
  <c r="AA18" i="397"/>
  <c r="AB4" i="397"/>
  <c r="Z3" i="378"/>
  <c r="Y4" i="378"/>
  <c r="Y16" i="378"/>
  <c r="X3" i="379"/>
  <c r="W4" i="379"/>
  <c r="W12" i="379"/>
  <c r="X3" i="332"/>
  <c r="W4" i="332"/>
  <c r="Y5" i="395"/>
  <c r="Y18" i="395"/>
  <c r="Z4" i="395"/>
  <c r="Z3" i="334"/>
  <c r="Y4" i="334"/>
  <c r="Y30" i="394"/>
  <c r="Y43" i="394"/>
  <c r="Z29" i="394"/>
  <c r="Z4" i="400"/>
  <c r="Y5" i="400"/>
  <c r="Y18" i="400"/>
  <c r="X30" i="391"/>
  <c r="X43" i="391"/>
  <c r="Y29" i="391"/>
  <c r="X4" i="345"/>
  <c r="X13" i="345"/>
  <c r="Y3" i="345"/>
  <c r="AA30" i="397"/>
  <c r="AA43" i="397"/>
  <c r="AB29" i="397"/>
  <c r="AA3" i="349"/>
  <c r="Z4" i="349"/>
  <c r="Z13" i="349"/>
  <c r="V4" i="335"/>
  <c r="W3" i="335"/>
  <c r="X3" i="377"/>
  <c r="W4" i="377"/>
  <c r="X30" i="395"/>
  <c r="X43" i="395"/>
  <c r="Y29" i="395"/>
  <c r="Z4" i="370"/>
  <c r="AA3" i="370"/>
  <c r="Y3" i="336"/>
  <c r="X4" i="336"/>
  <c r="X13" i="336"/>
  <c r="Z29" i="399"/>
  <c r="Y30" i="399"/>
  <c r="Y43" i="399"/>
  <c r="V4" i="341"/>
  <c r="V13" i="341"/>
  <c r="W3" i="341"/>
  <c r="Z3" i="376"/>
  <c r="Y4" i="376"/>
  <c r="X30" i="398"/>
  <c r="X43" i="398"/>
  <c r="Y29" i="398"/>
  <c r="W3" i="340"/>
  <c r="V4" i="340"/>
  <c r="V13" i="340"/>
  <c r="Z30" i="385"/>
  <c r="Z43" i="385"/>
  <c r="AA29" i="385"/>
  <c r="Z5" i="398"/>
  <c r="Z18" i="398"/>
  <c r="AA4" i="398"/>
  <c r="AA5" i="399"/>
  <c r="AA18" i="399"/>
  <c r="AB4" i="399"/>
  <c r="AC30" i="392"/>
  <c r="AC43" i="392"/>
  <c r="AD29" i="392"/>
  <c r="AD3" i="342"/>
  <c r="AC4" i="342"/>
  <c r="AC13" i="342"/>
  <c r="Z29" i="400"/>
  <c r="Y30" i="400"/>
  <c r="Y43" i="400"/>
  <c r="Z4" i="392"/>
  <c r="Y5" i="392"/>
  <c r="Y18" i="392"/>
  <c r="X3" i="350"/>
  <c r="W4" i="350"/>
  <c r="AC4" i="399"/>
  <c r="AB5" i="399"/>
  <c r="AB18" i="399"/>
  <c r="Z3" i="336"/>
  <c r="Y4" i="336"/>
  <c r="Y13" i="336"/>
  <c r="Y30" i="391"/>
  <c r="Y43" i="391"/>
  <c r="Z29" i="391"/>
  <c r="AB29" i="385"/>
  <c r="AA30" i="385"/>
  <c r="AA43" i="385"/>
  <c r="AB3" i="370"/>
  <c r="AA4" i="370"/>
  <c r="Z3" i="348"/>
  <c r="Y4" i="348"/>
  <c r="Y13" i="348"/>
  <c r="AC4" i="394"/>
  <c r="AB5" i="394"/>
  <c r="AB18" i="394"/>
  <c r="AB3" i="343"/>
  <c r="AA4" i="343"/>
  <c r="AA13" i="343"/>
  <c r="X3" i="340"/>
  <c r="W4" i="340"/>
  <c r="W13" i="340"/>
  <c r="AD4" i="391"/>
  <c r="AC5" i="391"/>
  <c r="AC18" i="391"/>
  <c r="AA3" i="334"/>
  <c r="Z4" i="334"/>
  <c r="AA29" i="400"/>
  <c r="Z30" i="400"/>
  <c r="Z43" i="400"/>
  <c r="Z4" i="376"/>
  <c r="AA3" i="376"/>
  <c r="AA4" i="349"/>
  <c r="AA13" i="349"/>
  <c r="AB3" i="349"/>
  <c r="X4" i="332"/>
  <c r="Y3" i="332"/>
  <c r="AD29" i="396"/>
  <c r="AC30" i="396"/>
  <c r="AC43" i="396"/>
  <c r="Z29" i="395"/>
  <c r="Y30" i="395"/>
  <c r="Y43" i="395"/>
  <c r="Y3" i="377"/>
  <c r="X4" i="377"/>
  <c r="W4" i="341"/>
  <c r="W13" i="341"/>
  <c r="X3" i="341"/>
  <c r="AC29" i="397"/>
  <c r="AB30" i="397"/>
  <c r="AB43" i="397"/>
  <c r="Z5" i="400"/>
  <c r="Z18" i="400"/>
  <c r="AA4" i="400"/>
  <c r="AD4" i="342"/>
  <c r="AD13" i="342"/>
  <c r="AE3" i="342"/>
  <c r="X4" i="379"/>
  <c r="X12" i="379"/>
  <c r="Y3" i="379"/>
  <c r="AF4" i="396"/>
  <c r="AE5" i="396"/>
  <c r="AE18" i="396"/>
  <c r="Z30" i="394"/>
  <c r="Z43" i="394"/>
  <c r="AA29" i="394"/>
  <c r="Y3" i="350"/>
  <c r="X4" i="350"/>
  <c r="Z29" i="398"/>
  <c r="Y30" i="398"/>
  <c r="Y43" i="398"/>
  <c r="W4" i="335"/>
  <c r="X3" i="335"/>
  <c r="AE29" i="392"/>
  <c r="AD30" i="392"/>
  <c r="AD43" i="392"/>
  <c r="Z3" i="345"/>
  <c r="Y4" i="345"/>
  <c r="Y13" i="345"/>
  <c r="Y5" i="385"/>
  <c r="Y18" i="385"/>
  <c r="Z4" i="385"/>
  <c r="AB5" i="397"/>
  <c r="AB18" i="397"/>
  <c r="AC4" i="397"/>
  <c r="AA5" i="398"/>
  <c r="AA18" i="398"/>
  <c r="AB4" i="398"/>
  <c r="AA4" i="395"/>
  <c r="Z5" i="395"/>
  <c r="Z18" i="395"/>
  <c r="AA4" i="392"/>
  <c r="Z5" i="392"/>
  <c r="Z18" i="392"/>
  <c r="AA29" i="399"/>
  <c r="Z30" i="399"/>
  <c r="Z43" i="399"/>
  <c r="AA3" i="378"/>
  <c r="Z4" i="378"/>
  <c r="Z16" i="378"/>
  <c r="AC5" i="397"/>
  <c r="AC18" i="397"/>
  <c r="AD4" i="397"/>
  <c r="AD30" i="396"/>
  <c r="AD43" i="396"/>
  <c r="AE29" i="396"/>
  <c r="Z4" i="348"/>
  <c r="Z13" i="348"/>
  <c r="AA3" i="348"/>
  <c r="AG4" i="396"/>
  <c r="AF5" i="396"/>
  <c r="AF18" i="396"/>
  <c r="AC3" i="370"/>
  <c r="AB4" i="370"/>
  <c r="Z4" i="345"/>
  <c r="Z13" i="345"/>
  <c r="AA3" i="345"/>
  <c r="Z5" i="385"/>
  <c r="Z18" i="385"/>
  <c r="AA4" i="385"/>
  <c r="AB3" i="376"/>
  <c r="AA4" i="376"/>
  <c r="AB29" i="400"/>
  <c r="AA30" i="400"/>
  <c r="AA43" i="400"/>
  <c r="AB30" i="385"/>
  <c r="AB43" i="385"/>
  <c r="AC29" i="385"/>
  <c r="AC3" i="343"/>
  <c r="AB4" i="343"/>
  <c r="AB13" i="343"/>
  <c r="AE4" i="342"/>
  <c r="AE13" i="342"/>
  <c r="AF3" i="342"/>
  <c r="AA5" i="400"/>
  <c r="AA18" i="400"/>
  <c r="AB4" i="400"/>
  <c r="AA4" i="378"/>
  <c r="AA16" i="378"/>
  <c r="AB3" i="378"/>
  <c r="Y3" i="335"/>
  <c r="X4" i="335"/>
  <c r="Y3" i="341"/>
  <c r="X4" i="341"/>
  <c r="X13" i="341"/>
  <c r="AA29" i="391"/>
  <c r="Z30" i="391"/>
  <c r="Z43" i="391"/>
  <c r="AA5" i="392"/>
  <c r="AA18" i="392"/>
  <c r="AB4" i="392"/>
  <c r="AB3" i="334"/>
  <c r="AA4" i="334"/>
  <c r="AF29" i="392"/>
  <c r="AE30" i="392"/>
  <c r="AE43" i="392"/>
  <c r="AC30" i="397"/>
  <c r="AC43" i="397"/>
  <c r="AD29" i="397"/>
  <c r="AA29" i="398"/>
  <c r="Z30" i="398"/>
  <c r="Z43" i="398"/>
  <c r="Z3" i="332"/>
  <c r="Y4" i="332"/>
  <c r="AB4" i="395"/>
  <c r="AA5" i="395"/>
  <c r="AA18" i="395"/>
  <c r="Z3" i="350"/>
  <c r="Y4" i="350"/>
  <c r="Y4" i="377"/>
  <c r="Z3" i="377"/>
  <c r="AD5" i="391"/>
  <c r="AD18" i="391"/>
  <c r="AE4" i="391"/>
  <c r="AA3" i="336"/>
  <c r="Z4" i="336"/>
  <c r="Z13" i="336"/>
  <c r="AD4" i="394"/>
  <c r="AC5" i="394"/>
  <c r="AC18" i="394"/>
  <c r="Z3" i="379"/>
  <c r="Y4" i="379"/>
  <c r="Y12" i="379"/>
  <c r="AB4" i="349"/>
  <c r="AB13" i="349"/>
  <c r="AC3" i="349"/>
  <c r="AB29" i="399"/>
  <c r="AA30" i="399"/>
  <c r="AA43" i="399"/>
  <c r="AB5" i="398"/>
  <c r="AB18" i="398"/>
  <c r="AC4" i="398"/>
  <c r="AB29" i="394"/>
  <c r="AA30" i="394"/>
  <c r="AA43" i="394"/>
  <c r="AA29" i="395"/>
  <c r="Z30" i="395"/>
  <c r="Z43" i="395"/>
  <c r="Y3" i="340"/>
  <c r="X4" i="340"/>
  <c r="X13" i="340"/>
  <c r="AD4" i="399"/>
  <c r="AC5" i="399"/>
  <c r="AC18" i="399"/>
  <c r="AB5" i="395"/>
  <c r="AB18" i="395"/>
  <c r="AC4" i="395"/>
  <c r="AC4" i="349"/>
  <c r="AC13" i="349"/>
  <c r="AD3" i="349"/>
  <c r="AC3" i="378"/>
  <c r="AB4" i="378"/>
  <c r="AB16" i="378"/>
  <c r="AA4" i="345"/>
  <c r="AA13" i="345"/>
  <c r="AB3" i="345"/>
  <c r="AB30" i="399"/>
  <c r="AB43" i="399"/>
  <c r="AC29" i="399"/>
  <c r="AA3" i="332"/>
  <c r="Z4" i="332"/>
  <c r="Z3" i="341"/>
  <c r="Y4" i="341"/>
  <c r="Y13" i="341"/>
  <c r="AC4" i="370"/>
  <c r="AD3" i="370"/>
  <c r="AA4" i="336"/>
  <c r="AA13" i="336"/>
  <c r="AB3" i="336"/>
  <c r="AG5" i="396"/>
  <c r="BF2" i="396"/>
  <c r="BB4" i="396"/>
  <c r="I1" i="396" s="1"/>
  <c r="BC4" i="396"/>
  <c r="F1" i="396" s="1"/>
  <c r="AD5" i="399"/>
  <c r="AD18" i="399"/>
  <c r="AE4" i="399"/>
  <c r="AF4" i="391"/>
  <c r="AE5" i="391"/>
  <c r="AE18" i="391"/>
  <c r="AA4" i="348"/>
  <c r="AA13" i="348"/>
  <c r="AB3" i="348"/>
  <c r="Z4" i="379"/>
  <c r="Z12" i="379"/>
  <c r="AA3" i="379"/>
  <c r="AB5" i="400"/>
  <c r="AB18" i="400"/>
  <c r="AC4" i="400"/>
  <c r="AA30" i="395"/>
  <c r="AA43" i="395"/>
  <c r="AB29" i="395"/>
  <c r="AC3" i="334"/>
  <c r="AB4" i="334"/>
  <c r="AC4" i="343"/>
  <c r="AC13" i="343"/>
  <c r="AD3" i="343"/>
  <c r="AF30" i="392"/>
  <c r="AF43" i="392"/>
  <c r="AG29" i="392"/>
  <c r="AG30" i="392"/>
  <c r="AG43" i="392"/>
  <c r="AA3" i="377"/>
  <c r="Z4" i="377"/>
  <c r="AC4" i="392"/>
  <c r="AB5" i="392"/>
  <c r="AB18" i="392"/>
  <c r="AC30" i="385"/>
  <c r="AC43" i="385"/>
  <c r="AD29" i="385"/>
  <c r="AE30" i="396"/>
  <c r="AE43" i="396"/>
  <c r="AF29" i="396"/>
  <c r="AE29" i="397"/>
  <c r="AD30" i="397"/>
  <c r="AD43" i="397"/>
  <c r="AB4" i="376"/>
  <c r="AC3" i="376"/>
  <c r="AD4" i="398"/>
  <c r="AC5" i="398"/>
  <c r="AC18" i="398"/>
  <c r="AE4" i="397"/>
  <c r="AD5" i="397"/>
  <c r="AD18" i="397"/>
  <c r="AB4" i="385"/>
  <c r="AA5" i="385"/>
  <c r="AA18" i="385"/>
  <c r="Y4" i="335"/>
  <c r="Z3" i="335"/>
  <c r="AB29" i="398"/>
  <c r="AA30" i="398"/>
  <c r="AA43" i="398"/>
  <c r="AE4" i="394"/>
  <c r="AD5" i="394"/>
  <c r="AD18" i="394"/>
  <c r="AF4" i="342"/>
  <c r="S17" i="342"/>
  <c r="T22" i="342" a="1"/>
  <c r="T22" i="342"/>
  <c r="S18" i="342"/>
  <c r="Y4" i="340"/>
  <c r="Y13" i="340"/>
  <c r="Z3" i="340"/>
  <c r="AB30" i="394"/>
  <c r="AB43" i="394"/>
  <c r="AC29" i="394"/>
  <c r="AA3" i="350"/>
  <c r="Z4" i="350"/>
  <c r="AB29" i="391"/>
  <c r="AA30" i="391"/>
  <c r="AA43" i="391"/>
  <c r="AC29" i="400"/>
  <c r="AB30" i="400"/>
  <c r="AB43" i="400"/>
  <c r="AD4" i="400"/>
  <c r="AC5" i="400"/>
  <c r="AC18" i="400"/>
  <c r="AE3" i="370"/>
  <c r="AD4" i="370"/>
  <c r="AG29" i="396"/>
  <c r="AG30" i="396"/>
  <c r="AG43" i="396"/>
  <c r="AF30" i="396"/>
  <c r="AF43" i="396"/>
  <c r="AE29" i="385"/>
  <c r="AD30" i="385"/>
  <c r="AD43" i="385"/>
  <c r="AB3" i="379"/>
  <c r="AA4" i="379"/>
  <c r="AA12" i="379"/>
  <c r="AC29" i="398"/>
  <c r="AB30" i="398"/>
  <c r="AB43" i="398"/>
  <c r="Z4" i="341"/>
  <c r="Z13" i="341"/>
  <c r="AA3" i="341"/>
  <c r="AC3" i="348"/>
  <c r="AB4" i="348"/>
  <c r="AB13" i="348"/>
  <c r="AE5" i="394"/>
  <c r="AE18" i="394"/>
  <c r="AF4" i="394"/>
  <c r="AC30" i="400"/>
  <c r="AC43" i="400"/>
  <c r="AD29" i="400"/>
  <c r="AC29" i="391"/>
  <c r="AB30" i="391"/>
  <c r="AB43" i="391"/>
  <c r="AC5" i="392"/>
  <c r="AC18" i="392"/>
  <c r="AD4" i="392"/>
  <c r="AA4" i="332"/>
  <c r="AB3" i="332"/>
  <c r="AB5" i="385"/>
  <c r="AB18" i="385"/>
  <c r="AC4" i="385"/>
  <c r="AF5" i="391"/>
  <c r="AF18" i="391"/>
  <c r="AG4" i="391"/>
  <c r="AC30" i="399"/>
  <c r="AC43" i="399"/>
  <c r="AD29" i="399"/>
  <c r="AF4" i="399"/>
  <c r="AE5" i="399"/>
  <c r="AE18" i="399"/>
  <c r="AB4" i="345"/>
  <c r="AB13" i="345"/>
  <c r="AC3" i="345"/>
  <c r="AA3" i="335"/>
  <c r="Z4" i="335"/>
  <c r="AB3" i="350"/>
  <c r="AA4" i="350"/>
  <c r="AA4" i="377"/>
  <c r="AB3" i="377"/>
  <c r="AC30" i="394"/>
  <c r="AC43" i="394"/>
  <c r="AD29" i="394"/>
  <c r="AF4" i="397"/>
  <c r="AE5" i="397"/>
  <c r="AE18" i="397"/>
  <c r="Z4" i="340"/>
  <c r="Z13" i="340"/>
  <c r="AA3" i="340"/>
  <c r="AD4" i="343"/>
  <c r="AD13" i="343"/>
  <c r="AE3" i="343"/>
  <c r="AD3" i="378"/>
  <c r="AC4" i="378"/>
  <c r="AC16" i="378"/>
  <c r="AE3" i="349"/>
  <c r="AD4" i="349"/>
  <c r="AD13" i="349"/>
  <c r="AG18" i="396"/>
  <c r="AM15" i="396"/>
  <c r="AL15" i="396" s="1"/>
  <c r="AH15" i="396" s="1"/>
  <c r="AM17" i="396"/>
  <c r="AL17" i="396" s="1"/>
  <c r="AH17" i="396" s="1"/>
  <c r="AM6" i="396"/>
  <c r="AM39" i="396"/>
  <c r="AL39" i="396"/>
  <c r="AH39" i="396"/>
  <c r="AN37" i="396" a="1"/>
  <c r="AN37" i="396"/>
  <c r="AN9" i="396" a="1"/>
  <c r="AN9" i="396"/>
  <c r="AN6" i="396" a="1"/>
  <c r="AN6" i="396"/>
  <c r="AN11" i="396" a="1"/>
  <c r="AN11" i="396"/>
  <c r="AM37" i="396"/>
  <c r="AL37" i="396"/>
  <c r="AH37" i="396"/>
  <c r="AN40" i="396" a="1"/>
  <c r="AN40" i="396"/>
  <c r="AN33" i="396" a="1"/>
  <c r="AN33" i="396"/>
  <c r="AM32" i="396"/>
  <c r="AL32" i="396"/>
  <c r="AH32" i="396"/>
  <c r="AN15" i="396" a="1"/>
  <c r="AN15" i="396"/>
  <c r="AM16" i="396"/>
  <c r="AL16" i="396"/>
  <c r="AH16" i="396"/>
  <c r="AN13" i="396" a="1"/>
  <c r="AN13" i="396"/>
  <c r="AN39" i="396" a="1"/>
  <c r="AN39" i="396"/>
  <c r="AN16" i="396" a="1"/>
  <c r="AN16" i="396"/>
  <c r="AN10" i="396" a="1"/>
  <c r="AN10" i="396"/>
  <c r="AN14" i="396" a="1"/>
  <c r="AN14" i="396"/>
  <c r="N1" i="396"/>
  <c r="AN7" i="396" a="1"/>
  <c r="AN7" i="396"/>
  <c r="P1" i="396"/>
  <c r="AN35" i="396" a="1"/>
  <c r="AN35" i="396"/>
  <c r="AM14" i="396"/>
  <c r="AL14" i="396"/>
  <c r="AH14" i="396"/>
  <c r="AM9" i="396"/>
  <c r="AL9" i="396"/>
  <c r="AH9" i="396"/>
  <c r="AN17" i="396" a="1"/>
  <c r="AN17" i="396"/>
  <c r="AM13" i="396"/>
  <c r="AL13" i="396"/>
  <c r="AH13" i="396"/>
  <c r="AM38" i="396"/>
  <c r="AL38" i="396"/>
  <c r="AH38" i="396"/>
  <c r="AN32" i="396" a="1"/>
  <c r="AN32" i="396"/>
  <c r="AN8" i="396" a="1"/>
  <c r="AN8" i="396"/>
  <c r="AM34" i="396"/>
  <c r="AL34" i="396"/>
  <c r="AH34" i="396"/>
  <c r="AN12" i="396" a="1"/>
  <c r="AN12" i="396"/>
  <c r="AM36" i="396"/>
  <c r="AL36" i="396" s="1"/>
  <c r="AH36" i="396" s="1"/>
  <c r="AN36" i="396" a="1"/>
  <c r="AN36" i="396"/>
  <c r="AM33" i="396"/>
  <c r="AL33" i="396"/>
  <c r="AH33" i="396"/>
  <c r="AM35" i="396"/>
  <c r="AL35" i="396" s="1"/>
  <c r="AN34" i="396" a="1"/>
  <c r="AN34" i="396"/>
  <c r="AM12" i="396"/>
  <c r="AL12" i="396"/>
  <c r="AH12" i="396"/>
  <c r="AN31" i="396" a="1"/>
  <c r="AN31" i="396"/>
  <c r="AM11" i="396"/>
  <c r="AL11" i="396" s="1"/>
  <c r="AM31" i="396"/>
  <c r="AM8" i="396"/>
  <c r="AL8" i="396"/>
  <c r="AH8" i="396"/>
  <c r="AN38" i="396" a="1"/>
  <c r="AN38" i="396"/>
  <c r="AM40" i="396"/>
  <c r="AL40" i="396" s="1"/>
  <c r="AM7" i="396"/>
  <c r="AL7" i="396"/>
  <c r="AH7" i="396"/>
  <c r="AM10" i="396"/>
  <c r="AL10" i="396" s="1"/>
  <c r="AB30" i="395"/>
  <c r="AB43" i="395"/>
  <c r="AC29" i="395"/>
  <c r="AB4" i="336"/>
  <c r="AB13" i="336"/>
  <c r="AC3" i="336"/>
  <c r="AC5" i="395"/>
  <c r="AC18" i="395"/>
  <c r="AD4" i="395"/>
  <c r="AD5" i="398"/>
  <c r="AD18" i="398"/>
  <c r="AE4" i="398"/>
  <c r="AC4" i="376"/>
  <c r="AD3" i="376"/>
  <c r="AD3" i="334"/>
  <c r="AC4" i="334"/>
  <c r="AF13" i="342"/>
  <c r="AM7" i="342" a="1"/>
  <c r="AM7" i="342"/>
  <c r="AL8" i="342"/>
  <c r="AK8" i="342"/>
  <c r="AG8" i="342"/>
  <c r="AL6" i="342"/>
  <c r="AK6" i="342"/>
  <c r="AG6" i="342"/>
  <c r="AM10" i="342" a="1"/>
  <c r="AM10" i="342"/>
  <c r="O20" i="342"/>
  <c r="AL9" i="342"/>
  <c r="AK9" i="342"/>
  <c r="AG9" i="342"/>
  <c r="AM11" i="342" a="1"/>
  <c r="AM11" i="342"/>
  <c r="AM5" i="342" a="1"/>
  <c r="AM5" i="342"/>
  <c r="AM8" i="342" a="1"/>
  <c r="AM8" i="342"/>
  <c r="AM9" i="342" a="1"/>
  <c r="AM9" i="342"/>
  <c r="AM12" i="342" a="1"/>
  <c r="AM12" i="342"/>
  <c r="AM6" i="342" a="1"/>
  <c r="AM6" i="342"/>
  <c r="AL10" i="342"/>
  <c r="AK10" i="342"/>
  <c r="AG10" i="342"/>
  <c r="AL5" i="342"/>
  <c r="AK5" i="342"/>
  <c r="AG5" i="342"/>
  <c r="R20" i="342"/>
  <c r="T23" i="342"/>
  <c r="AL12" i="342"/>
  <c r="AK12" i="342"/>
  <c r="AG12" i="342"/>
  <c r="AL7" i="342"/>
  <c r="AK7" i="342"/>
  <c r="AG7" i="342"/>
  <c r="AL11" i="342"/>
  <c r="AK11" i="342"/>
  <c r="AG11" i="342"/>
  <c r="AF29" i="397"/>
  <c r="AE30" i="397"/>
  <c r="AE43" i="397"/>
  <c r="AB3" i="340"/>
  <c r="AA4" i="340"/>
  <c r="AA13" i="340"/>
  <c r="AD30" i="399"/>
  <c r="AD43" i="399"/>
  <c r="AE29" i="399"/>
  <c r="AD3" i="348"/>
  <c r="AC4" i="348"/>
  <c r="AC13" i="348"/>
  <c r="AE5" i="398"/>
  <c r="AE18" i="398"/>
  <c r="AF4" i="398"/>
  <c r="AG5" i="391"/>
  <c r="BF2" i="391" a="1"/>
  <c r="BF2" i="391"/>
  <c r="BB4" i="391"/>
  <c r="I1" i="391"/>
  <c r="BC4" i="391"/>
  <c r="F1" i="391"/>
  <c r="AB3" i="341"/>
  <c r="AA4" i="341"/>
  <c r="AA13" i="341"/>
  <c r="AF30" i="397"/>
  <c r="AF43" i="397"/>
  <c r="AG29" i="397"/>
  <c r="AG30" i="397"/>
  <c r="AG43" i="397"/>
  <c r="AD5" i="395"/>
  <c r="AD18" i="395"/>
  <c r="AE4" i="395"/>
  <c r="AF5" i="397"/>
  <c r="AF18" i="397"/>
  <c r="AG4" i="397"/>
  <c r="AE29" i="394"/>
  <c r="AD30" i="394"/>
  <c r="AD43" i="394"/>
  <c r="AD4" i="385"/>
  <c r="AC5" i="385"/>
  <c r="AC18" i="385"/>
  <c r="AC4" i="336"/>
  <c r="AC13" i="336"/>
  <c r="AD3" i="336"/>
  <c r="AC30" i="398"/>
  <c r="AC43" i="398"/>
  <c r="AD29" i="398"/>
  <c r="AL6" i="396"/>
  <c r="AC3" i="377"/>
  <c r="AB4" i="377"/>
  <c r="AC3" i="332"/>
  <c r="AB4" i="332"/>
  <c r="AC3" i="379"/>
  <c r="AB4" i="379"/>
  <c r="AB12" i="379"/>
  <c r="T20" i="342"/>
  <c r="W20" i="342"/>
  <c r="S19" i="342"/>
  <c r="AD29" i="395"/>
  <c r="AC30" i="395"/>
  <c r="AC43" i="395"/>
  <c r="AE4" i="392"/>
  <c r="AD5" i="392"/>
  <c r="AD18" i="392"/>
  <c r="AB4" i="350"/>
  <c r="AC3" i="350"/>
  <c r="AF29" i="385"/>
  <c r="AE30" i="385"/>
  <c r="AE43" i="385"/>
  <c r="AF3" i="349"/>
  <c r="AE4" i="349"/>
  <c r="AE13" i="349"/>
  <c r="AB3" i="335"/>
  <c r="AA4" i="335"/>
  <c r="AC30" i="391"/>
  <c r="AC43" i="391"/>
  <c r="AD29" i="391"/>
  <c r="AC4" i="345"/>
  <c r="AC13" i="345"/>
  <c r="AD3" i="345"/>
  <c r="AE29" i="400"/>
  <c r="AD30" i="400"/>
  <c r="AD43" i="400"/>
  <c r="AD4" i="378"/>
  <c r="AD16" i="378"/>
  <c r="AE3" i="378"/>
  <c r="AF3" i="370"/>
  <c r="AE4" i="370"/>
  <c r="AE3" i="334"/>
  <c r="AD4" i="334"/>
  <c r="AL31" i="396"/>
  <c r="AF3" i="343"/>
  <c r="AE4" i="343"/>
  <c r="AE13" i="343"/>
  <c r="AF5" i="394"/>
  <c r="AF18" i="394"/>
  <c r="AG4" i="394"/>
  <c r="AD4" i="376"/>
  <c r="AE3" i="376"/>
  <c r="AF5" i="399"/>
  <c r="AF18" i="399"/>
  <c r="AG4" i="399"/>
  <c r="AE4" i="400"/>
  <c r="AD5" i="400"/>
  <c r="AD18" i="400"/>
  <c r="AF3" i="378"/>
  <c r="AE4" i="378"/>
  <c r="AE16" i="378"/>
  <c r="AC3" i="341"/>
  <c r="AB4" i="341"/>
  <c r="AB13" i="341"/>
  <c r="AF4" i="370"/>
  <c r="S20" i="370"/>
  <c r="T25" i="370"/>
  <c r="S21" i="370"/>
  <c r="AG18" i="391"/>
  <c r="AI18" i="391"/>
  <c r="AN16" i="391" a="1"/>
  <c r="AN16" i="391"/>
  <c r="AM9" i="391"/>
  <c r="AL9" i="391"/>
  <c r="AH9" i="391"/>
  <c r="AM17" i="391"/>
  <c r="AL17" i="391"/>
  <c r="AH17" i="391"/>
  <c r="AN12" i="391" a="1"/>
  <c r="AN12" i="391"/>
  <c r="AM13" i="391"/>
  <c r="AL13" i="391"/>
  <c r="AH13" i="391"/>
  <c r="AN6" i="391" a="1"/>
  <c r="AN6" i="391"/>
  <c r="AM36" i="391"/>
  <c r="AL36" i="391"/>
  <c r="AH36" i="391"/>
  <c r="AM40" i="391"/>
  <c r="AL40" i="391"/>
  <c r="AH40" i="391"/>
  <c r="AM12" i="391"/>
  <c r="AL12" i="391"/>
  <c r="AH12" i="391"/>
  <c r="AN34" i="391" a="1"/>
  <c r="AN34" i="391"/>
  <c r="AM7" i="391"/>
  <c r="AL7" i="391"/>
  <c r="AH7" i="391"/>
  <c r="AN11" i="391" a="1"/>
  <c r="AN11" i="391"/>
  <c r="N1" i="391"/>
  <c r="AM37" i="391"/>
  <c r="AL37" i="391"/>
  <c r="AH37" i="391"/>
  <c r="AM16" i="391"/>
  <c r="AL16" i="391"/>
  <c r="AH16" i="391"/>
  <c r="AN36" i="391" a="1"/>
  <c r="AN36" i="391"/>
  <c r="AM14" i="391"/>
  <c r="AL14" i="391"/>
  <c r="AH14" i="391"/>
  <c r="AM38" i="391"/>
  <c r="AL38" i="391"/>
  <c r="AH38" i="391"/>
  <c r="AN8" i="391" a="1"/>
  <c r="AN8" i="391"/>
  <c r="AN9" i="391" a="1"/>
  <c r="AN9" i="391"/>
  <c r="BE2" i="391"/>
  <c r="BG2" i="391" s="1" a="1"/>
  <c r="BG2" i="391" s="1"/>
  <c r="BG4" i="391" s="1"/>
  <c r="L1" i="391" s="1"/>
  <c r="AM15" i="391"/>
  <c r="AL15" i="391"/>
  <c r="AH15" i="391"/>
  <c r="P1" i="391"/>
  <c r="AN13" i="391" a="1"/>
  <c r="AN13" i="391"/>
  <c r="AN38" i="391" a="1"/>
  <c r="AN38" i="391"/>
  <c r="AM11" i="391"/>
  <c r="AL11" i="391"/>
  <c r="AH11" i="391"/>
  <c r="AN31" i="391" a="1"/>
  <c r="AN31" i="391"/>
  <c r="AM10" i="391"/>
  <c r="AL10" i="391"/>
  <c r="AH10" i="391"/>
  <c r="AN15" i="391" a="1"/>
  <c r="AN15" i="391"/>
  <c r="AN33" i="391" a="1"/>
  <c r="AN33" i="391"/>
  <c r="BD2" i="391"/>
  <c r="AM39" i="391"/>
  <c r="AL39" i="391"/>
  <c r="AH39" i="391"/>
  <c r="AM35" i="391"/>
  <c r="AL35" i="391"/>
  <c r="AH35" i="391"/>
  <c r="AN32" i="391" a="1"/>
  <c r="AN32" i="391"/>
  <c r="AN17" i="391" a="1"/>
  <c r="AN17" i="391"/>
  <c r="AM32" i="391"/>
  <c r="AL32" i="391"/>
  <c r="AH32" i="391"/>
  <c r="AN14" i="391" a="1"/>
  <c r="AN14" i="391"/>
  <c r="AN39" i="391" a="1"/>
  <c r="AN39" i="391"/>
  <c r="AN40" i="391" a="1"/>
  <c r="AN40" i="391"/>
  <c r="AN10" i="391" a="1"/>
  <c r="AN10" i="391"/>
  <c r="AM31" i="391"/>
  <c r="AN35" i="391" a="1"/>
  <c r="AN35" i="391"/>
  <c r="AM6" i="391"/>
  <c r="AN37" i="391" a="1"/>
  <c r="AN37" i="391"/>
  <c r="AM33" i="391"/>
  <c r="AL33" i="391"/>
  <c r="AH33" i="391"/>
  <c r="AN7" i="391" a="1"/>
  <c r="AN7" i="391"/>
  <c r="AM8" i="391"/>
  <c r="AL8" i="391"/>
  <c r="AH8" i="391"/>
  <c r="AM34" i="391"/>
  <c r="AL34" i="391"/>
  <c r="AH34" i="391"/>
  <c r="AE30" i="400"/>
  <c r="AE43" i="400"/>
  <c r="AF29" i="400"/>
  <c r="AD30" i="395"/>
  <c r="AD43" i="395"/>
  <c r="AE29" i="395"/>
  <c r="AF4" i="400"/>
  <c r="AE5" i="400"/>
  <c r="AE18" i="400"/>
  <c r="AE29" i="398"/>
  <c r="AD30" i="398"/>
  <c r="AD43" i="398"/>
  <c r="AD4" i="336"/>
  <c r="AD13" i="336"/>
  <c r="AE3" i="336"/>
  <c r="AD5" i="385"/>
  <c r="AD18" i="385"/>
  <c r="AE4" i="385"/>
  <c r="AG4" i="398"/>
  <c r="AF5" i="398"/>
  <c r="AF18" i="398"/>
  <c r="AH6" i="396"/>
  <c r="AE5" i="392"/>
  <c r="AE18" i="392"/>
  <c r="AF4" i="392"/>
  <c r="AD3" i="379"/>
  <c r="AC4" i="379"/>
  <c r="AC12" i="379"/>
  <c r="AE30" i="394"/>
  <c r="AE43" i="394"/>
  <c r="AF29" i="394"/>
  <c r="AF3" i="376"/>
  <c r="AE4" i="376"/>
  <c r="AD4" i="345"/>
  <c r="AD13" i="345"/>
  <c r="AE3" i="345"/>
  <c r="AG5" i="397"/>
  <c r="BB4" i="397"/>
  <c r="I1" i="397"/>
  <c r="BF2" i="397" a="1"/>
  <c r="BF2" i="397"/>
  <c r="BC4" i="397"/>
  <c r="F1" i="397"/>
  <c r="AD4" i="348"/>
  <c r="AD13" i="348"/>
  <c r="AE3" i="348"/>
  <c r="AE30" i="399"/>
  <c r="AE43" i="399"/>
  <c r="AF29" i="399"/>
  <c r="AD30" i="391"/>
  <c r="AD43" i="391"/>
  <c r="AE29" i="391"/>
  <c r="AC3" i="335"/>
  <c r="AB4" i="335"/>
  <c r="AH31" i="396"/>
  <c r="AF4" i="349"/>
  <c r="T22" i="349" a="1"/>
  <c r="T22" i="349"/>
  <c r="S18" i="349"/>
  <c r="S17" i="349"/>
  <c r="AF4" i="395"/>
  <c r="AE5" i="395"/>
  <c r="AE18" i="395"/>
  <c r="AD3" i="350"/>
  <c r="AC4" i="350"/>
  <c r="AF4" i="343"/>
  <c r="S18" i="343"/>
  <c r="S17" i="343"/>
  <c r="T22" i="343" a="1"/>
  <c r="T22" i="343"/>
  <c r="AC4" i="332"/>
  <c r="AD3" i="332"/>
  <c r="AC4" i="377"/>
  <c r="AD3" i="377"/>
  <c r="AG5" i="399"/>
  <c r="BC4" i="399"/>
  <c r="F1" i="399"/>
  <c r="BB4" i="399"/>
  <c r="I1" i="399"/>
  <c r="BF2" i="399" a="1"/>
  <c r="BF2" i="399"/>
  <c r="AG5" i="394"/>
  <c r="BC4" i="394"/>
  <c r="F1" i="394"/>
  <c r="BF2" i="394" a="1"/>
  <c r="BF2" i="394"/>
  <c r="BB4" i="394"/>
  <c r="I1" i="394"/>
  <c r="AE4" i="334"/>
  <c r="AF3" i="334"/>
  <c r="AG29" i="385"/>
  <c r="AG30" i="385"/>
  <c r="AG43" i="385"/>
  <c r="AF30" i="385"/>
  <c r="AF43" i="385"/>
  <c r="AC3" i="340"/>
  <c r="AB4" i="340"/>
  <c r="AB13" i="340"/>
  <c r="AD4" i="332"/>
  <c r="AE3" i="332"/>
  <c r="AG29" i="394"/>
  <c r="AG30" i="394"/>
  <c r="AG43" i="394"/>
  <c r="AF30" i="394"/>
  <c r="AF43" i="394"/>
  <c r="AC4" i="340"/>
  <c r="AC13" i="340"/>
  <c r="AD3" i="340"/>
  <c r="AD3" i="335"/>
  <c r="AC4" i="335"/>
  <c r="AG4" i="400"/>
  <c r="AF5" i="400"/>
  <c r="AF18" i="400"/>
  <c r="AN18" i="391"/>
  <c r="AE3" i="379"/>
  <c r="AD4" i="379"/>
  <c r="AD12" i="379"/>
  <c r="AF4" i="334"/>
  <c r="S18" i="334"/>
  <c r="S17" i="334"/>
  <c r="AF30" i="399"/>
  <c r="AF43" i="399"/>
  <c r="AG29" i="399"/>
  <c r="AG30" i="399"/>
  <c r="AG43" i="399"/>
  <c r="AF5" i="392"/>
  <c r="AF18" i="392"/>
  <c r="AG4" i="392"/>
  <c r="AG29" i="400"/>
  <c r="AG30" i="400"/>
  <c r="AG43" i="400"/>
  <c r="AF30" i="400"/>
  <c r="AF43" i="400"/>
  <c r="AF29" i="391"/>
  <c r="AE30" i="391"/>
  <c r="AE43" i="391"/>
  <c r="AF13" i="343"/>
  <c r="AM5" i="343" a="1"/>
  <c r="AM5" i="343"/>
  <c r="AL11" i="343"/>
  <c r="AK11" i="343"/>
  <c r="AG11" i="343"/>
  <c r="AM11" i="343" a="1"/>
  <c r="AM11" i="343"/>
  <c r="AM7" i="343" a="1"/>
  <c r="AM7" i="343"/>
  <c r="AM10" i="343" a="1"/>
  <c r="AM10" i="343"/>
  <c r="O20" i="343"/>
  <c r="T20" i="343"/>
  <c r="W20" i="343"/>
  <c r="S19" i="343"/>
  <c r="AM6" i="343" a="1"/>
  <c r="AM6" i="343"/>
  <c r="AM9" i="343" a="1"/>
  <c r="AM9" i="343"/>
  <c r="AM8" i="343" a="1"/>
  <c r="AM8" i="343"/>
  <c r="AL5" i="343"/>
  <c r="AK5" i="343"/>
  <c r="AG5" i="343"/>
  <c r="AL8" i="343"/>
  <c r="AK8" i="343"/>
  <c r="AG8" i="343"/>
  <c r="AL6" i="343"/>
  <c r="AK6" i="343"/>
  <c r="AG6" i="343"/>
  <c r="R20" i="343"/>
  <c r="T23" i="343"/>
  <c r="AL10" i="343"/>
  <c r="AK10" i="343"/>
  <c r="AG10" i="343"/>
  <c r="AL7" i="343"/>
  <c r="AK7" i="343"/>
  <c r="AG7" i="343"/>
  <c r="AL9" i="343"/>
  <c r="AK9" i="343"/>
  <c r="AG9" i="343"/>
  <c r="AM12" i="343" a="1"/>
  <c r="AM12" i="343"/>
  <c r="AL12" i="343"/>
  <c r="AK12" i="343"/>
  <c r="AG12" i="343"/>
  <c r="AF3" i="348"/>
  <c r="AE4" i="348"/>
  <c r="AE13" i="348"/>
  <c r="AF4" i="385"/>
  <c r="AE5" i="385"/>
  <c r="AE18" i="385"/>
  <c r="AE30" i="395"/>
  <c r="AE43" i="395"/>
  <c r="AF29" i="395"/>
  <c r="AG18" i="397"/>
  <c r="AI18" i="397"/>
  <c r="BE2" i="397"/>
  <c r="BG2" i="397" s="1" a="1"/>
  <c r="BG2" i="397" s="1"/>
  <c r="AM34" i="397"/>
  <c r="AL34" i="397"/>
  <c r="AH34" i="397"/>
  <c r="AM17" i="397"/>
  <c r="AL17" i="397"/>
  <c r="AH17" i="397"/>
  <c r="AN32" i="397" a="1"/>
  <c r="AN32" i="397"/>
  <c r="AN11" i="397" a="1"/>
  <c r="AN11" i="397"/>
  <c r="AN35" i="397" a="1"/>
  <c r="AN35" i="397"/>
  <c r="AN34" i="397" a="1"/>
  <c r="AN34" i="397"/>
  <c r="AM33" i="397"/>
  <c r="AL33" i="397"/>
  <c r="AH33" i="397"/>
  <c r="AN7" i="397" a="1"/>
  <c r="AN7" i="397"/>
  <c r="AM16" i="397"/>
  <c r="AL16" i="397"/>
  <c r="AH16" i="397"/>
  <c r="AM15" i="397"/>
  <c r="AL15" i="397"/>
  <c r="AH15" i="397"/>
  <c r="AN15" i="397" a="1"/>
  <c r="AN15" i="397"/>
  <c r="AM13" i="397"/>
  <c r="AL13" i="397"/>
  <c r="AH13" i="397"/>
  <c r="AM35" i="397"/>
  <c r="AL35" i="397"/>
  <c r="AH35" i="397"/>
  <c r="AN12" i="397" a="1"/>
  <c r="AN12" i="397"/>
  <c r="AN6" i="397" a="1"/>
  <c r="AN6" i="397"/>
  <c r="AN14" i="397" a="1"/>
  <c r="AN14" i="397"/>
  <c r="AN13" i="397" a="1"/>
  <c r="AN13" i="397"/>
  <c r="AN8" i="397" a="1"/>
  <c r="AN8" i="397"/>
  <c r="AN39" i="397" a="1"/>
  <c r="AN39" i="397"/>
  <c r="AN16" i="397" a="1"/>
  <c r="AN16" i="397"/>
  <c r="AM12" i="397"/>
  <c r="AL12" i="397"/>
  <c r="AH12" i="397"/>
  <c r="AN9" i="397" a="1"/>
  <c r="AN9" i="397"/>
  <c r="AM11" i="397"/>
  <c r="AL11" i="397"/>
  <c r="AH11" i="397"/>
  <c r="AM8" i="397"/>
  <c r="AL8" i="397"/>
  <c r="AH8" i="397"/>
  <c r="AN40" i="397" a="1"/>
  <c r="AN40" i="397"/>
  <c r="AN33" i="397" a="1"/>
  <c r="AN33" i="397"/>
  <c r="AM39" i="397"/>
  <c r="AL39" i="397"/>
  <c r="AH39" i="397"/>
  <c r="AM36" i="397"/>
  <c r="AL36" i="397"/>
  <c r="AH36" i="397"/>
  <c r="AN38" i="397" a="1"/>
  <c r="AN38" i="397"/>
  <c r="N1" i="397"/>
  <c r="AM10" i="397"/>
  <c r="AL10" i="397"/>
  <c r="AH10" i="397"/>
  <c r="AN37" i="397" a="1"/>
  <c r="AN37" i="397"/>
  <c r="AN10" i="397" a="1"/>
  <c r="AN10" i="397"/>
  <c r="P1" i="397"/>
  <c r="AN17" i="397" a="1"/>
  <c r="AN17" i="397"/>
  <c r="AN36" i="397" a="1"/>
  <c r="AN36" i="397"/>
  <c r="AM7" i="397"/>
  <c r="AL7" i="397"/>
  <c r="AH7" i="397"/>
  <c r="AM38" i="397"/>
  <c r="AL38" i="397"/>
  <c r="AH38" i="397"/>
  <c r="AM37" i="397"/>
  <c r="AL37" i="397"/>
  <c r="AH37" i="397"/>
  <c r="AM14" i="397"/>
  <c r="AL14" i="397"/>
  <c r="AH14" i="397"/>
  <c r="AM32" i="397"/>
  <c r="AL32" i="397"/>
  <c r="AH32" i="397"/>
  <c r="AM9" i="397"/>
  <c r="AL9" i="397"/>
  <c r="AH9" i="397"/>
  <c r="AM40" i="397"/>
  <c r="AL40" i="397"/>
  <c r="AH40" i="397"/>
  <c r="AM31" i="397"/>
  <c r="AM6" i="397"/>
  <c r="AN31" i="397" a="1"/>
  <c r="AN31" i="397"/>
  <c r="AM18" i="391"/>
  <c r="AL6" i="391"/>
  <c r="AN43" i="391"/>
  <c r="AF16" i="370"/>
  <c r="AM14" i="370" a="1"/>
  <c r="AM14" i="370"/>
  <c r="AL8" i="370"/>
  <c r="AK8" i="370"/>
  <c r="AG8" i="370"/>
  <c r="AL7" i="370"/>
  <c r="AK7" i="370"/>
  <c r="AG7" i="370"/>
  <c r="AM9" i="370" a="1"/>
  <c r="AM9" i="370"/>
  <c r="AM15" i="370" a="1"/>
  <c r="AM15" i="370"/>
  <c r="AM10" i="370" a="1"/>
  <c r="AM10" i="370"/>
  <c r="AM13" i="370" a="1"/>
  <c r="AM13" i="370"/>
  <c r="AL10" i="370"/>
  <c r="AK10" i="370"/>
  <c r="AG10" i="370"/>
  <c r="AL6" i="370"/>
  <c r="AK6" i="370"/>
  <c r="AG6" i="370"/>
  <c r="AM6" i="370" a="1"/>
  <c r="AM6" i="370"/>
  <c r="AL9" i="370"/>
  <c r="AK9" i="370"/>
  <c r="AG9" i="370"/>
  <c r="AM11" i="370" a="1"/>
  <c r="AM11" i="370"/>
  <c r="O23" i="370"/>
  <c r="AL14" i="370"/>
  <c r="AK14" i="370"/>
  <c r="AG14" i="370"/>
  <c r="AL13" i="370"/>
  <c r="AK13" i="370"/>
  <c r="AG13" i="370"/>
  <c r="AL11" i="370"/>
  <c r="AK11" i="370"/>
  <c r="AG11" i="370"/>
  <c r="AM12" i="370" a="1"/>
  <c r="AM12" i="370"/>
  <c r="AM7" i="370" a="1"/>
  <c r="AM7" i="370"/>
  <c r="AM5" i="370" a="1"/>
  <c r="AM5" i="370"/>
  <c r="R23" i="370"/>
  <c r="T26" i="370"/>
  <c r="AM8" i="370" a="1"/>
  <c r="AM8" i="370"/>
  <c r="AL15" i="370"/>
  <c r="AK15" i="370"/>
  <c r="AG15" i="370"/>
  <c r="AL5" i="370"/>
  <c r="AK5" i="370"/>
  <c r="AG5" i="370"/>
  <c r="AL12" i="370"/>
  <c r="AK12" i="370"/>
  <c r="AG12" i="370"/>
  <c r="AG18" i="394"/>
  <c r="AI18" i="394"/>
  <c r="AN32" i="394" a="1"/>
  <c r="AN32" i="394"/>
  <c r="AN10" i="394" a="1"/>
  <c r="AN10" i="394"/>
  <c r="AN14" i="394" a="1"/>
  <c r="AN14" i="394"/>
  <c r="AN39" i="394" a="1"/>
  <c r="AN39" i="394"/>
  <c r="AN34" i="394" a="1"/>
  <c r="AN34" i="394"/>
  <c r="AN35" i="394" a="1"/>
  <c r="AN35" i="394"/>
  <c r="AN7" i="394" a="1"/>
  <c r="AN7" i="394"/>
  <c r="AM11" i="394"/>
  <c r="AL11" i="394"/>
  <c r="AH11" i="394"/>
  <c r="AM15" i="394"/>
  <c r="AL15" i="394"/>
  <c r="AH15" i="394"/>
  <c r="AN9" i="394" a="1"/>
  <c r="AN9" i="394"/>
  <c r="AN17" i="394" a="1"/>
  <c r="AN17" i="394"/>
  <c r="AN11" i="394" a="1"/>
  <c r="AN11" i="394"/>
  <c r="AM31" i="394"/>
  <c r="AM33" i="394"/>
  <c r="AL33" i="394"/>
  <c r="AH33" i="394"/>
  <c r="AM7" i="394"/>
  <c r="AL7" i="394"/>
  <c r="AH7" i="394"/>
  <c r="AM8" i="394"/>
  <c r="AL8" i="394"/>
  <c r="AH8" i="394"/>
  <c r="AM16" i="394"/>
  <c r="AL16" i="394"/>
  <c r="AH16" i="394"/>
  <c r="AN15" i="394" a="1"/>
  <c r="AN15" i="394"/>
  <c r="AM38" i="394"/>
  <c r="AL38" i="394"/>
  <c r="AH38" i="394"/>
  <c r="AN36" i="394" a="1"/>
  <c r="AN36" i="394"/>
  <c r="AN37" i="394" a="1"/>
  <c r="AN37" i="394"/>
  <c r="AN13" i="394" a="1"/>
  <c r="AN13" i="394"/>
  <c r="AM17" i="394"/>
  <c r="AL17" i="394"/>
  <c r="AH17" i="394"/>
  <c r="AM39" i="394"/>
  <c r="AL39" i="394"/>
  <c r="AH39" i="394"/>
  <c r="AN40" i="394" a="1"/>
  <c r="AN40" i="394"/>
  <c r="AN16" i="394" a="1"/>
  <c r="AN16" i="394"/>
  <c r="AN12" i="394" a="1"/>
  <c r="AN12" i="394"/>
  <c r="P1" i="394"/>
  <c r="AN38" i="394" a="1"/>
  <c r="AN38" i="394"/>
  <c r="BD2" i="394"/>
  <c r="AM36" i="394"/>
  <c r="AL36" i="394"/>
  <c r="AH36" i="394"/>
  <c r="AN33" i="394" a="1"/>
  <c r="AN33" i="394"/>
  <c r="N1" i="394"/>
  <c r="AM14" i="394"/>
  <c r="AL14" i="394"/>
  <c r="AH14" i="394"/>
  <c r="AN31" i="394" a="1"/>
  <c r="AN31" i="394"/>
  <c r="AN6" i="394" a="1"/>
  <c r="AN6" i="394"/>
  <c r="AM10" i="394"/>
  <c r="AL10" i="394"/>
  <c r="AH10" i="394"/>
  <c r="AM12" i="394"/>
  <c r="AL12" i="394"/>
  <c r="AH12" i="394"/>
  <c r="AM6" i="394"/>
  <c r="AM32" i="394"/>
  <c r="AL32" i="394"/>
  <c r="AH32" i="394"/>
  <c r="BE2" i="394"/>
  <c r="BG2" i="394" s="1" a="1"/>
  <c r="BG2" i="394" s="1"/>
  <c r="BG4" i="394" s="1"/>
  <c r="L1" i="394" s="1"/>
  <c r="AM40" i="394"/>
  <c r="AL40" i="394"/>
  <c r="AH40" i="394"/>
  <c r="AM34" i="394"/>
  <c r="AL34" i="394"/>
  <c r="AH34" i="394"/>
  <c r="AM37" i="394"/>
  <c r="AL37" i="394"/>
  <c r="AH37" i="394"/>
  <c r="AM35" i="394"/>
  <c r="AL35" i="394"/>
  <c r="AH35" i="394"/>
  <c r="AM9" i="394"/>
  <c r="AL9" i="394"/>
  <c r="AH9" i="394"/>
  <c r="AN8" i="394" a="1"/>
  <c r="AN8" i="394"/>
  <c r="AM13" i="394"/>
  <c r="AL13" i="394"/>
  <c r="AH13" i="394"/>
  <c r="AF3" i="345"/>
  <c r="AE4" i="345"/>
  <c r="AE13" i="345"/>
  <c r="AF3" i="336"/>
  <c r="AE4" i="336"/>
  <c r="AE13" i="336"/>
  <c r="AG18" i="399"/>
  <c r="AI18" i="399"/>
  <c r="AM10" i="399"/>
  <c r="AL10" i="399"/>
  <c r="AH10" i="399"/>
  <c r="AN13" i="399" a="1"/>
  <c r="AN13" i="399"/>
  <c r="AN40" i="399" a="1"/>
  <c r="AN40" i="399"/>
  <c r="BE2" i="399"/>
  <c r="BG2" i="399" s="1" a="1"/>
  <c r="BG2" i="399" s="1"/>
  <c r="AM36" i="399"/>
  <c r="AL36" i="399"/>
  <c r="AH36" i="399"/>
  <c r="AM13" i="399"/>
  <c r="AL13" i="399"/>
  <c r="AH13" i="399"/>
  <c r="N1" i="399"/>
  <c r="AM7" i="399"/>
  <c r="AL7" i="399"/>
  <c r="AH7" i="399"/>
  <c r="AM12" i="399"/>
  <c r="AL12" i="399"/>
  <c r="AH12" i="399"/>
  <c r="AN17" i="399" a="1"/>
  <c r="AN17" i="399"/>
  <c r="AN36" i="399" a="1"/>
  <c r="AN36" i="399"/>
  <c r="AM15" i="399"/>
  <c r="AL15" i="399"/>
  <c r="AH15" i="399"/>
  <c r="AM17" i="399"/>
  <c r="AL17" i="399"/>
  <c r="AH17" i="399"/>
  <c r="AM16" i="399"/>
  <c r="AL16" i="399"/>
  <c r="AH16" i="399"/>
  <c r="AM14" i="399"/>
  <c r="AL14" i="399"/>
  <c r="AH14" i="399"/>
  <c r="AN39" i="399" a="1"/>
  <c r="AN39" i="399"/>
  <c r="AM31" i="399"/>
  <c r="AN33" i="399" a="1"/>
  <c r="AN33" i="399"/>
  <c r="AN6" i="399" a="1"/>
  <c r="AN6" i="399"/>
  <c r="AN10" i="399" a="1"/>
  <c r="AN10" i="399"/>
  <c r="AM33" i="399"/>
  <c r="AL33" i="399"/>
  <c r="AH33" i="399"/>
  <c r="AN35" i="399" a="1"/>
  <c r="AN35" i="399"/>
  <c r="AM6" i="399"/>
  <c r="AM34" i="399"/>
  <c r="AL34" i="399"/>
  <c r="AH34" i="399"/>
  <c r="AN38" i="399" a="1"/>
  <c r="AN38" i="399"/>
  <c r="AM38" i="399"/>
  <c r="AL38" i="399"/>
  <c r="AH38" i="399"/>
  <c r="AN15" i="399" a="1"/>
  <c r="AN15" i="399"/>
  <c r="AN9" i="399" a="1"/>
  <c r="AN9" i="399"/>
  <c r="AN12" i="399" a="1"/>
  <c r="AN12" i="399"/>
  <c r="AN7" i="399" a="1"/>
  <c r="AN7" i="399"/>
  <c r="AM32" i="399"/>
  <c r="AL32" i="399"/>
  <c r="AH32" i="399"/>
  <c r="P1" i="399"/>
  <c r="AN16" i="399" a="1"/>
  <c r="AN16" i="399"/>
  <c r="AN8" i="399" a="1"/>
  <c r="AN8" i="399"/>
  <c r="AN14" i="399" a="1"/>
  <c r="AN14" i="399"/>
  <c r="AN37" i="399" a="1"/>
  <c r="AN37" i="399"/>
  <c r="AM35" i="399"/>
  <c r="AL35" i="399"/>
  <c r="AH35" i="399"/>
  <c r="AM37" i="399"/>
  <c r="AL37" i="399"/>
  <c r="AH37" i="399"/>
  <c r="AM40" i="399"/>
  <c r="AL40" i="399"/>
  <c r="AH40" i="399"/>
  <c r="AM39" i="399"/>
  <c r="AL39" i="399"/>
  <c r="AH39" i="399"/>
  <c r="AN11" i="399" a="1"/>
  <c r="AN11" i="399"/>
  <c r="AM8" i="399"/>
  <c r="AL8" i="399"/>
  <c r="AH8" i="399"/>
  <c r="AN34" i="399" a="1"/>
  <c r="AN34" i="399"/>
  <c r="AN31" i="399" a="1"/>
  <c r="AN31" i="399"/>
  <c r="AM11" i="399"/>
  <c r="AL11" i="399"/>
  <c r="AH11" i="399"/>
  <c r="AM9" i="399"/>
  <c r="AL9" i="399"/>
  <c r="AH9" i="399"/>
  <c r="AN32" i="399" a="1"/>
  <c r="AN32" i="399"/>
  <c r="AF13" i="349"/>
  <c r="AM7" i="349" a="1"/>
  <c r="AM7" i="349"/>
  <c r="AM12" i="349" a="1"/>
  <c r="AM12" i="349"/>
  <c r="AM6" i="349" a="1"/>
  <c r="AM6" i="349"/>
  <c r="AL10" i="349"/>
  <c r="AK10" i="349"/>
  <c r="AG10" i="349"/>
  <c r="AM11" i="349" a="1"/>
  <c r="AM11" i="349"/>
  <c r="AL7" i="349"/>
  <c r="AK7" i="349"/>
  <c r="AG7" i="349"/>
  <c r="AL9" i="349"/>
  <c r="AK9" i="349"/>
  <c r="AG9" i="349"/>
  <c r="AM9" i="349" a="1"/>
  <c r="AM9" i="349"/>
  <c r="AM8" i="349" a="1"/>
  <c r="AM8" i="349"/>
  <c r="AM5" i="349" a="1"/>
  <c r="AM5" i="349"/>
  <c r="AL8" i="349"/>
  <c r="AK8" i="349"/>
  <c r="AG8" i="349"/>
  <c r="AL6" i="349"/>
  <c r="AK6" i="349"/>
  <c r="AG6" i="349"/>
  <c r="AL5" i="349"/>
  <c r="AK5" i="349"/>
  <c r="AG5" i="349"/>
  <c r="AM10" i="349" a="1"/>
  <c r="AM10" i="349"/>
  <c r="AL11" i="349"/>
  <c r="AK11" i="349"/>
  <c r="AG11" i="349"/>
  <c r="O20" i="349"/>
  <c r="AL12" i="349"/>
  <c r="AK12" i="349"/>
  <c r="AG12" i="349"/>
  <c r="R20" i="349"/>
  <c r="T23" i="349"/>
  <c r="AL31" i="391"/>
  <c r="AM43" i="391"/>
  <c r="AD3" i="341"/>
  <c r="AC4" i="341"/>
  <c r="AC13" i="341"/>
  <c r="AE3" i="377"/>
  <c r="AD4" i="377"/>
  <c r="AD4" i="350"/>
  <c r="AE3" i="350"/>
  <c r="AG4" i="395"/>
  <c r="AF5" i="395"/>
  <c r="AF18" i="395"/>
  <c r="AG5" i="398"/>
  <c r="BF2" i="398" a="1"/>
  <c r="BF2" i="398"/>
  <c r="BC4" i="398"/>
  <c r="F1" i="398"/>
  <c r="BB4" i="398"/>
  <c r="I1" i="398"/>
  <c r="AG3" i="376"/>
  <c r="AG4" i="376"/>
  <c r="AF4" i="376"/>
  <c r="AE30" i="398"/>
  <c r="AE43" i="398"/>
  <c r="AF29" i="398"/>
  <c r="AF4" i="378"/>
  <c r="S20" i="378"/>
  <c r="T25" i="378"/>
  <c r="S21" i="378"/>
  <c r="AL31" i="394"/>
  <c r="AM43" i="394"/>
  <c r="AG4" i="385"/>
  <c r="AF5" i="385"/>
  <c r="AF18" i="385"/>
  <c r="O20" i="334"/>
  <c r="T23" i="334"/>
  <c r="AL12" i="334"/>
  <c r="AK12" i="334"/>
  <c r="AG12" i="334"/>
  <c r="AL5" i="334"/>
  <c r="AK5" i="334"/>
  <c r="AG5" i="334"/>
  <c r="AL8" i="334"/>
  <c r="AK8" i="334"/>
  <c r="AG8" i="334"/>
  <c r="AL11" i="334"/>
  <c r="AK11" i="334"/>
  <c r="AG11" i="334"/>
  <c r="AL7" i="334"/>
  <c r="AK7" i="334"/>
  <c r="AG7" i="334"/>
  <c r="AL9" i="334"/>
  <c r="AK9" i="334"/>
  <c r="AG9" i="334"/>
  <c r="R20" i="334"/>
  <c r="AL10" i="334"/>
  <c r="AK10" i="334"/>
  <c r="AG10" i="334"/>
  <c r="AL6" i="334"/>
  <c r="AK6" i="334"/>
  <c r="AG6" i="334"/>
  <c r="AF30" i="398"/>
  <c r="AF43" i="398"/>
  <c r="AG29" i="398"/>
  <c r="AG30" i="398"/>
  <c r="AG43" i="398"/>
  <c r="AF4" i="348"/>
  <c r="T22" i="348" a="1"/>
  <c r="T22" i="348"/>
  <c r="S17" i="348"/>
  <c r="S18" i="348"/>
  <c r="AE4" i="379"/>
  <c r="AE12" i="379"/>
  <c r="AF3" i="379"/>
  <c r="AF3" i="377"/>
  <c r="AF4" i="377"/>
  <c r="AE4" i="377"/>
  <c r="AL13" i="376" a="1"/>
  <c r="AL13" i="376"/>
  <c r="AL12" i="376" a="1"/>
  <c r="AL12" i="376"/>
  <c r="AL9" i="376" a="1"/>
  <c r="AL9" i="376"/>
  <c r="AL10" i="376" a="1"/>
  <c r="AL10" i="376"/>
  <c r="AL15" i="376" a="1"/>
  <c r="AL15" i="376"/>
  <c r="AL14" i="376" a="1"/>
  <c r="AL14" i="376"/>
  <c r="AL7" i="376" a="1"/>
  <c r="AL7" i="376"/>
  <c r="AL8" i="376" a="1"/>
  <c r="AL8" i="376"/>
  <c r="AL11" i="376" a="1"/>
  <c r="AL11" i="376"/>
  <c r="AL6" i="376" a="1"/>
  <c r="AL6" i="376"/>
  <c r="AL5" i="376" a="1"/>
  <c r="AL5" i="376"/>
  <c r="AL31" i="399"/>
  <c r="AM43" i="399"/>
  <c r="AG5" i="400"/>
  <c r="BC4" i="400"/>
  <c r="F1" i="400" s="1"/>
  <c r="BB4" i="400"/>
  <c r="I1" i="400" s="1"/>
  <c r="BF2" i="400" a="1"/>
  <c r="BF2" i="400" s="1"/>
  <c r="T20" i="349"/>
  <c r="W20" i="349"/>
  <c r="S19" i="349"/>
  <c r="AM18" i="394"/>
  <c r="AL6" i="394"/>
  <c r="AF16" i="378"/>
  <c r="AM10" i="378" a="1"/>
  <c r="AM10" i="378"/>
  <c r="AL9" i="378"/>
  <c r="AK9" i="378"/>
  <c r="AM13" i="378" a="1"/>
  <c r="AM13" i="378"/>
  <c r="AL15" i="378"/>
  <c r="AK15" i="378"/>
  <c r="AL7" i="378"/>
  <c r="AK7" i="378"/>
  <c r="R23" i="378"/>
  <c r="T26" i="378"/>
  <c r="AL8" i="378"/>
  <c r="AK8" i="378"/>
  <c r="AM5" i="378" a="1"/>
  <c r="AM5" i="378"/>
  <c r="AM12" i="378" a="1"/>
  <c r="AM12" i="378"/>
  <c r="AL10" i="378"/>
  <c r="AK10" i="378"/>
  <c r="AG10" i="378"/>
  <c r="AM8" i="378" a="1"/>
  <c r="AM8" i="378"/>
  <c r="AM14" i="378" a="1"/>
  <c r="AM14" i="378"/>
  <c r="AM11" i="378" a="1"/>
  <c r="AM11" i="378"/>
  <c r="AM6" i="378" a="1"/>
  <c r="AM6" i="378"/>
  <c r="AL14" i="378"/>
  <c r="AK14" i="378"/>
  <c r="AL6" i="378"/>
  <c r="AK6" i="378"/>
  <c r="AM15" i="378" a="1"/>
  <c r="AM15" i="378"/>
  <c r="AL12" i="378"/>
  <c r="AK12" i="378"/>
  <c r="AL11" i="378"/>
  <c r="AK11" i="378"/>
  <c r="AG11" i="378"/>
  <c r="AM7" i="378" a="1"/>
  <c r="AM7" i="378"/>
  <c r="AL13" i="378"/>
  <c r="AK13" i="378"/>
  <c r="AL5" i="378"/>
  <c r="AK5" i="378"/>
  <c r="AG5" i="378"/>
  <c r="O23" i="378"/>
  <c r="T23" i="378"/>
  <c r="W23" i="378"/>
  <c r="S22" i="378"/>
  <c r="AM9" i="378" a="1"/>
  <c r="AM9" i="378"/>
  <c r="AF30" i="391"/>
  <c r="AF43" i="391"/>
  <c r="AG29" i="391"/>
  <c r="AG30" i="391"/>
  <c r="AG43" i="391"/>
  <c r="AE3" i="335"/>
  <c r="AD4" i="335"/>
  <c r="AN18" i="399"/>
  <c r="AD4" i="340"/>
  <c r="AD13" i="340"/>
  <c r="AE3" i="340"/>
  <c r="AE3" i="341"/>
  <c r="AD4" i="341"/>
  <c r="AD13" i="341"/>
  <c r="AN18" i="394"/>
  <c r="AL18" i="391"/>
  <c r="AH6" i="391"/>
  <c r="AL6" i="399"/>
  <c r="AM18" i="399"/>
  <c r="AN43" i="399"/>
  <c r="AF4" i="336"/>
  <c r="S18" i="336"/>
  <c r="S17" i="336"/>
  <c r="T22" i="336" a="1"/>
  <c r="T22" i="336"/>
  <c r="AN43" i="394"/>
  <c r="T23" i="370"/>
  <c r="W23" i="370"/>
  <c r="S22" i="370"/>
  <c r="AN18" i="397"/>
  <c r="AG5" i="392"/>
  <c r="BC4" i="392"/>
  <c r="F1" i="392"/>
  <c r="BB4" i="392"/>
  <c r="I1" i="392"/>
  <c r="BF2" i="392" a="1"/>
  <c r="BF2" i="392"/>
  <c r="AG18" i="398"/>
  <c r="AI18" i="398"/>
  <c r="AN6" i="398" a="1"/>
  <c r="AN6" i="398"/>
  <c r="AM10" i="398"/>
  <c r="AL10" i="398"/>
  <c r="AH10" i="398"/>
  <c r="AM7" i="398"/>
  <c r="AL7" i="398"/>
  <c r="AH7" i="398"/>
  <c r="AM39" i="398"/>
  <c r="AL39" i="398"/>
  <c r="AH39" i="398"/>
  <c r="AN38" i="398" a="1"/>
  <c r="AN38" i="398"/>
  <c r="AM16" i="398"/>
  <c r="AL16" i="398"/>
  <c r="AH16" i="398"/>
  <c r="AM36" i="398"/>
  <c r="AL36" i="398"/>
  <c r="AH36" i="398"/>
  <c r="AN16" i="398" a="1"/>
  <c r="AN16" i="398"/>
  <c r="AN39" i="398" a="1"/>
  <c r="AN39" i="398"/>
  <c r="AM35" i="398"/>
  <c r="AL35" i="398"/>
  <c r="AH35" i="398"/>
  <c r="AN32" i="398" a="1"/>
  <c r="AN32" i="398"/>
  <c r="AN36" i="398" a="1"/>
  <c r="AN36" i="398"/>
  <c r="AN35" i="398" a="1"/>
  <c r="AN35" i="398"/>
  <c r="AM31" i="398"/>
  <c r="AN8" i="398" a="1"/>
  <c r="AN8" i="398"/>
  <c r="BE2" i="398"/>
  <c r="BG2" i="398" s="1" a="1"/>
  <c r="BG2" i="398" s="1"/>
  <c r="AM40" i="398"/>
  <c r="AL40" i="398"/>
  <c r="AH40" i="398"/>
  <c r="AM34" i="398"/>
  <c r="AL34" i="398"/>
  <c r="AH34" i="398"/>
  <c r="AN14" i="398" a="1"/>
  <c r="AN14" i="398"/>
  <c r="AM15" i="398"/>
  <c r="AL15" i="398"/>
  <c r="AH15" i="398"/>
  <c r="AN15" i="398" a="1"/>
  <c r="AN15" i="398"/>
  <c r="P1" i="398"/>
  <c r="AM11" i="398"/>
  <c r="AL11" i="398"/>
  <c r="AH11" i="398"/>
  <c r="AN40" i="398" a="1"/>
  <c r="AN40" i="398"/>
  <c r="AM14" i="398"/>
  <c r="AL14" i="398"/>
  <c r="AH14" i="398"/>
  <c r="AM37" i="398"/>
  <c r="AL37" i="398"/>
  <c r="AH37" i="398"/>
  <c r="AN12" i="398" a="1"/>
  <c r="AN12" i="398"/>
  <c r="AN31" i="398" a="1"/>
  <c r="AN31" i="398"/>
  <c r="AM33" i="398"/>
  <c r="AL33" i="398"/>
  <c r="AH33" i="398"/>
  <c r="AM6" i="398"/>
  <c r="AN33" i="398" a="1"/>
  <c r="AN33" i="398"/>
  <c r="AN13" i="398" a="1"/>
  <c r="AN13" i="398"/>
  <c r="AM9" i="398"/>
  <c r="AL9" i="398"/>
  <c r="AH9" i="398"/>
  <c r="AN7" i="398" a="1"/>
  <c r="AN7" i="398"/>
  <c r="AN17" i="398" a="1"/>
  <c r="AN17" i="398"/>
  <c r="AM38" i="398"/>
  <c r="AL38" i="398"/>
  <c r="AH38" i="398"/>
  <c r="AN9" i="398" a="1"/>
  <c r="AN9" i="398"/>
  <c r="AM13" i="398"/>
  <c r="AL13" i="398"/>
  <c r="AH13" i="398"/>
  <c r="AM12" i="398"/>
  <c r="AL12" i="398"/>
  <c r="AH12" i="398"/>
  <c r="AN34" i="398" a="1"/>
  <c r="AN34" i="398"/>
  <c r="N1" i="398"/>
  <c r="AM17" i="398"/>
  <c r="AL17" i="398"/>
  <c r="AH17" i="398"/>
  <c r="AM8" i="398"/>
  <c r="AL8" i="398"/>
  <c r="AH8" i="398"/>
  <c r="AN10" i="398" a="1"/>
  <c r="AN10" i="398"/>
  <c r="AN11" i="398" a="1"/>
  <c r="AN11" i="398"/>
  <c r="AM32" i="398"/>
  <c r="AL32" i="398"/>
  <c r="AH32" i="398"/>
  <c r="AN37" i="398" a="1"/>
  <c r="AN37" i="398"/>
  <c r="AG5" i="395"/>
  <c r="BC4" i="395"/>
  <c r="F1" i="395"/>
  <c r="BB4" i="395"/>
  <c r="I1" i="395"/>
  <c r="AN43" i="397"/>
  <c r="AF4" i="345"/>
  <c r="T22" i="345" a="1"/>
  <c r="T22" i="345"/>
  <c r="S18" i="345"/>
  <c r="S17" i="345"/>
  <c r="AL6" i="397"/>
  <c r="AM18" i="397"/>
  <c r="AE4" i="332"/>
  <c r="AF3" i="332"/>
  <c r="AH31" i="391"/>
  <c r="AL43" i="391"/>
  <c r="AE4" i="350"/>
  <c r="AF3" i="350"/>
  <c r="AF4" i="350"/>
  <c r="AM43" i="397"/>
  <c r="AL31" i="397"/>
  <c r="AF30" i="395"/>
  <c r="AF43" i="395"/>
  <c r="AG29" i="395"/>
  <c r="AG30" i="395"/>
  <c r="AG43" i="395"/>
  <c r="AH43" i="395"/>
  <c r="AM43" i="398"/>
  <c r="AL31" i="398"/>
  <c r="AF4" i="332"/>
  <c r="AG3" i="332"/>
  <c r="AN43" i="398"/>
  <c r="AF3" i="341"/>
  <c r="AE4" i="341"/>
  <c r="AE13" i="341"/>
  <c r="AG18" i="392"/>
  <c r="AI18" i="392"/>
  <c r="AN36" i="392" a="1"/>
  <c r="AN36" i="392"/>
  <c r="BE2" i="392"/>
  <c r="BG2" i="392" s="1"/>
  <c r="BG4" i="392" s="1"/>
  <c r="L1" i="392" s="1"/>
  <c r="AN12" i="392" a="1"/>
  <c r="AN12" i="392"/>
  <c r="AN39" i="392" a="1"/>
  <c r="AN39" i="392"/>
  <c r="AN38" i="392" a="1"/>
  <c r="AN38" i="392"/>
  <c r="AM35" i="392"/>
  <c r="AL35" i="392"/>
  <c r="AH35" i="392"/>
  <c r="AN34" i="392" a="1"/>
  <c r="AN34" i="392"/>
  <c r="AN40" i="392" a="1"/>
  <c r="AN40" i="392"/>
  <c r="AN10" i="392" a="1"/>
  <c r="AN10" i="392"/>
  <c r="AN13" i="392" a="1"/>
  <c r="AN13" i="392"/>
  <c r="AM17" i="392"/>
  <c r="AL17" i="392"/>
  <c r="AH17" i="392"/>
  <c r="AN16" i="392" a="1"/>
  <c r="AN16" i="392"/>
  <c r="AM6" i="392"/>
  <c r="AM16" i="392"/>
  <c r="AL16" i="392"/>
  <c r="AH16" i="392"/>
  <c r="AM9" i="392"/>
  <c r="AL9" i="392"/>
  <c r="AH9" i="392"/>
  <c r="AN14" i="392" a="1"/>
  <c r="AN14" i="392"/>
  <c r="AN35" i="392" a="1"/>
  <c r="AN35" i="392"/>
  <c r="AM38" i="392"/>
  <c r="AL38" i="392"/>
  <c r="AH38" i="392"/>
  <c r="AM10" i="392"/>
  <c r="AL10" i="392"/>
  <c r="AH10" i="392"/>
  <c r="AM39" i="392"/>
  <c r="AL39" i="392"/>
  <c r="AH39" i="392"/>
  <c r="AM32" i="392"/>
  <c r="AL32" i="392"/>
  <c r="AH32" i="392"/>
  <c r="AM8" i="392"/>
  <c r="AL8" i="392"/>
  <c r="AH8" i="392"/>
  <c r="AM31" i="392"/>
  <c r="P1" i="392"/>
  <c r="AN6" i="392" a="1"/>
  <c r="AN6" i="392"/>
  <c r="AN31" i="392" a="1"/>
  <c r="AN31" i="392"/>
  <c r="AN33" i="392" a="1"/>
  <c r="AN33" i="392"/>
  <c r="AM37" i="392"/>
  <c r="AL37" i="392"/>
  <c r="AH37" i="392"/>
  <c r="AN15" i="392" a="1"/>
  <c r="AN15" i="392"/>
  <c r="AN17" i="392" a="1"/>
  <c r="AN17" i="392"/>
  <c r="AM40" i="392"/>
  <c r="AL40" i="392"/>
  <c r="AH40" i="392"/>
  <c r="BD2" i="392"/>
  <c r="AN7" i="392" a="1"/>
  <c r="AN7" i="392"/>
  <c r="AM33" i="392"/>
  <c r="AL33" i="392"/>
  <c r="AH33" i="392"/>
  <c r="AM12" i="392"/>
  <c r="AL12" i="392"/>
  <c r="AH12" i="392"/>
  <c r="AM13" i="392"/>
  <c r="AL13" i="392"/>
  <c r="AH13" i="392"/>
  <c r="AM34" i="392"/>
  <c r="AL34" i="392"/>
  <c r="AH34" i="392"/>
  <c r="AM7" i="392"/>
  <c r="AL7" i="392"/>
  <c r="AH7" i="392"/>
  <c r="AM14" i="392"/>
  <c r="AL14" i="392"/>
  <c r="AH14" i="392"/>
  <c r="AM36" i="392"/>
  <c r="AL36" i="392"/>
  <c r="AH36" i="392"/>
  <c r="AN9" i="392" a="1"/>
  <c r="AN9" i="392"/>
  <c r="AN32" i="392" a="1"/>
  <c r="AN32" i="392"/>
  <c r="N1" i="392"/>
  <c r="AM11" i="392"/>
  <c r="AL11" i="392"/>
  <c r="AH11" i="392"/>
  <c r="AN8" i="392" a="1"/>
  <c r="AN8" i="392"/>
  <c r="AM15" i="392"/>
  <c r="AL15" i="392"/>
  <c r="AH15" i="392"/>
  <c r="BG3" i="392"/>
  <c r="AN37" i="392" a="1"/>
  <c r="AN37" i="392"/>
  <c r="AN11" i="392" a="1"/>
  <c r="AN11" i="392"/>
  <c r="AF3" i="340"/>
  <c r="AE4" i="340"/>
  <c r="AE13" i="340"/>
  <c r="AL18" i="394"/>
  <c r="AH6" i="394"/>
  <c r="AH6" i="397"/>
  <c r="AL18" i="397"/>
  <c r="AG18" i="395"/>
  <c r="AN8" i="395" a="1"/>
  <c r="AN8" i="395"/>
  <c r="AN12" i="395" a="1"/>
  <c r="AN12" i="395"/>
  <c r="AM37" i="395"/>
  <c r="AL37" i="395"/>
  <c r="AH37" i="395"/>
  <c r="P1" i="395"/>
  <c r="AN38" i="395" a="1"/>
  <c r="AN38" i="395"/>
  <c r="AN31" i="395" a="1"/>
  <c r="AN31" i="395"/>
  <c r="AN6" i="395" a="1"/>
  <c r="AN6" i="395"/>
  <c r="AM9" i="395"/>
  <c r="AL9" i="395"/>
  <c r="AH9" i="395"/>
  <c r="AN32" i="395" a="1"/>
  <c r="AN32" i="395"/>
  <c r="AM39" i="395"/>
  <c r="AL39" i="395"/>
  <c r="AH39" i="395"/>
  <c r="N1" i="395"/>
  <c r="AM33" i="395"/>
  <c r="AL33" i="395"/>
  <c r="AH33" i="395"/>
  <c r="AN37" i="395" a="1"/>
  <c r="AN37" i="395"/>
  <c r="AM6" i="395"/>
  <c r="AM17" i="395"/>
  <c r="AL17" i="395"/>
  <c r="AH17" i="395"/>
  <c r="AM7" i="395"/>
  <c r="AL7" i="395"/>
  <c r="AH7" i="395"/>
  <c r="AM8" i="395"/>
  <c r="AL8" i="395"/>
  <c r="AH8" i="395"/>
  <c r="AM16" i="395"/>
  <c r="AL16" i="395"/>
  <c r="AH16" i="395"/>
  <c r="AN40" i="395" a="1"/>
  <c r="AN40" i="395"/>
  <c r="AM31" i="395"/>
  <c r="AM11" i="395"/>
  <c r="AL11" i="395"/>
  <c r="AH11" i="395"/>
  <c r="AN9" i="395" a="1"/>
  <c r="AN9" i="395"/>
  <c r="AN33" i="395" a="1"/>
  <c r="AN33" i="395"/>
  <c r="AN14" i="395" a="1"/>
  <c r="AN14" i="395"/>
  <c r="AN34" i="395" a="1"/>
  <c r="AN34" i="395"/>
  <c r="AN15" i="395" a="1"/>
  <c r="AN15" i="395"/>
  <c r="AN39" i="395" a="1"/>
  <c r="AN39" i="395"/>
  <c r="BE2" i="395"/>
  <c r="BG2" i="395"/>
  <c r="BG4" i="395"/>
  <c r="L1" i="395"/>
  <c r="AM34" i="395"/>
  <c r="AL34" i="395"/>
  <c r="AH34" i="395"/>
  <c r="AM14" i="395"/>
  <c r="AL14" i="395"/>
  <c r="AH14" i="395"/>
  <c r="AN35" i="395" a="1"/>
  <c r="AN35" i="395"/>
  <c r="AM13" i="395"/>
  <c r="AL13" i="395"/>
  <c r="AH13" i="395"/>
  <c r="AM12" i="395"/>
  <c r="AL12" i="395"/>
  <c r="AH12" i="395"/>
  <c r="AM38" i="395"/>
  <c r="AL38" i="395"/>
  <c r="AH38" i="395"/>
  <c r="BD2" i="395"/>
  <c r="BF3" i="395"/>
  <c r="AN16" i="395" a="1"/>
  <c r="AN16" i="395"/>
  <c r="AM15" i="395"/>
  <c r="AL15" i="395"/>
  <c r="AH15" i="395"/>
  <c r="AN11" i="395" a="1"/>
  <c r="AN11" i="395"/>
  <c r="BG3" i="395"/>
  <c r="AN36" i="395" a="1"/>
  <c r="AN36" i="395"/>
  <c r="AN13" i="395" a="1"/>
  <c r="AN13" i="395"/>
  <c r="AM35" i="395"/>
  <c r="AL35" i="395"/>
  <c r="AH35" i="395"/>
  <c r="AN10" i="395" a="1"/>
  <c r="AN10" i="395"/>
  <c r="AM36" i="395"/>
  <c r="AL36" i="395"/>
  <c r="AH36" i="395"/>
  <c r="AM40" i="395"/>
  <c r="AL40" i="395"/>
  <c r="AH40" i="395"/>
  <c r="AM32" i="395"/>
  <c r="AL32" i="395"/>
  <c r="AH32" i="395"/>
  <c r="AN7" i="395" a="1"/>
  <c r="AN7" i="395"/>
  <c r="AN17" i="395" a="1"/>
  <c r="AN17" i="395"/>
  <c r="AM10" i="395"/>
  <c r="AL10" i="395"/>
  <c r="AH10" i="395"/>
  <c r="AM15" i="350" a="1"/>
  <c r="AM15" i="350"/>
  <c r="AM5" i="350" a="1"/>
  <c r="AM5" i="350"/>
  <c r="AM13" i="350" a="1"/>
  <c r="AM13" i="350"/>
  <c r="AL14" i="350"/>
  <c r="AK14" i="350"/>
  <c r="AG14" i="350"/>
  <c r="AM11" i="350" a="1"/>
  <c r="AM11" i="350"/>
  <c r="AM10" i="350" a="1"/>
  <c r="AM10" i="350"/>
  <c r="AM12" i="350" a="1"/>
  <c r="AM12" i="350"/>
  <c r="AL8" i="350"/>
  <c r="AK8" i="350"/>
  <c r="AG8" i="350"/>
  <c r="AM9" i="350" a="1"/>
  <c r="AM9" i="350"/>
  <c r="AM7" i="350" a="1"/>
  <c r="AM7" i="350"/>
  <c r="AL13" i="350"/>
  <c r="AK13" i="350"/>
  <c r="AG13" i="350"/>
  <c r="AM14" i="350" a="1"/>
  <c r="AM14" i="350"/>
  <c r="AM8" i="350" a="1"/>
  <c r="AM8" i="350"/>
  <c r="AL5" i="350"/>
  <c r="AK5" i="350"/>
  <c r="AG5" i="350"/>
  <c r="AL10" i="350"/>
  <c r="AK10" i="350"/>
  <c r="AG10" i="350"/>
  <c r="AL15" i="350"/>
  <c r="AK15" i="350"/>
  <c r="AG15" i="350"/>
  <c r="AL6" i="350"/>
  <c r="AK6" i="350"/>
  <c r="AG6" i="350"/>
  <c r="AM6" i="350" a="1"/>
  <c r="AM6" i="350"/>
  <c r="AL11" i="350"/>
  <c r="AK11" i="350"/>
  <c r="AG11" i="350"/>
  <c r="AL9" i="350"/>
  <c r="AK9" i="350"/>
  <c r="AG9" i="350"/>
  <c r="AL7" i="350"/>
  <c r="AK7" i="350"/>
  <c r="AG7" i="350"/>
  <c r="AL12" i="350"/>
  <c r="AK12" i="350"/>
  <c r="AG12" i="350"/>
  <c r="AE4" i="335"/>
  <c r="AF3" i="335"/>
  <c r="AL18" i="377"/>
  <c r="AK18" i="377"/>
  <c r="AG18" i="377"/>
  <c r="AM10" i="377" a="1"/>
  <c r="AM10" i="377"/>
  <c r="AM13" i="377" a="1"/>
  <c r="AM13" i="377"/>
  <c r="AM15" i="377" a="1"/>
  <c r="AM15" i="377"/>
  <c r="AM21" i="377" a="1"/>
  <c r="AM21" i="377"/>
  <c r="AM7" i="377" a="1"/>
  <c r="AM7" i="377"/>
  <c r="AL7" i="377"/>
  <c r="AK7" i="377"/>
  <c r="AG7" i="377"/>
  <c r="AL11" i="377"/>
  <c r="AK11" i="377"/>
  <c r="AG11" i="377"/>
  <c r="AM14" i="377" a="1"/>
  <c r="AM14" i="377"/>
  <c r="AM12" i="377" a="1"/>
  <c r="AM12" i="377"/>
  <c r="AM8" i="377" a="1"/>
  <c r="AM8" i="377"/>
  <c r="AM6" i="377" a="1"/>
  <c r="AM6" i="377"/>
  <c r="AL9" i="377"/>
  <c r="AK9" i="377"/>
  <c r="AG9" i="377"/>
  <c r="AM5" i="377" a="1"/>
  <c r="AM5" i="377"/>
  <c r="AL22" i="377"/>
  <c r="AK22" i="377"/>
  <c r="AG22" i="377"/>
  <c r="AL8" i="377"/>
  <c r="AK8" i="377"/>
  <c r="AG8" i="377"/>
  <c r="AL21" i="377"/>
  <c r="AK21" i="377"/>
  <c r="AG21" i="377"/>
  <c r="AL12" i="377"/>
  <c r="AK12" i="377"/>
  <c r="AG12" i="377"/>
  <c r="AM18" i="377" a="1"/>
  <c r="AM18" i="377"/>
  <c r="AL14" i="377"/>
  <c r="AK14" i="377"/>
  <c r="AG14" i="377"/>
  <c r="AL19" i="377"/>
  <c r="AK19" i="377"/>
  <c r="AG19" i="377"/>
  <c r="AM20" i="377" a="1"/>
  <c r="AM20" i="377"/>
  <c r="AM9" i="377" a="1"/>
  <c r="AM9" i="377"/>
  <c r="AL5" i="377"/>
  <c r="AK5" i="377"/>
  <c r="AG5" i="377"/>
  <c r="AL10" i="377"/>
  <c r="AK10" i="377"/>
  <c r="AG10" i="377"/>
  <c r="AM11" i="377" a="1"/>
  <c r="AM11" i="377"/>
  <c r="AL20" i="377"/>
  <c r="AK20" i="377"/>
  <c r="AG20" i="377"/>
  <c r="AM22" i="377" a="1"/>
  <c r="AM22" i="377"/>
  <c r="AM19" i="377" a="1"/>
  <c r="AM19" i="377"/>
  <c r="AL15" i="377"/>
  <c r="AK15" i="377"/>
  <c r="AG15" i="377"/>
  <c r="AL13" i="377"/>
  <c r="AK13" i="377"/>
  <c r="AG13" i="377"/>
  <c r="AG18" i="400"/>
  <c r="AM9" i="400"/>
  <c r="AL9" i="400"/>
  <c r="AH9" i="400"/>
  <c r="AM11" i="400"/>
  <c r="AL11" i="400"/>
  <c r="AH11" i="400" s="1"/>
  <c r="AM34" i="400"/>
  <c r="AL34" i="400"/>
  <c r="AH34" i="400"/>
  <c r="AN8" i="400" a="1"/>
  <c r="AN8" i="400"/>
  <c r="AM14" i="400"/>
  <c r="AL14" i="400" s="1"/>
  <c r="AH14" i="400" s="1"/>
  <c r="AM7" i="400"/>
  <c r="AL7" i="400"/>
  <c r="AH7" i="400"/>
  <c r="AN37" i="400" a="1"/>
  <c r="AN37" i="400"/>
  <c r="AM35" i="400"/>
  <c r="AM43" i="400" s="1"/>
  <c r="AN17" i="400" a="1"/>
  <c r="AN17" i="400"/>
  <c r="AN9" i="400" a="1"/>
  <c r="AN9" i="400"/>
  <c r="AN33" i="400" a="1"/>
  <c r="AN33" i="400"/>
  <c r="AM6" i="400"/>
  <c r="AM17" i="400"/>
  <c r="AL17" i="400" s="1"/>
  <c r="AH17" i="400" s="1"/>
  <c r="AM31" i="400"/>
  <c r="BE2" i="400"/>
  <c r="BG2" i="400" s="1" a="1"/>
  <c r="BG2" i="400" s="1"/>
  <c r="AM15" i="400"/>
  <c r="AL15" i="400"/>
  <c r="AH15" i="400"/>
  <c r="AN39" i="400" a="1"/>
  <c r="AN39" i="400"/>
  <c r="AN43" i="400" s="1"/>
  <c r="AM16" i="400"/>
  <c r="AL16" i="400"/>
  <c r="AH16" i="400"/>
  <c r="AM38" i="400"/>
  <c r="AL38" i="400"/>
  <c r="AH38" i="400"/>
  <c r="AN10" i="400" a="1"/>
  <c r="AN10" i="400"/>
  <c r="AN7" i="400" a="1"/>
  <c r="AN7" i="400"/>
  <c r="AN15" i="400" a="1"/>
  <c r="AN15" i="400"/>
  <c r="AM40" i="400"/>
  <c r="AL40" i="400"/>
  <c r="AH40" i="400"/>
  <c r="AN12" i="400" a="1"/>
  <c r="AN12" i="400"/>
  <c r="AN40" i="400" a="1"/>
  <c r="AN40" i="400"/>
  <c r="AN13" i="400" a="1"/>
  <c r="AN13" i="400"/>
  <c r="AM13" i="400"/>
  <c r="AL13" i="400"/>
  <c r="AH13" i="400"/>
  <c r="AM37" i="400"/>
  <c r="AL37" i="400"/>
  <c r="AH37" i="400"/>
  <c r="AM12" i="400"/>
  <c r="AL12" i="400"/>
  <c r="AH12" i="400"/>
  <c r="AN16" i="400" a="1"/>
  <c r="AN16" i="400"/>
  <c r="AM8" i="400"/>
  <c r="AL8" i="400"/>
  <c r="AH8" i="400"/>
  <c r="AN14" i="400" a="1"/>
  <c r="AN14" i="400"/>
  <c r="AN35" i="400" a="1"/>
  <c r="AN35" i="400"/>
  <c r="AN11" i="400" a="1"/>
  <c r="AN11" i="400"/>
  <c r="AN38" i="400" a="1"/>
  <c r="AN38" i="400"/>
  <c r="AN34" i="400" a="1"/>
  <c r="AN34" i="400"/>
  <c r="AM10" i="400"/>
  <c r="N1" i="400"/>
  <c r="AN6" i="400" a="1"/>
  <c r="AN6" i="400"/>
  <c r="AM36" i="400"/>
  <c r="AL36" i="400" s="1"/>
  <c r="AH36" i="400" s="1"/>
  <c r="AM33" i="400"/>
  <c r="AL33" i="400"/>
  <c r="AH33" i="400"/>
  <c r="AM32" i="400"/>
  <c r="AL32" i="400"/>
  <c r="AH32" i="400"/>
  <c r="AN36" i="400" a="1"/>
  <c r="AN36" i="400"/>
  <c r="AN32" i="400" a="1"/>
  <c r="AN32" i="400"/>
  <c r="AN31" i="400" a="1"/>
  <c r="AN31" i="400"/>
  <c r="AM39" i="400"/>
  <c r="AL39" i="400"/>
  <c r="AH39" i="400" s="1"/>
  <c r="P1" i="400"/>
  <c r="AF4" i="379"/>
  <c r="T26" i="379"/>
  <c r="S21" i="379"/>
  <c r="S22" i="379"/>
  <c r="AF13" i="345"/>
  <c r="AM7" i="345" a="1"/>
  <c r="AM7" i="345"/>
  <c r="AM6" i="345" a="1"/>
  <c r="AM6" i="345"/>
  <c r="AL11" i="345"/>
  <c r="AK11" i="345"/>
  <c r="AG11" i="345"/>
  <c r="R20" i="345"/>
  <c r="T23" i="345"/>
  <c r="AL5" i="345"/>
  <c r="AK5" i="345"/>
  <c r="AG5" i="345"/>
  <c r="AL8" i="345"/>
  <c r="AK8" i="345"/>
  <c r="AG8" i="345"/>
  <c r="AM5" i="345" a="1"/>
  <c r="AM5" i="345"/>
  <c r="AL10" i="345"/>
  <c r="AK10" i="345"/>
  <c r="AG10" i="345"/>
  <c r="AM12" i="345" a="1"/>
  <c r="AM12" i="345"/>
  <c r="AM10" i="345" a="1"/>
  <c r="AM10" i="345"/>
  <c r="AM8" i="345" a="1"/>
  <c r="AM8" i="345"/>
  <c r="AM11" i="345" a="1"/>
  <c r="AM11" i="345"/>
  <c r="AL9" i="345"/>
  <c r="AK9" i="345"/>
  <c r="AG9" i="345"/>
  <c r="AL7" i="345"/>
  <c r="AK7" i="345"/>
  <c r="AG7" i="345"/>
  <c r="AL12" i="345"/>
  <c r="AK12" i="345"/>
  <c r="AG12" i="345"/>
  <c r="AL6" i="345"/>
  <c r="AK6" i="345"/>
  <c r="AG6" i="345"/>
  <c r="O20" i="345"/>
  <c r="AM9" i="345" a="1"/>
  <c r="AM9" i="345"/>
  <c r="AF13" i="336"/>
  <c r="AG13" i="336"/>
  <c r="AM9" i="336" a="1"/>
  <c r="AM9" i="336"/>
  <c r="AL11" i="336"/>
  <c r="AK11" i="336"/>
  <c r="AM5" i="336" a="1"/>
  <c r="AM5" i="336"/>
  <c r="AM10" i="336" a="1"/>
  <c r="AM10" i="336"/>
  <c r="AL6" i="336"/>
  <c r="AK6" i="336"/>
  <c r="AM11" i="336" a="1"/>
  <c r="AM11" i="336"/>
  <c r="AL9" i="336"/>
  <c r="AK9" i="336"/>
  <c r="AM7" i="336" a="1"/>
  <c r="AM7" i="336"/>
  <c r="AL8" i="336"/>
  <c r="AK8" i="336"/>
  <c r="AM6" i="336" a="1"/>
  <c r="AM6" i="336"/>
  <c r="AM8" i="336" a="1"/>
  <c r="AM8" i="336"/>
  <c r="AM12" i="336" a="1"/>
  <c r="AM12" i="336"/>
  <c r="AL10" i="336"/>
  <c r="AK10" i="336"/>
  <c r="AL7" i="336"/>
  <c r="AK7" i="336"/>
  <c r="R20" i="336"/>
  <c r="T23" i="336"/>
  <c r="AL12" i="336"/>
  <c r="AK12" i="336"/>
  <c r="AL5" i="336"/>
  <c r="AK5" i="336"/>
  <c r="O20" i="336"/>
  <c r="AL43" i="397"/>
  <c r="AH31" i="397"/>
  <c r="BF2" i="395"/>
  <c r="AH31" i="399"/>
  <c r="AL43" i="399"/>
  <c r="T20" i="334"/>
  <c r="W20" i="334"/>
  <c r="S19" i="334"/>
  <c r="AL16" i="376"/>
  <c r="AG5" i="385"/>
  <c r="BC4" i="385"/>
  <c r="BB4" i="385"/>
  <c r="AL18" i="399"/>
  <c r="AH6" i="399"/>
  <c r="AN18" i="398"/>
  <c r="AF13" i="348"/>
  <c r="AM8" i="348" a="1"/>
  <c r="AM8" i="348"/>
  <c r="AM6" i="348" a="1"/>
  <c r="AM6" i="348"/>
  <c r="AL6" i="348"/>
  <c r="AK6" i="348"/>
  <c r="AG6" i="348"/>
  <c r="AM7" i="348" a="1"/>
  <c r="AM7" i="348"/>
  <c r="AM10" i="348" a="1"/>
  <c r="AM10" i="348"/>
  <c r="R20" i="348"/>
  <c r="T23" i="348"/>
  <c r="AL9" i="348"/>
  <c r="AK9" i="348"/>
  <c r="AG9" i="348"/>
  <c r="AM5" i="348" a="1"/>
  <c r="AM5" i="348"/>
  <c r="AM9" i="348" a="1"/>
  <c r="AM9" i="348"/>
  <c r="AL12" i="348"/>
  <c r="AK12" i="348"/>
  <c r="AG12" i="348"/>
  <c r="O20" i="348"/>
  <c r="T20" i="348"/>
  <c r="W20" i="348"/>
  <c r="S19" i="348"/>
  <c r="AL7" i="348"/>
  <c r="AK7" i="348"/>
  <c r="AG7" i="348"/>
  <c r="AL8" i="348"/>
  <c r="AK8" i="348"/>
  <c r="AG8" i="348"/>
  <c r="AL11" i="348"/>
  <c r="AK11" i="348"/>
  <c r="AG11" i="348"/>
  <c r="AM11" i="348" a="1"/>
  <c r="AM11" i="348"/>
  <c r="AM12" i="348" a="1"/>
  <c r="AM12" i="348"/>
  <c r="AL5" i="348"/>
  <c r="AK5" i="348"/>
  <c r="AG5" i="348"/>
  <c r="AL10" i="348"/>
  <c r="AK10" i="348"/>
  <c r="AG10" i="348"/>
  <c r="AM18" i="398"/>
  <c r="AL6" i="398"/>
  <c r="AL43" i="394"/>
  <c r="AH31" i="394"/>
  <c r="AG10" i="336"/>
  <c r="AN10" i="336"/>
  <c r="AH18" i="395"/>
  <c r="AI18" i="395"/>
  <c r="AM43" i="392"/>
  <c r="AL31" i="392"/>
  <c r="AL6" i="395"/>
  <c r="AM18" i="395"/>
  <c r="AG18" i="385"/>
  <c r="AM38" i="385"/>
  <c r="AL38" i="385"/>
  <c r="AH38" i="385"/>
  <c r="AN10" i="385" a="1"/>
  <c r="AN10" i="385"/>
  <c r="AM13" i="385"/>
  <c r="AL13" i="385"/>
  <c r="AH13" i="385"/>
  <c r="AN34" i="385" a="1"/>
  <c r="AN34" i="385"/>
  <c r="AM8" i="385"/>
  <c r="AL8" i="385"/>
  <c r="AH8" i="385"/>
  <c r="AN9" i="385" a="1"/>
  <c r="AN9" i="385"/>
  <c r="AM6" i="385"/>
  <c r="AN16" i="385" a="1"/>
  <c r="AN16" i="385"/>
  <c r="AM33" i="385"/>
  <c r="AL33" i="385"/>
  <c r="AH33" i="385"/>
  <c r="AM16" i="385"/>
  <c r="AL16" i="385"/>
  <c r="AH16" i="385"/>
  <c r="AN7" i="385" a="1"/>
  <c r="AN7" i="385"/>
  <c r="AN8" i="385" a="1"/>
  <c r="AN8" i="385"/>
  <c r="AN11" i="385" a="1"/>
  <c r="AN11" i="385"/>
  <c r="AN31" i="385" a="1"/>
  <c r="AN31" i="385"/>
  <c r="AM12" i="385"/>
  <c r="AL12" i="385"/>
  <c r="AH12" i="385"/>
  <c r="AM31" i="385"/>
  <c r="AM40" i="385"/>
  <c r="AL40" i="385"/>
  <c r="AH40" i="385"/>
  <c r="AM37" i="385"/>
  <c r="AL37" i="385"/>
  <c r="AH37" i="385"/>
  <c r="AM39" i="385"/>
  <c r="AL39" i="385"/>
  <c r="AH39" i="385"/>
  <c r="AN40" i="385" a="1"/>
  <c r="AN40" i="385"/>
  <c r="AN35" i="385" a="1"/>
  <c r="AN35" i="385"/>
  <c r="AN43" i="385" s="1"/>
  <c r="AM9" i="385"/>
  <c r="AL9" i="385"/>
  <c r="AH9" i="385"/>
  <c r="AN39" i="385" a="1"/>
  <c r="AN39" i="385"/>
  <c r="AM32" i="385"/>
  <c r="AL32" i="385"/>
  <c r="AH32" i="385"/>
  <c r="AN36" i="385" a="1"/>
  <c r="AN36" i="385"/>
  <c r="AN32" i="385" a="1"/>
  <c r="AN32" i="385"/>
  <c r="AN6" i="385" a="1"/>
  <c r="AN6" i="385"/>
  <c r="AN15" i="385" a="1"/>
  <c r="AN15" i="385"/>
  <c r="AN33" i="385" a="1"/>
  <c r="AN33" i="385"/>
  <c r="AM7" i="385"/>
  <c r="AL7" i="385"/>
  <c r="AH7" i="385"/>
  <c r="AN37" i="385" a="1"/>
  <c r="AN37" i="385"/>
  <c r="AN12" i="385" a="1"/>
  <c r="AN12" i="385"/>
  <c r="AM11" i="385"/>
  <c r="AL11" i="385" s="1"/>
  <c r="AH11" i="385" s="1"/>
  <c r="AN38" i="385" a="1"/>
  <c r="AN38" i="385"/>
  <c r="AM34" i="385"/>
  <c r="AL34" i="385"/>
  <c r="AH34" i="385"/>
  <c r="AM21" i="385"/>
  <c r="AL21" i="385"/>
  <c r="AH21" i="385"/>
  <c r="AM15" i="385"/>
  <c r="AL15" i="385"/>
  <c r="AH15" i="385"/>
  <c r="AM10" i="385"/>
  <c r="AM35" i="385"/>
  <c r="AL35" i="385" s="1"/>
  <c r="BE2" i="385"/>
  <c r="BG2" i="385" s="1" a="1"/>
  <c r="BG2" i="385" s="1"/>
  <c r="BG4" i="385" s="1"/>
  <c r="AN21" i="385" a="1"/>
  <c r="AN21" i="385"/>
  <c r="AM36" i="385"/>
  <c r="AL36" i="385" s="1"/>
  <c r="AH36" i="385" s="1"/>
  <c r="AN13" i="385" a="1"/>
  <c r="AN13" i="385"/>
  <c r="AN8" i="336"/>
  <c r="AG8" i="336"/>
  <c r="AF12" i="379"/>
  <c r="AL9" i="379"/>
  <c r="AK9" i="379"/>
  <c r="AG9" i="379"/>
  <c r="AM6" i="379" a="1"/>
  <c r="AM6" i="379"/>
  <c r="AM10" i="379" a="1"/>
  <c r="AM10" i="379"/>
  <c r="AL5" i="379"/>
  <c r="AK5" i="379"/>
  <c r="AG5" i="379"/>
  <c r="AM16" i="379" a="1"/>
  <c r="AM16" i="379"/>
  <c r="AL7" i="379"/>
  <c r="AK7" i="379"/>
  <c r="AG7" i="379"/>
  <c r="AM5" i="379" a="1"/>
  <c r="AM5" i="379"/>
  <c r="O24" i="379"/>
  <c r="T24" i="379"/>
  <c r="W24" i="379"/>
  <c r="S23" i="379"/>
  <c r="AL18" i="379"/>
  <c r="AK18" i="379"/>
  <c r="AG18" i="379"/>
  <c r="AM18" i="379" a="1"/>
  <c r="AM18" i="379"/>
  <c r="R24" i="379"/>
  <c r="T27" i="379"/>
  <c r="AM9" i="379" a="1"/>
  <c r="AM9" i="379"/>
  <c r="AL8" i="379"/>
  <c r="AK8" i="379"/>
  <c r="AG8" i="379"/>
  <c r="AM8" i="379" a="1"/>
  <c r="AM8" i="379"/>
  <c r="AL6" i="379"/>
  <c r="AK6" i="379"/>
  <c r="AG6" i="379"/>
  <c r="AL15" i="379"/>
  <c r="AK15" i="379"/>
  <c r="AG15" i="379"/>
  <c r="AL10" i="379"/>
  <c r="AK10" i="379"/>
  <c r="AG10" i="379"/>
  <c r="AL16" i="379"/>
  <c r="AK16" i="379"/>
  <c r="AG16" i="379"/>
  <c r="AM17" i="379" a="1"/>
  <c r="AM17" i="379"/>
  <c r="AM15" i="379" a="1"/>
  <c r="AM15" i="379"/>
  <c r="AL17" i="379"/>
  <c r="AK17" i="379"/>
  <c r="AG17" i="379"/>
  <c r="AM7" i="379" a="1"/>
  <c r="AM7" i="379"/>
  <c r="AG6" i="336"/>
  <c r="AN6" i="336"/>
  <c r="AL6" i="400"/>
  <c r="AN9" i="336"/>
  <c r="AG9" i="336"/>
  <c r="AL31" i="400"/>
  <c r="AF4" i="335"/>
  <c r="S17" i="335"/>
  <c r="T22" i="335" a="1"/>
  <c r="T22" i="335"/>
  <c r="S18" i="335"/>
  <c r="AF4" i="340"/>
  <c r="S18" i="340"/>
  <c r="S17" i="340"/>
  <c r="T22" i="340" a="1"/>
  <c r="T22" i="340"/>
  <c r="AN18" i="395"/>
  <c r="AN43" i="395"/>
  <c r="AF4" i="341"/>
  <c r="T22" i="341" a="1"/>
  <c r="T22" i="341"/>
  <c r="S18" i="341"/>
  <c r="S17" i="341"/>
  <c r="T20" i="336"/>
  <c r="W20" i="336"/>
  <c r="S19" i="336"/>
  <c r="AN11" i="336"/>
  <c r="AG11" i="336"/>
  <c r="AM18" i="392"/>
  <c r="AL6" i="392"/>
  <c r="AH6" i="398"/>
  <c r="AL18" i="398"/>
  <c r="AM43" i="395"/>
  <c r="AL31" i="395"/>
  <c r="AG4" i="332"/>
  <c r="T20" i="332"/>
  <c r="T19" i="332"/>
  <c r="AG5" i="336"/>
  <c r="AN5" i="336"/>
  <c r="AN12" i="336"/>
  <c r="AG12" i="336"/>
  <c r="AN43" i="392"/>
  <c r="AL43" i="398"/>
  <c r="AH31" i="398"/>
  <c r="AN7" i="336"/>
  <c r="AG7" i="336"/>
  <c r="T20" i="345"/>
  <c r="W20" i="345"/>
  <c r="S19" i="345"/>
  <c r="AN18" i="392"/>
  <c r="AL6" i="385"/>
  <c r="P22" i="332"/>
  <c r="S22" i="332"/>
  <c r="U25" i="332"/>
  <c r="AL31" i="385"/>
  <c r="AH31" i="395"/>
  <c r="AL43" i="395"/>
  <c r="AL18" i="395"/>
  <c r="AH6" i="395"/>
  <c r="AH31" i="392"/>
  <c r="AL43" i="392"/>
  <c r="AL18" i="392"/>
  <c r="AH6" i="392"/>
  <c r="AL10" i="335"/>
  <c r="AK10" i="335"/>
  <c r="AG10" i="335"/>
  <c r="AL8" i="335"/>
  <c r="AK8" i="335"/>
  <c r="AG8" i="335"/>
  <c r="AL7" i="335"/>
  <c r="AK7" i="335"/>
  <c r="AG7" i="335"/>
  <c r="AL12" i="335"/>
  <c r="AK12" i="335"/>
  <c r="AG12" i="335"/>
  <c r="AL11" i="335"/>
  <c r="AK11" i="335"/>
  <c r="AG11" i="335"/>
  <c r="AL6" i="335"/>
  <c r="AK6" i="335"/>
  <c r="AG6" i="335"/>
  <c r="AL5" i="335"/>
  <c r="AK5" i="335"/>
  <c r="AG5" i="335"/>
  <c r="O20" i="335"/>
  <c r="R20" i="335"/>
  <c r="T23" i="335"/>
  <c r="AL9" i="335"/>
  <c r="AK9" i="335"/>
  <c r="AG9" i="335"/>
  <c r="AH31" i="400"/>
  <c r="AF13" i="340"/>
  <c r="AG13" i="340"/>
  <c r="AM11" i="340" a="1"/>
  <c r="AM11" i="340"/>
  <c r="O20" i="340"/>
  <c r="AM6" i="340" a="1"/>
  <c r="AM6" i="340"/>
  <c r="AL5" i="340"/>
  <c r="AK5" i="340"/>
  <c r="AG5" i="340"/>
  <c r="AL6" i="340"/>
  <c r="AK6" i="340"/>
  <c r="AG6" i="340"/>
  <c r="AL11" i="340"/>
  <c r="AK11" i="340"/>
  <c r="AG11" i="340"/>
  <c r="AL9" i="340"/>
  <c r="AK9" i="340"/>
  <c r="AG9" i="340"/>
  <c r="AL10" i="340"/>
  <c r="AK10" i="340"/>
  <c r="AG10" i="340"/>
  <c r="AM9" i="340" a="1"/>
  <c r="AM9" i="340"/>
  <c r="AL7" i="340"/>
  <c r="AK7" i="340"/>
  <c r="AG7" i="340"/>
  <c r="AM10" i="340" a="1"/>
  <c r="AM10" i="340"/>
  <c r="AM8" i="340" a="1"/>
  <c r="AM8" i="340"/>
  <c r="AL8" i="340"/>
  <c r="AK8" i="340"/>
  <c r="AG8" i="340"/>
  <c r="AM12" i="340" a="1"/>
  <c r="AM12" i="340"/>
  <c r="AM7" i="340" a="1"/>
  <c r="AM7" i="340"/>
  <c r="AM5" i="340" a="1"/>
  <c r="AM5" i="340"/>
  <c r="R20" i="340"/>
  <c r="T23" i="340"/>
  <c r="AL12" i="340"/>
  <c r="AK12" i="340"/>
  <c r="AG12" i="340"/>
  <c r="AF13" i="341"/>
  <c r="AG13" i="341"/>
  <c r="AM7" i="341" a="1"/>
  <c r="AM7" i="341"/>
  <c r="AL12" i="341"/>
  <c r="AK12" i="341"/>
  <c r="AG12" i="341"/>
  <c r="AM8" i="341" a="1"/>
  <c r="AM8" i="341"/>
  <c r="AM12" i="341" a="1"/>
  <c r="AM12" i="341"/>
  <c r="AL6" i="341"/>
  <c r="AK6" i="341"/>
  <c r="AG6" i="341"/>
  <c r="AL8" i="341"/>
  <c r="AK8" i="341"/>
  <c r="AG8" i="341"/>
  <c r="R20" i="341"/>
  <c r="T23" i="341"/>
  <c r="AL7" i="341"/>
  <c r="AK7" i="341"/>
  <c r="AG7" i="341"/>
  <c r="AM6" i="341" a="1"/>
  <c r="AM6" i="341"/>
  <c r="AM11" i="341" a="1"/>
  <c r="AM11" i="341"/>
  <c r="AL9" i="341"/>
  <c r="AK9" i="341"/>
  <c r="AG9" i="341"/>
  <c r="AL10" i="341"/>
  <c r="AK10" i="341"/>
  <c r="AG10" i="341"/>
  <c r="O20" i="341"/>
  <c r="AL11" i="341"/>
  <c r="AK11" i="341"/>
  <c r="AG11" i="341"/>
  <c r="AL5" i="341"/>
  <c r="AK5" i="341"/>
  <c r="AG5" i="341"/>
  <c r="AM10" i="341" a="1"/>
  <c r="AM10" i="341"/>
  <c r="AM9" i="341" a="1"/>
  <c r="AM9" i="341"/>
  <c r="AM5" i="341" a="1"/>
  <c r="AM5" i="341"/>
  <c r="AH6" i="400"/>
  <c r="T20" i="340"/>
  <c r="W20" i="340"/>
  <c r="S19" i="340"/>
  <c r="T20" i="341"/>
  <c r="W20" i="341"/>
  <c r="S19" i="341"/>
  <c r="T20" i="335"/>
  <c r="W20" i="335"/>
  <c r="S19" i="335"/>
  <c r="AH31" i="385"/>
  <c r="U22" i="332"/>
  <c r="X22" i="332"/>
  <c r="T21" i="332"/>
  <c r="AH6" i="385"/>
  <c r="AM43" i="385" l="1"/>
  <c r="AH35" i="385"/>
  <c r="AL43" i="385"/>
  <c r="AJ18" i="385"/>
  <c r="AK18" i="385"/>
  <c r="AM18" i="385"/>
  <c r="AN18" i="385"/>
  <c r="AL10" i="385"/>
  <c r="AH40" i="396"/>
  <c r="AS18" i="396"/>
  <c r="AR18" i="396"/>
  <c r="AK18" i="396"/>
  <c r="AN18" i="396"/>
  <c r="AI43" i="396"/>
  <c r="AJ43" i="396"/>
  <c r="AK43" i="396"/>
  <c r="AN43" i="396"/>
  <c r="AH35" i="396"/>
  <c r="AL43" i="396"/>
  <c r="AM43" i="396"/>
  <c r="AH20" i="396"/>
  <c r="AI18" i="396"/>
  <c r="AI21" i="396"/>
  <c r="BH3" i="396"/>
  <c r="AH11" i="396"/>
  <c r="AL18" i="396"/>
  <c r="AH10" i="396"/>
  <c r="AM18" i="396"/>
  <c r="BG2" i="396" a="1"/>
  <c r="BG2" i="396" s="1"/>
  <c r="BG4" i="396" s="1"/>
  <c r="L1" i="396" s="1"/>
  <c r="BG4" i="399"/>
  <c r="L1" i="399" s="1"/>
  <c r="BG4" i="398"/>
  <c r="L1" i="398" s="1"/>
  <c r="BG4" i="397"/>
  <c r="L1" i="397" s="1"/>
  <c r="AU18" i="397"/>
  <c r="AT18" i="397"/>
  <c r="AS18" i="397"/>
  <c r="BG4" i="400"/>
  <c r="L1" i="400" s="1"/>
  <c r="AK43" i="400"/>
  <c r="AL35" i="400"/>
  <c r="AL43" i="400" s="1"/>
  <c r="AH20" i="400"/>
  <c r="AM18" i="400"/>
  <c r="AN18" i="400"/>
  <c r="AI18" i="400"/>
  <c r="AL10" i="400"/>
  <c r="AL18" i="385" l="1"/>
  <c r="AH10" i="385"/>
  <c r="AH35" i="400"/>
  <c r="AH10" i="400"/>
  <c r="AL18" i="40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<sst xmlns="http://schemas.openxmlformats.org/spreadsheetml/2006/main" count="8860" uniqueCount="493">
  <si>
    <t>外科</t>
    <phoneticPr fontId="3" type="noConversion"/>
  </si>
  <si>
    <t>日期</t>
    <phoneticPr fontId="7" type="noConversion"/>
  </si>
  <si>
    <t>OFF</t>
  </si>
  <si>
    <t>D</t>
    <phoneticPr fontId="11" type="noConversion"/>
  </si>
  <si>
    <t>OFF</t>
    <phoneticPr fontId="11" type="noConversion"/>
  </si>
  <si>
    <t>N</t>
    <phoneticPr fontId="11" type="noConversion"/>
  </si>
  <si>
    <t>N</t>
  </si>
  <si>
    <t>D</t>
  </si>
  <si>
    <t>w6</t>
    <phoneticPr fontId="11" type="noConversion"/>
  </si>
  <si>
    <t>A黃韻如</t>
  </si>
  <si>
    <t>off</t>
    <phoneticPr fontId="11" type="noConversion"/>
  </si>
  <si>
    <t>H</t>
    <phoneticPr fontId="11" type="noConversion"/>
  </si>
  <si>
    <t>E詹雅慈</t>
    <phoneticPr fontId="11" type="noConversion"/>
  </si>
  <si>
    <t>E詹雅慈</t>
  </si>
  <si>
    <t>D王子建</t>
  </si>
  <si>
    <t>F丁韋綸</t>
  </si>
  <si>
    <t>B黃郁芳</t>
  </si>
  <si>
    <t>C詹絲庭</t>
  </si>
  <si>
    <t>A黃韻如</t>
    <phoneticPr fontId="11" type="noConversion"/>
  </si>
  <si>
    <t>Cover</t>
    <phoneticPr fontId="3" type="noConversion"/>
  </si>
  <si>
    <t>A</t>
    <phoneticPr fontId="11" type="noConversion"/>
  </si>
  <si>
    <t>B</t>
    <phoneticPr fontId="11" type="noConversion"/>
  </si>
  <si>
    <t>C</t>
    <phoneticPr fontId="11" type="noConversion"/>
  </si>
  <si>
    <t>E</t>
    <phoneticPr fontId="11" type="noConversion"/>
  </si>
  <si>
    <t>F</t>
    <phoneticPr fontId="11" type="noConversion"/>
  </si>
  <si>
    <t>G</t>
    <phoneticPr fontId="11" type="noConversion"/>
  </si>
  <si>
    <t>G陳盈潔</t>
  </si>
  <si>
    <t>H張心柔</t>
  </si>
  <si>
    <t>9A</t>
  </si>
  <si>
    <t>Uro+ortho</t>
  </si>
  <si>
    <t>Cover</t>
  </si>
  <si>
    <t>Plasty</t>
  </si>
  <si>
    <t>總數=</t>
  </si>
  <si>
    <t>月</t>
    <phoneticPr fontId="11" type="noConversion"/>
  </si>
  <si>
    <t>日期</t>
    <phoneticPr fontId="7" type="noConversion"/>
  </si>
  <si>
    <t>總時</t>
    <phoneticPr fontId="11" type="noConversion"/>
  </si>
  <si>
    <t>D</t>
    <phoneticPr fontId="11" type="noConversion"/>
  </si>
  <si>
    <t>N</t>
    <phoneticPr fontId="11" type="noConversion"/>
  </si>
  <si>
    <t>OFF</t>
    <phoneticPr fontId="11" type="noConversion"/>
  </si>
  <si>
    <t>S1</t>
    <phoneticPr fontId="11" type="noConversion"/>
  </si>
  <si>
    <t>H3</t>
    <phoneticPr fontId="11" type="noConversion"/>
  </si>
  <si>
    <t>姓名</t>
    <phoneticPr fontId="7" type="noConversion"/>
  </si>
  <si>
    <t>當月/除本月累計(天)</t>
    <phoneticPr fontId="11" type="noConversion"/>
  </si>
  <si>
    <t>D</t>
    <phoneticPr fontId="25" type="noConversion"/>
  </si>
  <si>
    <t>OFF</t>
    <phoneticPr fontId="25" type="noConversion"/>
  </si>
  <si>
    <t>B黃郁芳</t>
    <phoneticPr fontId="11" type="noConversion"/>
  </si>
  <si>
    <t>D王子建</t>
    <phoneticPr fontId="11" type="noConversion"/>
  </si>
  <si>
    <t>N</t>
    <phoneticPr fontId="25" type="noConversion"/>
  </si>
  <si>
    <t>E詹雅慈</t>
    <phoneticPr fontId="11" type="noConversion"/>
  </si>
  <si>
    <t>F丁韋綸</t>
    <phoneticPr fontId="11" type="noConversion"/>
  </si>
  <si>
    <t>G陳盈潔</t>
    <phoneticPr fontId="11" type="noConversion"/>
  </si>
  <si>
    <t>H張心柔</t>
    <phoneticPr fontId="11" type="noConversion"/>
  </si>
  <si>
    <t>當月人力(天/人)共</t>
    <phoneticPr fontId="11" type="noConversion"/>
  </si>
  <si>
    <t>人</t>
    <phoneticPr fontId="11" type="noConversion"/>
  </si>
  <si>
    <t>*值班量總和=每月天數/值班人數  (值班量總和包含表訂之六日DN及國定DN)</t>
    <phoneticPr fontId="11" type="noConversion"/>
  </si>
  <si>
    <t>8-4</t>
    <phoneticPr fontId="11" type="noConversion"/>
  </si>
  <si>
    <t>A080</t>
    <phoneticPr fontId="11" type="noConversion"/>
  </si>
  <si>
    <t>X黃韻如</t>
    <phoneticPr fontId="11" type="noConversion"/>
  </si>
  <si>
    <t>Uro+ortho</t>
    <phoneticPr fontId="11" type="noConversion"/>
  </si>
  <si>
    <t>白斑</t>
    <phoneticPr fontId="11" type="noConversion"/>
  </si>
  <si>
    <t>本月值班(D)天數(天/人)=</t>
    <phoneticPr fontId="11" type="noConversion"/>
  </si>
  <si>
    <t>W六</t>
    <phoneticPr fontId="11" type="noConversion"/>
  </si>
  <si>
    <t>G080</t>
    <phoneticPr fontId="11" type="noConversion"/>
  </si>
  <si>
    <t>X黃郁芳</t>
    <phoneticPr fontId="11" type="noConversion"/>
  </si>
  <si>
    <t>Plasty</t>
    <phoneticPr fontId="11" type="noConversion"/>
  </si>
  <si>
    <t>值班</t>
    <phoneticPr fontId="11" type="noConversion"/>
  </si>
  <si>
    <t>本月值班(N)天數(天/人)=</t>
    <phoneticPr fontId="11" type="noConversion"/>
  </si>
  <si>
    <t>平D</t>
    <phoneticPr fontId="11" type="noConversion"/>
  </si>
  <si>
    <t>X詹絲庭</t>
    <phoneticPr fontId="11" type="noConversion"/>
  </si>
  <si>
    <t>Ortho</t>
    <phoneticPr fontId="11" type="noConversion"/>
  </si>
  <si>
    <t>本月休假天數(天/人)=</t>
    <phoneticPr fontId="11" type="noConversion"/>
  </si>
  <si>
    <t>平N</t>
    <phoneticPr fontId="11" type="noConversion"/>
  </si>
  <si>
    <t>L023</t>
    <phoneticPr fontId="11" type="noConversion"/>
  </si>
  <si>
    <t>X王子建</t>
    <phoneticPr fontId="11" type="noConversion"/>
  </si>
  <si>
    <t>Cover</t>
    <phoneticPr fontId="11" type="noConversion"/>
  </si>
  <si>
    <t>假日：</t>
    <phoneticPr fontId="11" type="noConversion"/>
  </si>
  <si>
    <t>日</t>
    <phoneticPr fontId="11" type="noConversion"/>
  </si>
  <si>
    <t>+</t>
    <phoneticPr fontId="11" type="noConversion"/>
  </si>
  <si>
    <t>六</t>
    <phoneticPr fontId="11" type="noConversion"/>
  </si>
  <si>
    <t>=</t>
    <phoneticPr fontId="11" type="noConversion"/>
  </si>
  <si>
    <t>勿D</t>
    <phoneticPr fontId="11" type="noConversion"/>
  </si>
  <si>
    <t>X詹雅慈</t>
    <phoneticPr fontId="11" type="noConversion"/>
  </si>
  <si>
    <t>國定假日=</t>
    <phoneticPr fontId="11" type="noConversion"/>
  </si>
  <si>
    <t>W六D</t>
    <phoneticPr fontId="11" type="noConversion"/>
  </si>
  <si>
    <t>L021</t>
    <phoneticPr fontId="11" type="noConversion"/>
  </si>
  <si>
    <t>勿N</t>
    <phoneticPr fontId="11" type="noConversion"/>
  </si>
  <si>
    <t>X丁韋綸</t>
    <phoneticPr fontId="11" type="noConversion"/>
  </si>
  <si>
    <t>Cover</t>
    <phoneticPr fontId="3" type="noConversion"/>
  </si>
  <si>
    <t>平日=</t>
    <phoneticPr fontId="11" type="noConversion"/>
  </si>
  <si>
    <t>W日D</t>
    <phoneticPr fontId="11" type="noConversion"/>
  </si>
  <si>
    <t>L022</t>
    <phoneticPr fontId="11" type="noConversion"/>
  </si>
  <si>
    <t>OFF/N</t>
    <phoneticPr fontId="25" type="noConversion"/>
  </si>
  <si>
    <t>X陳盈潔</t>
    <phoneticPr fontId="11" type="noConversion"/>
  </si>
  <si>
    <t>W6 OFF</t>
    <phoneticPr fontId="11" type="noConversion"/>
  </si>
  <si>
    <t>假N</t>
    <phoneticPr fontId="11" type="noConversion"/>
  </si>
  <si>
    <t>L024</t>
    <phoneticPr fontId="11" type="noConversion"/>
  </si>
  <si>
    <t>OFF/D</t>
    <phoneticPr fontId="25" type="noConversion"/>
  </si>
  <si>
    <t>H張心柔</t>
    <phoneticPr fontId="11" type="noConversion"/>
  </si>
  <si>
    <t>X張心柔</t>
    <phoneticPr fontId="11" type="noConversion"/>
  </si>
  <si>
    <t>勿D/N</t>
    <phoneticPr fontId="25" type="noConversion"/>
  </si>
  <si>
    <t>勿N/D</t>
    <phoneticPr fontId="25" type="noConversion"/>
  </si>
  <si>
    <t>庭不值N，改換D</t>
    <phoneticPr fontId="25" type="noConversion"/>
  </si>
  <si>
    <t>上課</t>
    <phoneticPr fontId="11" type="noConversion"/>
  </si>
  <si>
    <t>9A</t>
    <phoneticPr fontId="25" type="noConversion"/>
  </si>
  <si>
    <t>OFF</t>
    <phoneticPr fontId="11" type="noConversion"/>
  </si>
  <si>
    <t>OFF</t>
    <phoneticPr fontId="11" type="noConversion"/>
  </si>
  <si>
    <t>端午</t>
    <phoneticPr fontId="11" type="noConversion"/>
  </si>
  <si>
    <t>9a</t>
    <phoneticPr fontId="11" type="noConversion"/>
  </si>
  <si>
    <t>1--15</t>
    <phoneticPr fontId="11" type="noConversion"/>
  </si>
  <si>
    <t>D</t>
    <phoneticPr fontId="11" type="noConversion"/>
  </si>
  <si>
    <t xml:space="preserve">off </t>
    <phoneticPr fontId="11" type="noConversion"/>
  </si>
  <si>
    <t xml:space="preserve">16-23 </t>
    <phoneticPr fontId="11" type="noConversion"/>
  </si>
  <si>
    <t>24-30</t>
    <phoneticPr fontId="11" type="noConversion"/>
  </si>
  <si>
    <t>NURSE</t>
    <phoneticPr fontId="11" type="noConversion"/>
  </si>
  <si>
    <t>2D1N</t>
    <phoneticPr fontId="11" type="noConversion"/>
  </si>
  <si>
    <t>3D</t>
    <phoneticPr fontId="11" type="noConversion"/>
  </si>
  <si>
    <t>2D</t>
    <phoneticPr fontId="11" type="noConversion"/>
  </si>
  <si>
    <t>3NOFF</t>
    <phoneticPr fontId="11" type="noConversion"/>
  </si>
  <si>
    <t>1D</t>
    <phoneticPr fontId="11" type="noConversion"/>
  </si>
  <si>
    <t>3OFF</t>
    <phoneticPr fontId="11" type="noConversion"/>
  </si>
  <si>
    <t>D30/8=3..6</t>
    <phoneticPr fontId="11" type="noConversion"/>
  </si>
  <si>
    <t>N30/8=3…6</t>
    <phoneticPr fontId="11" type="noConversion"/>
  </si>
  <si>
    <r>
      <t>O</t>
    </r>
    <r>
      <rPr>
        <b/>
        <sz val="16"/>
        <rFont val="標楷體"/>
        <family val="4"/>
      </rPr>
      <t>FF</t>
    </r>
    <phoneticPr fontId="11" type="noConversion"/>
  </si>
  <si>
    <t>off</t>
    <phoneticPr fontId="25" type="noConversion"/>
  </si>
  <si>
    <t>off</t>
    <phoneticPr fontId="11" type="noConversion"/>
  </si>
  <si>
    <t>OFF</t>
    <phoneticPr fontId="11" type="noConversion"/>
  </si>
  <si>
    <r>
      <t>O</t>
    </r>
    <r>
      <rPr>
        <b/>
        <sz val="16"/>
        <rFont val="標楷體"/>
        <family val="4"/>
      </rPr>
      <t>FF</t>
    </r>
    <phoneticPr fontId="11" type="noConversion"/>
  </si>
  <si>
    <t>D</t>
    <phoneticPr fontId="11" type="noConversion"/>
  </si>
  <si>
    <t>OFF</t>
    <phoneticPr fontId="11" type="noConversion"/>
  </si>
  <si>
    <t>B</t>
    <phoneticPr fontId="11" type="noConversion"/>
  </si>
  <si>
    <t>C</t>
    <phoneticPr fontId="11" type="noConversion"/>
  </si>
  <si>
    <t>E</t>
    <phoneticPr fontId="11" type="noConversion"/>
  </si>
  <si>
    <t>F</t>
    <phoneticPr fontId="11" type="noConversion"/>
  </si>
  <si>
    <t>G</t>
    <phoneticPr fontId="11" type="noConversion"/>
  </si>
  <si>
    <t>A</t>
    <phoneticPr fontId="11" type="noConversion"/>
  </si>
  <si>
    <t>H</t>
    <phoneticPr fontId="11" type="noConversion"/>
  </si>
  <si>
    <t>36/6=6</t>
    <phoneticPr fontId="11" type="noConversion"/>
  </si>
  <si>
    <t>21/6=3…3</t>
    <phoneticPr fontId="11" type="noConversion"/>
  </si>
  <si>
    <t>23/7=3..2</t>
    <phoneticPr fontId="11" type="noConversion"/>
  </si>
  <si>
    <t>10A</t>
  </si>
  <si>
    <t>11A</t>
  </si>
  <si>
    <t>12/8..4</t>
    <phoneticPr fontId="11" type="noConversion"/>
  </si>
  <si>
    <t>總時</t>
    <phoneticPr fontId="11" type="noConversion"/>
  </si>
  <si>
    <t>D</t>
    <phoneticPr fontId="11" type="noConversion"/>
  </si>
  <si>
    <t>N</t>
    <phoneticPr fontId="11" type="noConversion"/>
  </si>
  <si>
    <t>OFF</t>
    <phoneticPr fontId="11" type="noConversion"/>
  </si>
  <si>
    <t>S1</t>
    <phoneticPr fontId="11" type="noConversion"/>
  </si>
  <si>
    <t>H3</t>
    <phoneticPr fontId="11" type="noConversion"/>
  </si>
  <si>
    <t>姓名</t>
    <phoneticPr fontId="7" type="noConversion"/>
  </si>
  <si>
    <t>當月/除本月累計(天)</t>
    <phoneticPr fontId="11" type="noConversion"/>
  </si>
  <si>
    <t>D</t>
    <phoneticPr fontId="30" type="noConversion"/>
  </si>
  <si>
    <t>B黃郁芳</t>
    <phoneticPr fontId="11" type="noConversion"/>
  </si>
  <si>
    <t>D王子建</t>
    <phoneticPr fontId="11" type="noConversion"/>
  </si>
  <si>
    <t>N</t>
    <phoneticPr fontId="30" type="noConversion"/>
  </si>
  <si>
    <t>E詹雅慈</t>
    <phoneticPr fontId="11" type="noConversion"/>
  </si>
  <si>
    <t>F丁韋綸</t>
    <phoneticPr fontId="11" type="noConversion"/>
  </si>
  <si>
    <t>G陳盈潔</t>
    <phoneticPr fontId="11" type="noConversion"/>
  </si>
  <si>
    <t>H張心柔</t>
    <phoneticPr fontId="11" type="noConversion"/>
  </si>
  <si>
    <t>組別順序</t>
    <phoneticPr fontId="3" type="noConversion"/>
  </si>
  <si>
    <t>當月人力(天/人)共</t>
    <phoneticPr fontId="11" type="noConversion"/>
  </si>
  <si>
    <t>人</t>
    <phoneticPr fontId="11" type="noConversion"/>
  </si>
  <si>
    <t>*值班量總和=每月天數/值班人數  (值班量總和包含表訂之六日DN及國定DN)</t>
    <phoneticPr fontId="11" type="noConversion"/>
  </si>
  <si>
    <t>8-4</t>
    <phoneticPr fontId="11" type="noConversion"/>
  </si>
  <si>
    <t>A080</t>
    <phoneticPr fontId="11" type="noConversion"/>
  </si>
  <si>
    <t>X黃韻如</t>
    <phoneticPr fontId="11" type="noConversion"/>
  </si>
  <si>
    <t>Uro+ortho</t>
    <phoneticPr fontId="11" type="noConversion"/>
  </si>
  <si>
    <t>白斑</t>
    <phoneticPr fontId="11" type="noConversion"/>
  </si>
  <si>
    <t>本月值班(D)天數(天/人)=</t>
    <phoneticPr fontId="11" type="noConversion"/>
  </si>
  <si>
    <t>N</t>
    <phoneticPr fontId="30" type="noConversion"/>
  </si>
  <si>
    <t>實習</t>
    <phoneticPr fontId="30" type="noConversion"/>
  </si>
  <si>
    <t>D</t>
    <phoneticPr fontId="30" type="noConversion"/>
  </si>
  <si>
    <t>外傷</t>
    <phoneticPr fontId="30" type="noConversion"/>
  </si>
  <si>
    <t>課</t>
    <phoneticPr fontId="30" type="noConversion"/>
  </si>
  <si>
    <t>Uro</t>
    <phoneticPr fontId="3" type="noConversion"/>
  </si>
  <si>
    <t>W六</t>
    <phoneticPr fontId="11" type="noConversion"/>
  </si>
  <si>
    <t>G080</t>
    <phoneticPr fontId="11" type="noConversion"/>
  </si>
  <si>
    <t>D</t>
    <phoneticPr fontId="11" type="noConversion"/>
  </si>
  <si>
    <t>B黃郁芳</t>
    <phoneticPr fontId="11" type="noConversion"/>
  </si>
  <si>
    <t>X黃郁芳</t>
    <phoneticPr fontId="11" type="noConversion"/>
  </si>
  <si>
    <t>Plasty</t>
    <phoneticPr fontId="11" type="noConversion"/>
  </si>
  <si>
    <t>值班</t>
    <phoneticPr fontId="11" type="noConversion"/>
  </si>
  <si>
    <t>本月值班(N)天數(天/人)=</t>
    <phoneticPr fontId="11" type="noConversion"/>
  </si>
  <si>
    <t>平D</t>
    <phoneticPr fontId="11" type="noConversion"/>
  </si>
  <si>
    <t>A080</t>
    <phoneticPr fontId="11" type="noConversion"/>
  </si>
  <si>
    <t>N</t>
    <phoneticPr fontId="11" type="noConversion"/>
  </si>
  <si>
    <t>本月休假天數(天/人)=</t>
    <phoneticPr fontId="11" type="noConversion"/>
  </si>
  <si>
    <t>平N</t>
    <phoneticPr fontId="11" type="noConversion"/>
  </si>
  <si>
    <t>L023</t>
    <phoneticPr fontId="11" type="noConversion"/>
  </si>
  <si>
    <t>H3</t>
    <phoneticPr fontId="11" type="noConversion"/>
  </si>
  <si>
    <t>D王子建</t>
    <phoneticPr fontId="11" type="noConversion"/>
  </si>
  <si>
    <t>X王子建</t>
    <phoneticPr fontId="11" type="noConversion"/>
  </si>
  <si>
    <t>Cover</t>
    <phoneticPr fontId="11" type="noConversion"/>
  </si>
  <si>
    <t>Ortho</t>
    <phoneticPr fontId="3" type="noConversion"/>
  </si>
  <si>
    <t>日</t>
    <phoneticPr fontId="11" type="noConversion"/>
  </si>
  <si>
    <t>+</t>
    <phoneticPr fontId="11" type="noConversion"/>
  </si>
  <si>
    <t>六</t>
    <phoneticPr fontId="11" type="noConversion"/>
  </si>
  <si>
    <t>=</t>
    <phoneticPr fontId="11" type="noConversion"/>
  </si>
  <si>
    <t>勿D</t>
    <phoneticPr fontId="11" type="noConversion"/>
  </si>
  <si>
    <t>W六D</t>
    <phoneticPr fontId="11" type="noConversion"/>
  </si>
  <si>
    <t>L021</t>
    <phoneticPr fontId="11" type="noConversion"/>
  </si>
  <si>
    <t>勿N</t>
    <phoneticPr fontId="11" type="noConversion"/>
  </si>
  <si>
    <t>F丁韋綸</t>
    <phoneticPr fontId="11" type="noConversion"/>
  </si>
  <si>
    <t>X丁韋綸</t>
    <phoneticPr fontId="11" type="noConversion"/>
  </si>
  <si>
    <t>W日D</t>
    <phoneticPr fontId="11" type="noConversion"/>
  </si>
  <si>
    <t>L022</t>
    <phoneticPr fontId="11" type="noConversion"/>
  </si>
  <si>
    <t>OFF/N</t>
    <phoneticPr fontId="30" type="noConversion"/>
  </si>
  <si>
    <t>G陳盈潔</t>
    <phoneticPr fontId="11" type="noConversion"/>
  </si>
  <si>
    <t>X陳盈潔</t>
    <phoneticPr fontId="11" type="noConversion"/>
  </si>
  <si>
    <t>W6 OFF</t>
    <phoneticPr fontId="11" type="noConversion"/>
  </si>
  <si>
    <t>假N</t>
    <phoneticPr fontId="11" type="noConversion"/>
  </si>
  <si>
    <t>L024</t>
    <phoneticPr fontId="11" type="noConversion"/>
  </si>
  <si>
    <t>OFF/D</t>
    <phoneticPr fontId="30" type="noConversion"/>
  </si>
  <si>
    <t>H張心柔</t>
    <phoneticPr fontId="11" type="noConversion"/>
  </si>
  <si>
    <t>X張心柔</t>
    <phoneticPr fontId="11" type="noConversion"/>
  </si>
  <si>
    <t>勿D/N</t>
    <phoneticPr fontId="30" type="noConversion"/>
  </si>
  <si>
    <t>勿N/D</t>
    <phoneticPr fontId="30" type="noConversion"/>
  </si>
  <si>
    <t>庭不值N，改換D</t>
    <phoneticPr fontId="30" type="noConversion"/>
  </si>
  <si>
    <t>上課</t>
    <phoneticPr fontId="11" type="noConversion"/>
  </si>
  <si>
    <t>C</t>
    <phoneticPr fontId="11" type="noConversion"/>
  </si>
  <si>
    <t>50/7=7..1</t>
    <phoneticPr fontId="11" type="noConversion"/>
  </si>
  <si>
    <t>9B</t>
    <phoneticPr fontId="11" type="noConversion"/>
  </si>
  <si>
    <t>9B</t>
    <phoneticPr fontId="11" type="noConversion"/>
  </si>
  <si>
    <t>off</t>
    <phoneticPr fontId="30" type="noConversion"/>
  </si>
  <si>
    <t>off</t>
    <phoneticPr fontId="11" type="noConversion"/>
  </si>
  <si>
    <t>D</t>
    <phoneticPr fontId="11" type="noConversion"/>
  </si>
  <si>
    <t>off</t>
    <phoneticPr fontId="11" type="noConversion"/>
  </si>
  <si>
    <t>D</t>
    <phoneticPr fontId="11" type="noConversion"/>
  </si>
  <si>
    <t>off</t>
    <phoneticPr fontId="30" type="noConversion"/>
  </si>
  <si>
    <t>D</t>
    <phoneticPr fontId="33" type="noConversion"/>
  </si>
  <si>
    <t>實習</t>
    <phoneticPr fontId="33" type="noConversion"/>
  </si>
  <si>
    <t>OFF</t>
    <phoneticPr fontId="33" type="noConversion"/>
  </si>
  <si>
    <t>N</t>
    <phoneticPr fontId="33" type="noConversion"/>
  </si>
  <si>
    <t>上課</t>
  </si>
  <si>
    <t>天</t>
    <phoneticPr fontId="11" type="noConversion"/>
  </si>
  <si>
    <t>為每月D、N開始的輪續</t>
    <phoneticPr fontId="11" type="noConversion"/>
  </si>
  <si>
    <t>A黃韻如</t>
    <phoneticPr fontId="11" type="noConversion"/>
  </si>
  <si>
    <t>D王子建</t>
    <phoneticPr fontId="11" type="noConversion"/>
  </si>
  <si>
    <t>W6輪續</t>
    <phoneticPr fontId="11" type="noConversion"/>
  </si>
  <si>
    <t>為當月W6輪續結束</t>
    <phoneticPr fontId="11" type="noConversion"/>
  </si>
  <si>
    <t>N</t>
    <phoneticPr fontId="11" type="noConversion"/>
  </si>
  <si>
    <t>OFF</t>
    <phoneticPr fontId="11" type="noConversion"/>
  </si>
  <si>
    <t>OFF</t>
    <phoneticPr fontId="33" type="noConversion"/>
  </si>
  <si>
    <t>D</t>
    <phoneticPr fontId="11" type="noConversion"/>
  </si>
  <si>
    <t>N</t>
    <phoneticPr fontId="11" type="noConversion"/>
  </si>
  <si>
    <t>N</t>
    <phoneticPr fontId="11" type="noConversion"/>
  </si>
  <si>
    <t>OFF</t>
    <phoneticPr fontId="11" type="noConversion"/>
  </si>
  <si>
    <t>D</t>
    <phoneticPr fontId="11" type="noConversion"/>
  </si>
  <si>
    <t>OFF</t>
    <phoneticPr fontId="11" type="noConversion"/>
  </si>
  <si>
    <t>庭、潔不值N，改換D</t>
    <phoneticPr fontId="30" type="noConversion"/>
  </si>
  <si>
    <t>上班人數</t>
    <phoneticPr fontId="11" type="noConversion"/>
  </si>
  <si>
    <t>國</t>
    <phoneticPr fontId="11" type="noConversion"/>
  </si>
  <si>
    <t>國假註記</t>
    <phoneticPr fontId="11" type="noConversion"/>
  </si>
  <si>
    <t>W6off</t>
    <phoneticPr fontId="11" type="noConversion"/>
  </si>
  <si>
    <t>為當月W6輪續開始</t>
    <phoneticPr fontId="11" type="noConversion"/>
  </si>
  <si>
    <t>值班總數</t>
    <phoneticPr fontId="11" type="noConversion"/>
  </si>
  <si>
    <t>off天數</t>
    <phoneticPr fontId="11" type="noConversion"/>
  </si>
  <si>
    <t>原始</t>
    <phoneticPr fontId="11" type="noConversion"/>
  </si>
  <si>
    <t>為當月off輪續開始</t>
    <phoneticPr fontId="11" type="noConversion"/>
  </si>
  <si>
    <t>B欠A星期日D</t>
    <phoneticPr fontId="11" type="noConversion"/>
  </si>
  <si>
    <t>10月還</t>
    <phoneticPr fontId="11" type="noConversion"/>
  </si>
  <si>
    <t>10/5-6 雅慈N→心柔</t>
    <phoneticPr fontId="40" type="noConversion"/>
  </si>
  <si>
    <t>10/19-20 盈N→心柔</t>
    <phoneticPr fontId="40" type="noConversion"/>
  </si>
  <si>
    <t>OFF</t>
    <phoneticPr fontId="11" type="noConversion"/>
  </si>
  <si>
    <t>off</t>
    <phoneticPr fontId="11" type="noConversion"/>
  </si>
  <si>
    <t>OFF</t>
    <phoneticPr fontId="11" type="noConversion"/>
  </si>
  <si>
    <t>N</t>
    <phoneticPr fontId="41" type="noConversion"/>
  </si>
  <si>
    <t>D</t>
    <phoneticPr fontId="41" type="noConversion"/>
  </si>
  <si>
    <t>9B</t>
    <phoneticPr fontId="41" type="noConversion"/>
  </si>
  <si>
    <t>OFF</t>
    <phoneticPr fontId="41" type="noConversion"/>
  </si>
  <si>
    <t>X陳盈潔</t>
  </si>
  <si>
    <t>9A</t>
    <phoneticPr fontId="11" type="noConversion"/>
  </si>
  <si>
    <t>D</t>
    <phoneticPr fontId="43" type="noConversion"/>
  </si>
  <si>
    <t>N</t>
    <phoneticPr fontId="43" type="noConversion"/>
  </si>
  <si>
    <t>盈、庭不值N，改換D</t>
    <phoneticPr fontId="30" type="noConversion"/>
  </si>
  <si>
    <t>N</t>
    <phoneticPr fontId="45" type="noConversion"/>
  </si>
  <si>
    <t>D</t>
    <phoneticPr fontId="45" type="noConversion"/>
  </si>
  <si>
    <t>off</t>
    <phoneticPr fontId="45" type="noConversion"/>
  </si>
  <si>
    <t>放假人數</t>
    <phoneticPr fontId="11" type="noConversion"/>
  </si>
  <si>
    <t xml:space="preserve">初1 </t>
    <phoneticPr fontId="11" type="noConversion"/>
  </si>
  <si>
    <t>初2</t>
    <phoneticPr fontId="11" type="noConversion"/>
  </si>
  <si>
    <t>初3</t>
    <phoneticPr fontId="11" type="noConversion"/>
  </si>
  <si>
    <t>初4</t>
    <phoneticPr fontId="11" type="noConversion"/>
  </si>
  <si>
    <t>初5</t>
    <phoneticPr fontId="11" type="noConversion"/>
  </si>
  <si>
    <t>D</t>
    <phoneticPr fontId="11" type="noConversion"/>
  </si>
  <si>
    <t>N</t>
    <phoneticPr fontId="11" type="noConversion"/>
  </si>
  <si>
    <t>N</t>
    <phoneticPr fontId="11" type="noConversion"/>
  </si>
  <si>
    <t>D</t>
    <phoneticPr fontId="11" type="noConversion"/>
  </si>
  <si>
    <t>9A關</t>
    <phoneticPr fontId="11" type="noConversion"/>
  </si>
  <si>
    <t>除夕</t>
    <phoneticPr fontId="11" type="noConversion"/>
  </si>
  <si>
    <t>N</t>
    <phoneticPr fontId="11" type="noConversion"/>
  </si>
  <si>
    <t>D</t>
    <phoneticPr fontId="11" type="noConversion"/>
  </si>
  <si>
    <t>ACLS</t>
    <phoneticPr fontId="11" type="noConversion"/>
  </si>
  <si>
    <t>白班</t>
    <phoneticPr fontId="11" type="noConversion"/>
  </si>
  <si>
    <t>off</t>
  </si>
  <si>
    <t>A欠E</t>
  </si>
  <si>
    <t>1天</t>
  </si>
  <si>
    <t>A欠C</t>
  </si>
  <si>
    <t>D欠H</t>
  </si>
  <si>
    <t>D欠F</t>
  </si>
  <si>
    <t>D欠C</t>
    <phoneticPr fontId="11" type="noConversion"/>
  </si>
  <si>
    <t>清明</t>
    <phoneticPr fontId="11" type="noConversion"/>
  </si>
  <si>
    <t>1天</t>
    <phoneticPr fontId="11" type="noConversion"/>
  </si>
  <si>
    <t xml:space="preserve"> </t>
    <phoneticPr fontId="11" type="noConversion"/>
  </si>
  <si>
    <t>X丁韋綸</t>
  </si>
  <si>
    <t>劉子瑄</t>
  </si>
  <si>
    <t>林瑋嫻</t>
  </si>
  <si>
    <t>馮佳祺</t>
  </si>
  <si>
    <t>I</t>
    <phoneticPr fontId="11" type="noConversion"/>
  </si>
  <si>
    <t>J</t>
    <phoneticPr fontId="11" type="noConversion"/>
  </si>
  <si>
    <t>K</t>
    <phoneticPr fontId="11" type="noConversion"/>
  </si>
  <si>
    <t>I劉子瑄</t>
    <phoneticPr fontId="11" type="noConversion"/>
  </si>
  <si>
    <t>J林瑋嫻</t>
    <phoneticPr fontId="11" type="noConversion"/>
  </si>
  <si>
    <t>K馮佳祺</t>
    <phoneticPr fontId="11" type="noConversion"/>
  </si>
  <si>
    <t>PGY陳</t>
    <phoneticPr fontId="11" type="noConversion"/>
  </si>
  <si>
    <t>護</t>
  </si>
  <si>
    <t>護</t>
    <phoneticPr fontId="11" type="noConversion"/>
  </si>
  <si>
    <t>勿D/N</t>
  </si>
  <si>
    <t>X</t>
    <phoneticPr fontId="11" type="noConversion"/>
  </si>
  <si>
    <t>5/9-31</t>
    <phoneticPr fontId="11" type="noConversion"/>
  </si>
  <si>
    <t>x</t>
    <phoneticPr fontId="11" type="noConversion"/>
  </si>
  <si>
    <t>5/1-8 OFF 18/6=3</t>
    <phoneticPr fontId="11" type="noConversion"/>
  </si>
  <si>
    <t>9A每人三天</t>
    <phoneticPr fontId="11" type="noConversion"/>
  </si>
  <si>
    <t>5月1日至八</t>
    <phoneticPr fontId="11" type="noConversion"/>
  </si>
  <si>
    <t>[</t>
    <phoneticPr fontId="11" type="noConversion"/>
  </si>
  <si>
    <t>勿N</t>
  </si>
  <si>
    <t>週六OFF:19/9=2..1(B3天 其他2天)</t>
    <phoneticPr fontId="11" type="noConversion"/>
  </si>
  <si>
    <t>5/9-31 off 104/9=11..5(HIJKA 12天 BCDE11天)</t>
    <phoneticPr fontId="11" type="noConversion"/>
  </si>
  <si>
    <t>D+N: IJK各四天其他人各三天</t>
    <phoneticPr fontId="11" type="noConversion"/>
  </si>
  <si>
    <t>休假:BCDEHIJ 18天, KA17天</t>
    <phoneticPr fontId="11" type="noConversion"/>
  </si>
  <si>
    <t>護+D</t>
    <phoneticPr fontId="11" type="noConversion"/>
  </si>
  <si>
    <t>W六:CDEHIJK 3天, AB 2天</t>
    <phoneticPr fontId="11" type="noConversion"/>
  </si>
  <si>
    <t>N</t>
    <phoneticPr fontId="47" type="noConversion"/>
  </si>
  <si>
    <t>勿D</t>
  </si>
  <si>
    <t>勿DN</t>
    <phoneticPr fontId="11" type="noConversion"/>
  </si>
  <si>
    <t>外傷</t>
    <phoneticPr fontId="11" type="noConversion"/>
  </si>
  <si>
    <t>勿D/N</t>
    <phoneticPr fontId="11" type="noConversion"/>
  </si>
  <si>
    <t>D1N3off</t>
    <phoneticPr fontId="11" type="noConversion"/>
  </si>
  <si>
    <t>off N</t>
    <phoneticPr fontId="11" type="noConversion"/>
  </si>
  <si>
    <t>off D</t>
    <phoneticPr fontId="11" type="noConversion"/>
  </si>
  <si>
    <t>3 off</t>
    <phoneticPr fontId="11" type="noConversion"/>
  </si>
  <si>
    <t>D off</t>
    <phoneticPr fontId="11" type="noConversion"/>
  </si>
  <si>
    <t>2 off</t>
    <phoneticPr fontId="11" type="noConversion"/>
  </si>
  <si>
    <t>off 8-4</t>
    <phoneticPr fontId="11" type="noConversion"/>
  </si>
  <si>
    <t>6 off</t>
    <phoneticPr fontId="11" type="noConversion"/>
  </si>
  <si>
    <t>54/8=6…6</t>
    <phoneticPr fontId="11" type="noConversion"/>
  </si>
  <si>
    <t>51/8=6…3</t>
    <phoneticPr fontId="11" type="noConversion"/>
  </si>
  <si>
    <t>31/9=3…4</t>
  </si>
  <si>
    <t>31/9=3…4</t>
    <phoneticPr fontId="11" type="noConversion"/>
  </si>
  <si>
    <t>8月值</t>
    <phoneticPr fontId="11" type="noConversion"/>
  </si>
  <si>
    <t>D/N</t>
    <phoneticPr fontId="11" type="noConversion"/>
  </si>
  <si>
    <t>12/9=1..3</t>
    <phoneticPr fontId="11" type="noConversion"/>
  </si>
  <si>
    <t xml:space="preserve">8月OFF </t>
    <phoneticPr fontId="11" type="noConversion"/>
  </si>
  <si>
    <t>8月週 6OFF</t>
    <phoneticPr fontId="11" type="noConversion"/>
  </si>
  <si>
    <t>W6</t>
    <phoneticPr fontId="11" type="noConversion"/>
  </si>
  <si>
    <t>調整後周六</t>
    <phoneticPr fontId="11" type="noConversion"/>
  </si>
  <si>
    <t>29床</t>
    <phoneticPr fontId="11" type="noConversion"/>
  </si>
  <si>
    <t>31/4=7…3</t>
    <phoneticPr fontId="11" type="noConversion"/>
  </si>
  <si>
    <t>36/4=9</t>
    <phoneticPr fontId="11" type="noConversion"/>
  </si>
  <si>
    <r>
      <t>w</t>
    </r>
    <r>
      <rPr>
        <b/>
        <sz val="11"/>
        <rFont val="標楷體"/>
        <family val="4"/>
        <charset val="136"/>
      </rPr>
      <t>6 OFF</t>
    </r>
    <phoneticPr fontId="11" type="noConversion"/>
  </si>
  <si>
    <t>5/4=1..1</t>
    <phoneticPr fontId="11" type="noConversion"/>
  </si>
  <si>
    <t>專</t>
    <phoneticPr fontId="11" type="noConversion"/>
  </si>
  <si>
    <t>專N</t>
    <phoneticPr fontId="11" type="noConversion"/>
  </si>
  <si>
    <t>OFF</t>
    <phoneticPr fontId="52" type="noConversion"/>
  </si>
  <si>
    <t>D</t>
    <phoneticPr fontId="52" type="noConversion"/>
  </si>
  <si>
    <t>S1</t>
    <phoneticPr fontId="52" type="noConversion"/>
  </si>
  <si>
    <t>N</t>
    <phoneticPr fontId="52" type="noConversion"/>
  </si>
  <si>
    <t>H3</t>
    <phoneticPr fontId="52" type="noConversion"/>
  </si>
  <si>
    <t>L024</t>
    <phoneticPr fontId="52" type="noConversion"/>
  </si>
  <si>
    <t>子建D</t>
    <phoneticPr fontId="52" type="noConversion"/>
  </si>
  <si>
    <t>子建N</t>
    <phoneticPr fontId="52" type="noConversion"/>
  </si>
  <si>
    <t>S</t>
    <phoneticPr fontId="11" type="noConversion"/>
  </si>
  <si>
    <t>S1D</t>
    <phoneticPr fontId="11" type="noConversion"/>
  </si>
  <si>
    <t>帶</t>
    <phoneticPr fontId="11" type="noConversion"/>
  </si>
  <si>
    <t>9aS</t>
    <phoneticPr fontId="11" type="noConversion"/>
  </si>
  <si>
    <t>放假</t>
    <phoneticPr fontId="11" type="noConversion"/>
  </si>
  <si>
    <t>中秋</t>
    <phoneticPr fontId="11" type="noConversion"/>
  </si>
  <si>
    <t>咨希勿連4N 謝謝</t>
    <phoneticPr fontId="11" type="noConversion"/>
  </si>
  <si>
    <t>雙十</t>
    <phoneticPr fontId="11" type="noConversion"/>
  </si>
  <si>
    <t>光復</t>
    <phoneticPr fontId="11" type="noConversion"/>
  </si>
  <si>
    <t>K陳咨希</t>
    <phoneticPr fontId="11" type="noConversion"/>
  </si>
  <si>
    <t>J馮佳祺</t>
    <phoneticPr fontId="11" type="noConversion"/>
  </si>
  <si>
    <t>陳咨希</t>
    <phoneticPr fontId="11" type="noConversion"/>
  </si>
  <si>
    <t>L陳咨希</t>
    <phoneticPr fontId="11" type="noConversion"/>
  </si>
  <si>
    <t>M柳春霙</t>
    <phoneticPr fontId="11" type="noConversion"/>
  </si>
  <si>
    <t>V</t>
    <phoneticPr fontId="11" type="noConversion"/>
  </si>
  <si>
    <t>在職9A</t>
    <phoneticPr fontId="11" type="noConversion"/>
  </si>
  <si>
    <t>v</t>
    <phoneticPr fontId="11" type="noConversion"/>
  </si>
  <si>
    <t>支援護理師註記</t>
    <phoneticPr fontId="11" type="noConversion"/>
  </si>
  <si>
    <t>Nr</t>
    <phoneticPr fontId="11" type="noConversion"/>
  </si>
  <si>
    <t>OFF</t>
    <phoneticPr fontId="11" type="noConversion"/>
  </si>
  <si>
    <t>K欠B一天w6 off，12月還</t>
    <phoneticPr fontId="11" type="noConversion"/>
  </si>
  <si>
    <t>SUM</t>
    <phoneticPr fontId="11" type="noConversion"/>
  </si>
  <si>
    <t>欄1</t>
  </si>
  <si>
    <t>班別</t>
    <phoneticPr fontId="11" type="noConversion"/>
  </si>
  <si>
    <t>夜班</t>
    <phoneticPr fontId="11" type="noConversion"/>
  </si>
  <si>
    <t>白八</t>
    <phoneticPr fontId="11" type="noConversion"/>
  </si>
  <si>
    <t>總數</t>
    <phoneticPr fontId="11" type="noConversion"/>
  </si>
  <si>
    <t>當月N</t>
    <phoneticPr fontId="11" type="noConversion"/>
  </si>
  <si>
    <t>當月D</t>
    <phoneticPr fontId="11" type="noConversion"/>
  </si>
  <si>
    <t>當月星期六 OFF</t>
    <phoneticPr fontId="11" type="noConversion"/>
  </si>
  <si>
    <t>當月星期日 OFF</t>
    <phoneticPr fontId="11" type="noConversion"/>
  </si>
  <si>
    <t>當月OFF(平日+六+日)</t>
    <phoneticPr fontId="11" type="noConversion"/>
  </si>
  <si>
    <t>當月國定假日</t>
    <phoneticPr fontId="11" type="noConversion"/>
  </si>
  <si>
    <t>平均(天/人)</t>
    <phoneticPr fontId="11" type="noConversion"/>
  </si>
  <si>
    <t>平日D</t>
    <phoneticPr fontId="11" type="noConversion"/>
  </si>
  <si>
    <t>平日N</t>
    <phoneticPr fontId="11" type="noConversion"/>
  </si>
  <si>
    <t>星期六D</t>
    <phoneticPr fontId="11" type="noConversion"/>
  </si>
  <si>
    <t>星期日D</t>
    <phoneticPr fontId="11" type="noConversion"/>
  </si>
  <si>
    <t>星期日N</t>
    <phoneticPr fontId="11" type="noConversion"/>
  </si>
  <si>
    <t>D平均=</t>
    <phoneticPr fontId="11" type="noConversion"/>
  </si>
  <si>
    <t>N平均=</t>
    <phoneticPr fontId="11" type="noConversion"/>
  </si>
  <si>
    <t>當月人力</t>
    <phoneticPr fontId="11" type="noConversion"/>
  </si>
  <si>
    <t>當月人力(後半)</t>
    <phoneticPr fontId="11" type="noConversion"/>
  </si>
  <si>
    <t>備註：</t>
    <phoneticPr fontId="11" type="noConversion"/>
  </si>
  <si>
    <t>特殊日期標註</t>
    <phoneticPr fontId="11" type="noConversion"/>
  </si>
  <si>
    <t>C詹絲庭</t>
    <phoneticPr fontId="11" type="noConversion"/>
  </si>
  <si>
    <t>平日OFF</t>
    <phoneticPr fontId="11" type="noConversion"/>
  </si>
  <si>
    <t>姓名</t>
    <phoneticPr fontId="11" type="noConversion"/>
  </si>
  <si>
    <t>非在職註記</t>
    <phoneticPr fontId="11" type="noConversion"/>
  </si>
  <si>
    <t>X</t>
  </si>
  <si>
    <t>D輪序</t>
    <phoneticPr fontId="11" type="noConversion"/>
  </si>
  <si>
    <t>N輪序</t>
    <phoneticPr fontId="11" type="noConversion"/>
  </si>
  <si>
    <t>OFF輪序</t>
    <phoneticPr fontId="11" type="noConversion"/>
  </si>
  <si>
    <t>W6OFF輪序</t>
    <phoneticPr fontId="11" type="noConversion"/>
  </si>
  <si>
    <t>輪序開頭註記</t>
    <phoneticPr fontId="11" type="noConversion"/>
  </si>
  <si>
    <t>輪序開頭註記2</t>
  </si>
  <si>
    <t>輪序開頭註記3</t>
  </si>
  <si>
    <t>輪序開頭註記4</t>
  </si>
  <si>
    <t>預班區域</t>
    <phoneticPr fontId="11" type="noConversion"/>
  </si>
  <si>
    <t>欄2</t>
  </si>
  <si>
    <t>欄3</t>
  </si>
  <si>
    <t>欄4</t>
  </si>
  <si>
    <t>W6OFF</t>
    <phoneticPr fontId="11" type="noConversion"/>
  </si>
  <si>
    <t>排班區域</t>
    <phoneticPr fontId="11" type="noConversion"/>
  </si>
  <si>
    <t>星期日 OFF</t>
    <phoneticPr fontId="11" type="noConversion"/>
  </si>
  <si>
    <t>當月OFF(總數)</t>
    <phoneticPr fontId="11" type="noConversion"/>
  </si>
  <si>
    <t>後半起始日</t>
    <phoneticPr fontId="11" type="noConversion"/>
  </si>
  <si>
    <t>OFF平均=</t>
    <phoneticPr fontId="11" type="noConversion"/>
  </si>
  <si>
    <t>A0=</t>
    <phoneticPr fontId="11" type="noConversion"/>
  </si>
  <si>
    <t>B0=</t>
    <phoneticPr fontId="11" type="noConversion"/>
  </si>
  <si>
    <t>K馮佳祺</t>
  </si>
  <si>
    <t>D</t>
    <phoneticPr fontId="56" type="noConversion"/>
  </si>
  <si>
    <t>使用說明：開始輪序者，在輪序註記處填入: V，之後按下計算配額(請先確認是否需手動填寫平日OFF及W6 OFF並完成填寫)</t>
    <phoneticPr fontId="56" type="noConversion"/>
  </si>
  <si>
    <t>使用說明：當月人力若需前後半開床不同，請填入白班，夜班，白八所需人力及開床人力不同之起始日期(後半起始日)，若無人力調整，請按一次清除後半月人力按鈕</t>
    <phoneticPr fontId="56" type="noConversion"/>
  </si>
  <si>
    <t>使用說明：若當月星期六OFF和平日OFF呈現手動計算填入下方，請回班表計算好數量，並填入對應的儲存格中當月星期6填入BD3、平日OFF填入BF3</t>
    <phoneticPr fontId="56" type="noConversion"/>
  </si>
  <si>
    <t>密碼</t>
    <phoneticPr fontId="56" type="noConversion"/>
  </si>
  <si>
    <t>0000</t>
    <phoneticPr fontId="56" type="noConversion"/>
  </si>
  <si>
    <t>使用說明：預班請填寫至預班區域(下方)，排班時可使用"填入預班"按鈕一鍵填入、非在職9A可於B欄填入X註記，按顯示/隱藏按鈕可開啟B欄。按"隱藏/顯示非在職人員"可自動隱藏註記的列、"清空排班"會清空上方排班區域、"新增下個月"可新增下個月的工作表、"設定人力"、"設定輪序"按鈕可快速轉跳到右邊的設定表格，按"回班表"回到排班頁面。</t>
    <phoneticPr fontId="56" type="noConversion"/>
  </si>
  <si>
    <t>V</t>
  </si>
  <si>
    <t>x</t>
    <phoneticPr fontId="56" type="noConversion"/>
  </si>
  <si>
    <t>J林瑋嫻</t>
  </si>
  <si>
    <t>v</t>
    <phoneticPr fontId="56" type="noConversion"/>
  </si>
  <si>
    <t>國</t>
    <phoneticPr fontId="56" type="noConversion"/>
  </si>
  <si>
    <t>1.預班區域</t>
    <phoneticPr fontId="11" type="noConversion"/>
  </si>
  <si>
    <t>2.排班區域</t>
    <phoneticPr fontId="11" type="noConversion"/>
  </si>
  <si>
    <t>勿值</t>
    <phoneticPr fontId="56" type="noConversion"/>
  </si>
  <si>
    <t xml:space="preserve"> 勿N</t>
    <phoneticPr fontId="56" type="noConversion"/>
  </si>
  <si>
    <t>勿N</t>
    <phoneticPr fontId="56" type="noConversion"/>
  </si>
  <si>
    <t>勿D</t>
    <phoneticPr fontId="56" type="noConversion"/>
  </si>
  <si>
    <t>K欠B一天w6 off，12月還 (B問:班表內沒有K，還?，K:兩個月後還(2月) )</t>
    <phoneticPr fontId="11" type="noConversion"/>
  </si>
  <si>
    <t>9A排班人數</t>
    <phoneticPr fontId="56" type="noConversion"/>
  </si>
  <si>
    <t>9A參與值班人數</t>
    <phoneticPr fontId="56" type="noConversion"/>
  </si>
  <si>
    <t>NrsD</t>
  </si>
  <si>
    <t>NrsD</t>
    <phoneticPr fontId="56" type="noConversion"/>
  </si>
  <si>
    <t>V</t>
    <phoneticPr fontId="56" type="noConversion"/>
  </si>
  <si>
    <t>S1</t>
    <phoneticPr fontId="56" type="noConversion"/>
  </si>
  <si>
    <t xml:space="preserve"> </t>
    <phoneticPr fontId="56" type="noConversion"/>
  </si>
  <si>
    <t>Nr</t>
  </si>
  <si>
    <t>Nr</t>
    <phoneticPr fontId="56" type="noConversion"/>
  </si>
  <si>
    <t>OFF</t>
    <phoneticPr fontId="56" type="noConversion"/>
  </si>
  <si>
    <t>元旦</t>
    <phoneticPr fontId="11" type="noConversion"/>
  </si>
  <si>
    <t>國</t>
    <phoneticPr fontId="11" type="noConversion"/>
  </si>
  <si>
    <t>國</t>
    <phoneticPr fontId="11" type="noConversion"/>
  </si>
  <si>
    <t>春節</t>
    <phoneticPr fontId="11" type="noConversion"/>
  </si>
  <si>
    <t>國</t>
    <phoneticPr fontId="11" type="noConversion"/>
  </si>
  <si>
    <t>兒童</t>
    <phoneticPr fontId="11" type="noConversion"/>
  </si>
  <si>
    <t>國</t>
    <phoneticPr fontId="11" type="noConversion"/>
  </si>
  <si>
    <t>勞動</t>
    <phoneticPr fontId="11" type="noConversion"/>
  </si>
  <si>
    <t>國</t>
    <phoneticPr fontId="11" type="noConversion"/>
  </si>
  <si>
    <t>N</t>
    <phoneticPr fontId="56" type="noConversion"/>
  </si>
  <si>
    <t>勿DN</t>
  </si>
  <si>
    <t>關</t>
    <phoneticPr fontId="11" type="noConversion"/>
  </si>
  <si>
    <t>開</t>
    <phoneticPr fontId="11" type="noConversion"/>
  </si>
  <si>
    <t>國補</t>
    <phoneticPr fontId="11" type="noConversion"/>
  </si>
  <si>
    <t>勿值</t>
    <phoneticPr fontId="11" type="noConversion"/>
  </si>
  <si>
    <t>OFF/N</t>
    <phoneticPr fontId="11" type="noConversion"/>
  </si>
  <si>
    <t>K欠B一天w6 off，12月還 (B問:班表內沒有K，還?，K:兩個月後還(3月) )</t>
    <phoneticPr fontId="11" type="noConversion"/>
  </si>
  <si>
    <t>J欠H一天N</t>
    <phoneticPr fontId="11" type="noConversion"/>
  </si>
  <si>
    <t>勿值</t>
  </si>
  <si>
    <t>勿休</t>
    <phoneticPr fontId="11" type="noConversion"/>
  </si>
  <si>
    <t>K欠B一天w6 off，12月還 (B問:班表內沒有K，還?，K:兩個月後還(3月已還) )</t>
    <phoneticPr fontId="11" type="noConversion"/>
  </si>
  <si>
    <t>D欠H及J W6 D</t>
    <phoneticPr fontId="11" type="noConversion"/>
  </si>
  <si>
    <t>絲庭N換子瑄D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</si>
</sst>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&quot;月&quot;d&quot;日&quot;"/>
    <numFmt numFmtId="178" formatCode="[DBNum1][$-404]General"/>
  </numFmts>
  <fonts count="96">
    <font>
      <sz val="12"/>
      <name val="標楷體"/>
      <family val="4"/>
    </font>
    <font>
      <sz val="12"/>
      <name val="標楷體"/>
      <family val="4"/>
    </font>
    <font>
      <sz val="16"/>
      <name val="標楷體"/>
      <family val="4"/>
    </font>
    <font>
      <sz val="9"/>
      <name val="標楷體"/>
      <family val="4"/>
    </font>
    <font>
      <sz val="20"/>
      <name val="標楷體"/>
      <family val="4"/>
    </font>
    <font>
      <sz val="14"/>
      <name val="標楷體"/>
      <family val="4"/>
    </font>
    <font>
      <sz val="16"/>
      <name val="華康隸書體"/>
      <family val="3"/>
    </font>
    <font>
      <sz val="9"/>
      <name val="新細明體"/>
      <family val="1"/>
      <charset val="136"/>
    </font>
    <font>
      <b/>
      <sz val="20"/>
      <color indexed="12"/>
      <name val="Times New Roman"/>
      <family val="1"/>
    </font>
    <font>
      <b/>
      <sz val="24"/>
      <color indexed="12"/>
      <name val="標楷體"/>
      <family val="4"/>
    </font>
    <font>
      <sz val="24"/>
      <color indexed="10"/>
      <name val="標楷體"/>
      <family val="4"/>
    </font>
    <font>
      <sz val="9"/>
      <name val="細明體"/>
      <family val="3"/>
      <charset val="136"/>
    </font>
    <font>
      <b/>
      <sz val="12"/>
      <name val="標楷體"/>
      <family val="4"/>
    </font>
    <font>
      <sz val="22"/>
      <name val="標楷體"/>
      <family val="4"/>
    </font>
    <font>
      <sz val="18"/>
      <name val="標楷體"/>
      <family val="4"/>
    </font>
    <font>
      <b/>
      <sz val="16"/>
      <name val="標楷體"/>
      <family val="4"/>
    </font>
    <font>
      <b/>
      <sz val="14"/>
      <name val="標楷體"/>
      <family val="4"/>
    </font>
    <font>
      <sz val="14"/>
      <name val="新細明體"/>
      <family val="1"/>
      <charset val="136"/>
    </font>
    <font>
      <sz val="15"/>
      <name val="標楷體"/>
      <family val="4"/>
    </font>
    <font>
      <b/>
      <sz val="22"/>
      <name val="標楷體"/>
      <family val="4"/>
    </font>
    <font>
      <sz val="18"/>
      <name val="標楷體"/>
      <family val="4"/>
      <charset val="136"/>
    </font>
    <font>
      <b/>
      <sz val="23"/>
      <name val="標楷體"/>
      <family val="4"/>
    </font>
    <font>
      <b/>
      <sz val="16"/>
      <name val="新細明體"/>
      <family val="1"/>
      <charset val="136"/>
    </font>
    <font>
      <b/>
      <sz val="22"/>
      <name val="標楷體"/>
      <family val="4"/>
      <charset val="136"/>
    </font>
    <font>
      <b/>
      <sz val="16"/>
      <name val="標楷體"/>
      <family val="4"/>
    </font>
    <font>
      <sz val="9"/>
      <name val="新細明體"/>
      <family val="1"/>
      <charset val="136"/>
    </font>
    <font>
      <sz val="11"/>
      <name val="標楷體"/>
      <family val="4"/>
    </font>
    <font>
      <sz val="11"/>
      <name val="標楷體"/>
      <family val="4"/>
    </font>
    <font>
      <b/>
      <sz val="12"/>
      <name val="Times New Roman"/>
      <family val="1"/>
    </font>
    <font>
      <b/>
      <sz val="16"/>
      <name val="標楷體"/>
      <family val="4"/>
      <charset val="136"/>
    </font>
    <font>
      <sz val="9"/>
      <name val="新細明體"/>
      <family val="1"/>
      <charset val="136"/>
    </font>
    <font>
      <sz val="11"/>
      <name val="標楷體"/>
      <family val="4"/>
      <charset val="136"/>
    </font>
    <font>
      <sz val="12"/>
      <name val="標楷體"/>
      <family val="4"/>
      <charset val="136"/>
    </font>
    <font>
      <sz val="9"/>
      <name val="新細明體"/>
      <family val="1"/>
      <charset val="136"/>
    </font>
    <font>
      <sz val="24"/>
      <name val="標楷體"/>
      <family val="4"/>
      <charset val="136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細明體"/>
      <family val="3"/>
      <charset val="136"/>
    </font>
    <font>
      <sz val="10"/>
      <name val="標楷體"/>
      <family val="4"/>
      <charset val="136"/>
    </font>
    <font>
      <b/>
      <sz val="20"/>
      <name val="標楷體"/>
      <family val="4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標楷體"/>
      <family val="4"/>
      <charset val="136"/>
    </font>
    <font>
      <sz val="9"/>
      <name val="新細明體"/>
      <family val="1"/>
      <charset val="136"/>
    </font>
    <font>
      <b/>
      <sz val="18"/>
      <name val="標楷體"/>
      <family val="4"/>
    </font>
    <font>
      <sz val="9"/>
      <name val="新細明體"/>
      <family val="1"/>
      <charset val="136"/>
    </font>
    <font>
      <b/>
      <sz val="20"/>
      <name val="標楷體"/>
      <family val="4"/>
    </font>
    <font>
      <sz val="9"/>
      <name val="新細明體"/>
      <family val="1"/>
      <charset val="136"/>
    </font>
    <font>
      <sz val="16"/>
      <name val="標楷體"/>
      <family val="4"/>
    </font>
    <font>
      <sz val="16"/>
      <name val="新細明體"/>
      <family val="1"/>
      <charset val="136"/>
    </font>
    <font>
      <sz val="14"/>
      <name val="標楷體"/>
      <family val="4"/>
      <charset val="136"/>
    </font>
    <font>
      <b/>
      <sz val="11"/>
      <name val="標楷體"/>
      <family val="4"/>
      <charset val="136"/>
    </font>
    <font>
      <sz val="9"/>
      <name val="新細明體"/>
      <family val="1"/>
      <charset val="136"/>
    </font>
    <font>
      <sz val="18"/>
      <color indexed="10"/>
      <name val="標楷體"/>
      <family val="4"/>
    </font>
    <font>
      <sz val="10"/>
      <name val="標楷體"/>
      <family val="4"/>
    </font>
    <font>
      <sz val="36"/>
      <name val="標楷體"/>
      <family val="4"/>
    </font>
    <font>
      <sz val="9"/>
      <name val="新細明體"/>
      <family val="1"/>
      <charset val="136"/>
    </font>
    <font>
      <sz val="16"/>
      <name val="標楷體"/>
      <family val="4"/>
    </font>
    <font>
      <sz val="16"/>
      <name val="標楷體"/>
      <family val="4"/>
    </font>
    <font>
      <b/>
      <sz val="12"/>
      <color theme="2" tint="-0.89999084444715716"/>
      <name val="Times New Roman"/>
      <family val="1"/>
    </font>
    <font>
      <b/>
      <sz val="12"/>
      <color theme="2" tint="-0.89999084444715716"/>
      <name val="標楷體"/>
      <family val="4"/>
    </font>
    <font>
      <b/>
      <sz val="16"/>
      <color rgb="FFFF0000"/>
      <name val="標楷體"/>
      <family val="4"/>
    </font>
    <font>
      <sz val="22"/>
      <color theme="1"/>
      <name val="新細明體"/>
      <family val="1"/>
      <charset val="136"/>
      <scheme val="minor"/>
    </font>
    <font>
      <sz val="20"/>
      <color theme="1"/>
      <name val="新細明體"/>
      <family val="1"/>
      <charset val="136"/>
      <scheme val="minor"/>
    </font>
    <font>
      <b/>
      <sz val="20"/>
      <color rgb="FFFF000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sz val="20"/>
      <color rgb="FFFF0000"/>
      <name val="標楷體"/>
      <family val="4"/>
    </font>
    <font>
      <b/>
      <sz val="16"/>
      <color theme="1"/>
      <name val="標楷體"/>
      <family val="4"/>
    </font>
    <font>
      <b/>
      <sz val="12"/>
      <color rgb="FFFF0000"/>
      <name val="Times New Roman"/>
      <family val="1"/>
    </font>
    <font>
      <b/>
      <sz val="16"/>
      <color theme="4"/>
      <name val="標楷體"/>
      <family val="4"/>
    </font>
    <font>
      <sz val="12"/>
      <color theme="3" tint="0.79998168889431442"/>
      <name val="標楷體"/>
      <family val="4"/>
    </font>
    <font>
      <b/>
      <sz val="16"/>
      <color theme="3" tint="0.79998168889431442"/>
      <name val="標楷體"/>
      <family val="4"/>
    </font>
    <font>
      <sz val="24"/>
      <color theme="1"/>
      <name val="新細明體"/>
      <family val="1"/>
      <charset val="136"/>
      <scheme val="minor"/>
    </font>
    <font>
      <b/>
      <sz val="20"/>
      <color rgb="FFFF0000"/>
      <name val="標楷體"/>
      <family val="4"/>
    </font>
    <font>
      <b/>
      <sz val="16"/>
      <color theme="6" tint="0.59999389629810485"/>
      <name val="標楷體"/>
      <family val="4"/>
    </font>
    <font>
      <b/>
      <sz val="16"/>
      <color rgb="FF00B050"/>
      <name val="標楷體"/>
      <family val="4"/>
    </font>
    <font>
      <sz val="16"/>
      <color theme="1"/>
      <name val="新細明體"/>
      <family val="1"/>
      <charset val="136"/>
      <scheme val="minor"/>
    </font>
    <font>
      <sz val="16"/>
      <color theme="1"/>
      <name val="標楷體"/>
      <family val="4"/>
    </font>
    <font>
      <b/>
      <sz val="16"/>
      <color theme="9" tint="-0.249977111117893"/>
      <name val="標楷體"/>
      <family val="4"/>
    </font>
    <font>
      <b/>
      <sz val="16"/>
      <color theme="6" tint="-0.249977111117893"/>
      <name val="標楷體"/>
      <family val="4"/>
    </font>
    <font>
      <sz val="16"/>
      <color rgb="FFFF0000"/>
      <name val="標楷體"/>
      <family val="4"/>
    </font>
    <font>
      <b/>
      <sz val="18"/>
      <color rgb="FFFF0000"/>
      <name val="細明體"/>
      <family val="3"/>
      <charset val="136"/>
    </font>
    <font>
      <sz val="20"/>
      <color theme="1"/>
      <name val="標楷體"/>
      <family val="4"/>
    </font>
    <font>
      <b/>
      <sz val="20"/>
      <color theme="1"/>
      <name val="標楷體"/>
      <family val="4"/>
    </font>
    <font>
      <b/>
      <sz val="16"/>
      <color theme="8" tint="-0.249977111117893"/>
      <name val="標楷體"/>
      <family val="4"/>
    </font>
    <font>
      <b/>
      <sz val="16"/>
      <color rgb="FFFFC000"/>
      <name val="標楷體"/>
      <family val="4"/>
    </font>
    <font>
      <b/>
      <sz val="16"/>
      <color rgb="FF000000"/>
      <name val="標楷體"/>
      <family val="4"/>
    </font>
    <font>
      <sz val="22"/>
      <color rgb="FFFF0000"/>
      <name val="標楷體"/>
      <family val="4"/>
    </font>
    <font>
      <sz val="18"/>
      <color rgb="FFFF0000"/>
      <name val="標楷體"/>
      <family val="4"/>
    </font>
    <font>
      <b/>
      <sz val="22"/>
      <color rgb="FFFF0000"/>
      <name val="標楷體"/>
      <family val="4"/>
    </font>
    <font>
      <sz val="24"/>
      <color rgb="FF000000"/>
      <name val="標楷體"/>
      <family val="4"/>
      <charset val="136"/>
    </font>
    <font>
      <sz val="20"/>
      <color rgb="FF000000"/>
      <name val="標楷體"/>
      <family val="4"/>
      <charset val="136"/>
    </font>
    <font>
      <sz val="26"/>
      <color rgb="FF000000"/>
      <name val="標楷體"/>
      <family val="4"/>
      <charset val="136"/>
    </font>
    <font>
      <sz val="22"/>
      <color rgb="FF000000"/>
      <name val="標楷體"/>
      <family val="4"/>
      <charset val="136"/>
    </font>
    <font>
      <sz val="16"/>
      <color rgb="FF000000"/>
      <name val="標楷體"/>
      <family val="4"/>
      <charset val="136"/>
    </font>
    <font>
      <sz val="18"/>
      <color rgb="FF000000"/>
      <name val="標楷體"/>
      <family val="4"/>
      <charset val="136"/>
    </font>
  </fonts>
  <fills count="3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61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17" fillId="0" borderId="0" xfId="0" applyFont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19" fillId="0" borderId="0" xfId="0" applyFont="1"/>
    <xf numFmtId="0" fontId="13" fillId="0" borderId="0" xfId="0" applyFont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/>
    <xf numFmtId="0" fontId="4" fillId="0" borderId="0" xfId="0" applyFont="1" applyProtection="1">
      <protection locked="0"/>
    </xf>
    <xf numFmtId="0" fontId="5" fillId="0" borderId="0" xfId="0" applyFont="1" applyAlignment="1">
      <alignment horizontal="center" vertical="center"/>
    </xf>
    <xf numFmtId="0" fontId="21" fillId="0" borderId="0" xfId="0" applyFont="1"/>
    <xf numFmtId="0" fontId="12" fillId="0" borderId="0" xfId="0" applyFont="1"/>
    <xf numFmtId="0" fontId="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4" fillId="0" borderId="0" xfId="0" applyFont="1"/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77" fontId="19" fillId="0" borderId="0" xfId="0" applyNumberFormat="1" applyFont="1"/>
    <xf numFmtId="0" fontId="4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14" fillId="0" borderId="2" xfId="0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0" fillId="0" borderId="2" xfId="0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176" fontId="59" fillId="2" borderId="1" xfId="0" applyNumberFormat="1" applyFont="1" applyFill="1" applyBorder="1" applyAlignment="1">
      <alignment horizontal="center" vertical="center" wrapText="1"/>
    </xf>
    <xf numFmtId="178" fontId="60" fillId="2" borderId="1" xfId="0" applyNumberFormat="1" applyFont="1" applyFill="1" applyBorder="1" applyAlignment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0" fontId="61" fillId="2" borderId="1" xfId="0" applyFont="1" applyFill="1" applyBorder="1" applyAlignment="1" applyProtection="1">
      <alignment horizontal="center" vertical="center"/>
      <protection locked="0"/>
    </xf>
    <xf numFmtId="0" fontId="24" fillId="3" borderId="1" xfId="0" applyFont="1" applyFill="1" applyBorder="1" applyAlignment="1" applyProtection="1">
      <alignment horizontal="center" vertical="center"/>
      <protection locked="0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>
      <alignment horizontal="center"/>
    </xf>
    <xf numFmtId="0" fontId="21" fillId="0" borderId="3" xfId="0" applyFont="1" applyBorder="1"/>
    <xf numFmtId="49" fontId="14" fillId="0" borderId="0" xfId="0" applyNumberFormat="1" applyFont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0" fontId="62" fillId="0" borderId="0" xfId="0" applyFont="1"/>
    <xf numFmtId="0" fontId="19" fillId="0" borderId="5" xfId="0" applyFont="1" applyBorder="1"/>
    <xf numFmtId="0" fontId="21" fillId="0" borderId="6" xfId="0" applyFont="1" applyBorder="1"/>
    <xf numFmtId="0" fontId="21" fillId="0" borderId="7" xfId="0" applyFont="1" applyBorder="1"/>
    <xf numFmtId="0" fontId="20" fillId="0" borderId="0" xfId="0" applyFont="1" applyAlignment="1">
      <alignment horizontal="center"/>
    </xf>
    <xf numFmtId="0" fontId="20" fillId="0" borderId="1" xfId="0" applyFont="1" applyBorder="1" applyAlignment="1">
      <alignment horizontal="center" vertical="center"/>
    </xf>
    <xf numFmtId="0" fontId="23" fillId="0" borderId="8" xfId="0" applyFont="1" applyBorder="1"/>
    <xf numFmtId="0" fontId="21" fillId="0" borderId="9" xfId="0" applyFont="1" applyBorder="1"/>
    <xf numFmtId="0" fontId="21" fillId="0" borderId="5" xfId="0" applyFont="1" applyBorder="1"/>
    <xf numFmtId="0" fontId="0" fillId="0" borderId="6" xfId="0" applyBorder="1"/>
    <xf numFmtId="0" fontId="0" fillId="0" borderId="7" xfId="0" applyBorder="1"/>
    <xf numFmtId="0" fontId="21" fillId="0" borderId="10" xfId="0" applyFont="1" applyBorder="1"/>
    <xf numFmtId="0" fontId="19" fillId="0" borderId="3" xfId="0" applyFont="1" applyBorder="1"/>
    <xf numFmtId="0" fontId="20" fillId="0" borderId="0" xfId="0" applyFont="1" applyAlignment="1">
      <alignment horizontal="center" vertical="center"/>
    </xf>
    <xf numFmtId="0" fontId="20" fillId="0" borderId="0" xfId="0" applyFont="1"/>
    <xf numFmtId="0" fontId="23" fillId="0" borderId="0" xfId="0" applyFont="1" applyAlignment="1">
      <alignment horizontal="center" vertical="center"/>
    </xf>
    <xf numFmtId="0" fontId="63" fillId="0" borderId="0" xfId="0" applyFont="1"/>
    <xf numFmtId="0" fontId="64" fillId="4" borderId="0" xfId="0" applyFont="1" applyFill="1"/>
    <xf numFmtId="0" fontId="65" fillId="4" borderId="0" xfId="0" applyFont="1" applyFill="1"/>
    <xf numFmtId="177" fontId="4" fillId="0" borderId="0" xfId="0" applyNumberFormat="1" applyFont="1"/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176" fontId="28" fillId="5" borderId="1" xfId="0" applyNumberFormat="1" applyFont="1" applyFill="1" applyBorder="1" applyAlignment="1">
      <alignment horizontal="center" vertical="center" wrapText="1"/>
    </xf>
    <xf numFmtId="178" fontId="12" fillId="5" borderId="1" xfId="0" applyNumberFormat="1" applyFont="1" applyFill="1" applyBorder="1" applyAlignment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176" fontId="59" fillId="6" borderId="1" xfId="0" applyNumberFormat="1" applyFont="1" applyFill="1" applyBorder="1" applyAlignment="1">
      <alignment horizontal="center" vertical="center" wrapText="1"/>
    </xf>
    <xf numFmtId="178" fontId="60" fillId="6" borderId="1" xfId="0" applyNumberFormat="1" applyFont="1" applyFill="1" applyBorder="1" applyAlignment="1">
      <alignment horizontal="center" vertical="center" wrapText="1"/>
    </xf>
    <xf numFmtId="0" fontId="24" fillId="6" borderId="1" xfId="0" applyFont="1" applyFill="1" applyBorder="1" applyAlignment="1" applyProtection="1">
      <alignment horizontal="center" vertical="center"/>
      <protection locked="0"/>
    </xf>
    <xf numFmtId="0" fontId="61" fillId="6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/>
    </xf>
    <xf numFmtId="0" fontId="13" fillId="3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15" fillId="8" borderId="1" xfId="0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3" fillId="7" borderId="0" xfId="0" applyFont="1" applyFill="1" applyAlignment="1">
      <alignment horizontal="center"/>
    </xf>
    <xf numFmtId="0" fontId="66" fillId="0" borderId="0" xfId="0" applyFont="1"/>
    <xf numFmtId="0" fontId="13" fillId="5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67" fillId="2" borderId="1" xfId="0" applyFont="1" applyFill="1" applyBorder="1" applyAlignment="1" applyProtection="1">
      <alignment horizontal="center" vertical="center"/>
      <protection locked="0"/>
    </xf>
    <xf numFmtId="176" fontId="68" fillId="2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vertical="center"/>
      <protection locked="0"/>
    </xf>
    <xf numFmtId="0" fontId="14" fillId="7" borderId="0" xfId="0" applyFont="1" applyFill="1"/>
    <xf numFmtId="0" fontId="61" fillId="5" borderId="1" xfId="0" applyFont="1" applyFill="1" applyBorder="1" applyAlignment="1" applyProtection="1">
      <alignment horizontal="center" vertical="center"/>
      <protection locked="0"/>
    </xf>
    <xf numFmtId="0" fontId="29" fillId="2" borderId="1" xfId="0" applyFont="1" applyFill="1" applyBorder="1" applyAlignment="1" applyProtection="1">
      <alignment horizontal="center" vertical="center"/>
      <protection locked="0"/>
    </xf>
    <xf numFmtId="0" fontId="29" fillId="3" borderId="1" xfId="0" applyFont="1" applyFill="1" applyBorder="1" applyAlignment="1" applyProtection="1">
      <alignment horizontal="center" vertical="center"/>
      <protection locked="0"/>
    </xf>
    <xf numFmtId="0" fontId="29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9" fillId="2" borderId="0" xfId="0" applyFont="1" applyFill="1" applyAlignment="1" applyProtection="1">
      <alignment horizontal="center" vertical="center"/>
      <protection locked="0"/>
    </xf>
    <xf numFmtId="0" fontId="61" fillId="2" borderId="0" xfId="0" applyFont="1" applyFill="1" applyAlignment="1" applyProtection="1">
      <alignment horizontal="center" vertical="center"/>
      <protection locked="0"/>
    </xf>
    <xf numFmtId="0" fontId="15" fillId="0" borderId="4" xfId="0" applyFont="1" applyBorder="1"/>
    <xf numFmtId="0" fontId="0" fillId="3" borderId="0" xfId="0" applyFill="1"/>
    <xf numFmtId="0" fontId="4" fillId="9" borderId="0" xfId="0" applyFont="1" applyFill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0" fillId="0" borderId="3" xfId="0" applyBorder="1"/>
    <xf numFmtId="0" fontId="34" fillId="0" borderId="0" xfId="0" applyFont="1"/>
    <xf numFmtId="0" fontId="14" fillId="0" borderId="4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8" fillId="0" borderId="11" xfId="0" applyFont="1" applyBorder="1"/>
    <xf numFmtId="0" fontId="2" fillId="0" borderId="12" xfId="0" applyFont="1" applyBorder="1" applyAlignment="1">
      <alignment horizontal="center"/>
    </xf>
    <xf numFmtId="0" fontId="2" fillId="10" borderId="12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29" fillId="9" borderId="1" xfId="0" applyFont="1" applyFill="1" applyBorder="1" applyAlignment="1" applyProtection="1">
      <alignment horizontal="center" vertical="center"/>
      <protection locked="0"/>
    </xf>
    <xf numFmtId="178" fontId="60" fillId="9" borderId="1" xfId="0" applyNumberFormat="1" applyFont="1" applyFill="1" applyBorder="1" applyAlignment="1">
      <alignment horizontal="center" vertical="center" wrapText="1"/>
    </xf>
    <xf numFmtId="0" fontId="61" fillId="9" borderId="1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0" fontId="29" fillId="2" borderId="0" xfId="0" applyFont="1" applyFill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5" fillId="0" borderId="1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7" borderId="15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38" fillId="0" borderId="0" xfId="0" applyFont="1"/>
    <xf numFmtId="0" fontId="4" fillId="11" borderId="0" xfId="0" applyFont="1" applyFill="1" applyAlignment="1">
      <alignment horizontal="center"/>
    </xf>
    <xf numFmtId="0" fontId="0" fillId="11" borderId="1" xfId="0" applyFill="1" applyBorder="1"/>
    <xf numFmtId="0" fontId="29" fillId="2" borderId="12" xfId="0" applyFont="1" applyFill="1" applyBorder="1" applyAlignment="1" applyProtection="1">
      <alignment horizontal="center" vertical="center"/>
      <protection locked="0"/>
    </xf>
    <xf numFmtId="0" fontId="39" fillId="0" borderId="3" xfId="0" applyFont="1" applyBorder="1"/>
    <xf numFmtId="0" fontId="69" fillId="2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70" fillId="0" borderId="0" xfId="0" applyFont="1"/>
    <xf numFmtId="0" fontId="71" fillId="2" borderId="1" xfId="0" applyFont="1" applyFill="1" applyBorder="1" applyAlignment="1" applyProtection="1">
      <alignment horizontal="center" vertical="center"/>
      <protection locked="0"/>
    </xf>
    <xf numFmtId="0" fontId="72" fillId="0" borderId="0" xfId="0" applyFont="1"/>
    <xf numFmtId="0" fontId="5" fillId="0" borderId="11" xfId="0" applyFont="1" applyBorder="1"/>
    <xf numFmtId="0" fontId="42" fillId="2" borderId="1" xfId="0" applyFont="1" applyFill="1" applyBorder="1" applyAlignment="1" applyProtection="1">
      <alignment horizontal="center" vertical="center"/>
      <protection locked="0"/>
    </xf>
    <xf numFmtId="0" fontId="4" fillId="7" borderId="13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0" xfId="0" applyFont="1" applyFill="1" applyAlignment="1">
      <alignment horizontal="center"/>
    </xf>
    <xf numFmtId="0" fontId="29" fillId="13" borderId="1" xfId="0" applyFont="1" applyFill="1" applyBorder="1" applyAlignment="1" applyProtection="1">
      <alignment horizontal="center" vertical="center"/>
      <protection locked="0"/>
    </xf>
    <xf numFmtId="0" fontId="61" fillId="13" borderId="1" xfId="0" applyFont="1" applyFill="1" applyBorder="1" applyAlignment="1" applyProtection="1">
      <alignment horizontal="center" vertical="center"/>
      <protection locked="0"/>
    </xf>
    <xf numFmtId="0" fontId="73" fillId="0" borderId="0" xfId="0" applyFont="1"/>
    <xf numFmtId="0" fontId="29" fillId="4" borderId="1" xfId="0" applyFont="1" applyFill="1" applyBorder="1" applyAlignment="1" applyProtection="1">
      <alignment horizontal="center" vertical="center"/>
      <protection locked="0"/>
    </xf>
    <xf numFmtId="0" fontId="39" fillId="0" borderId="0" xfId="0" applyFont="1"/>
    <xf numFmtId="0" fontId="2" fillId="7" borderId="12" xfId="0" applyFont="1" applyFill="1" applyBorder="1" applyAlignment="1">
      <alignment horizontal="center"/>
    </xf>
    <xf numFmtId="0" fontId="44" fillId="0" borderId="0" xfId="0" applyFont="1"/>
    <xf numFmtId="0" fontId="2" fillId="7" borderId="13" xfId="0" applyFont="1" applyFill="1" applyBorder="1" applyAlignment="1">
      <alignment horizontal="center"/>
    </xf>
    <xf numFmtId="0" fontId="29" fillId="14" borderId="1" xfId="0" applyFont="1" applyFill="1" applyBorder="1" applyAlignment="1" applyProtection="1">
      <alignment horizontal="center" vertical="center"/>
      <protection locked="0"/>
    </xf>
    <xf numFmtId="0" fontId="61" fillId="14" borderId="1" xfId="0" applyFont="1" applyFill="1" applyBorder="1" applyAlignment="1" applyProtection="1">
      <alignment horizontal="center" vertical="center"/>
      <protection locked="0"/>
    </xf>
    <xf numFmtId="177" fontId="4" fillId="0" borderId="0" xfId="0" applyNumberFormat="1" applyFont="1" applyProtection="1">
      <protection locked="0"/>
    </xf>
    <xf numFmtId="0" fontId="29" fillId="4" borderId="0" xfId="0" applyFont="1" applyFill="1" applyAlignment="1">
      <alignment horizontal="center" vertical="center"/>
    </xf>
    <xf numFmtId="176" fontId="59" fillId="7" borderId="1" xfId="0" applyNumberFormat="1" applyFont="1" applyFill="1" applyBorder="1" applyAlignment="1">
      <alignment horizontal="center" vertical="center" wrapText="1"/>
    </xf>
    <xf numFmtId="178" fontId="60" fillId="7" borderId="1" xfId="0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176" fontId="59" fillId="4" borderId="1" xfId="0" applyNumberFormat="1" applyFont="1" applyFill="1" applyBorder="1" applyAlignment="1">
      <alignment horizontal="center" vertical="center" wrapText="1"/>
    </xf>
    <xf numFmtId="178" fontId="60" fillId="4" borderId="1" xfId="0" applyNumberFormat="1" applyFont="1" applyFill="1" applyBorder="1" applyAlignment="1">
      <alignment horizontal="center" vertical="center" wrapText="1"/>
    </xf>
    <xf numFmtId="0" fontId="4" fillId="10" borderId="12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4" fillId="14" borderId="1" xfId="0" applyFont="1" applyFill="1" applyBorder="1" applyAlignment="1" applyProtection="1">
      <alignment horizontal="center" vertical="center"/>
      <protection locked="0"/>
    </xf>
    <xf numFmtId="0" fontId="29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66" fillId="0" borderId="0" xfId="0" applyFont="1" applyProtection="1">
      <protection locked="0"/>
    </xf>
    <xf numFmtId="0" fontId="2" fillId="0" borderId="1" xfId="0" applyFont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35" fillId="0" borderId="1" xfId="0" applyFont="1" applyBorder="1"/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0" fontId="23" fillId="0" borderId="0" xfId="0" applyFont="1"/>
    <xf numFmtId="14" fontId="0" fillId="0" borderId="0" xfId="0" applyNumberFormat="1"/>
    <xf numFmtId="0" fontId="4" fillId="0" borderId="17" xfId="0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3" fillId="0" borderId="1" xfId="0" applyFont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42" fillId="0" borderId="0" xfId="0" applyFont="1"/>
    <xf numFmtId="0" fontId="46" fillId="0" borderId="12" xfId="0" applyFont="1" applyBorder="1" applyAlignment="1">
      <alignment horizontal="center"/>
    </xf>
    <xf numFmtId="0" fontId="0" fillId="0" borderId="12" xfId="0" applyBorder="1"/>
    <xf numFmtId="0" fontId="13" fillId="0" borderId="0" xfId="0" applyFont="1"/>
    <xf numFmtId="0" fontId="4" fillId="7" borderId="17" xfId="0" applyFont="1" applyFill="1" applyBorder="1" applyAlignment="1">
      <alignment horizontal="center"/>
    </xf>
    <xf numFmtId="0" fontId="4" fillId="11" borderId="17" xfId="0" applyFont="1" applyFill="1" applyBorder="1" applyAlignment="1">
      <alignment horizontal="center"/>
    </xf>
    <xf numFmtId="0" fontId="75" fillId="2" borderId="1" xfId="0" applyFont="1" applyFill="1" applyBorder="1" applyAlignment="1" applyProtection="1">
      <alignment horizontal="center" vertical="center"/>
      <protection locked="0"/>
    </xf>
    <xf numFmtId="0" fontId="29" fillId="16" borderId="1" xfId="0" applyFont="1" applyFill="1" applyBorder="1" applyAlignment="1" applyProtection="1">
      <alignment horizontal="center" vertical="center"/>
      <protection locked="0"/>
    </xf>
    <xf numFmtId="0" fontId="29" fillId="17" borderId="1" xfId="0" applyFont="1" applyFill="1" applyBorder="1" applyAlignment="1">
      <alignment horizontal="center" vertical="center"/>
    </xf>
    <xf numFmtId="0" fontId="67" fillId="7" borderId="1" xfId="0" applyFont="1" applyFill="1" applyBorder="1" applyAlignment="1" applyProtection="1">
      <alignment horizontal="center" vertical="center"/>
      <protection locked="0"/>
    </xf>
    <xf numFmtId="0" fontId="4" fillId="7" borderId="1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61" fillId="7" borderId="1" xfId="0" applyFont="1" applyFill="1" applyBorder="1" applyAlignment="1" applyProtection="1">
      <alignment horizontal="center" vertical="center"/>
      <protection locked="0"/>
    </xf>
    <xf numFmtId="0" fontId="15" fillId="16" borderId="1" xfId="0" applyFont="1" applyFill="1" applyBorder="1" applyAlignment="1" applyProtection="1">
      <alignment horizontal="center" vertical="center"/>
      <protection locked="0"/>
    </xf>
    <xf numFmtId="0" fontId="29" fillId="18" borderId="1" xfId="0" applyFont="1" applyFill="1" applyBorder="1" applyAlignment="1" applyProtection="1">
      <alignment horizontal="center" vertical="center"/>
      <protection locked="0"/>
    </xf>
    <xf numFmtId="0" fontId="61" fillId="18" borderId="1" xfId="0" applyFont="1" applyFill="1" applyBorder="1" applyAlignment="1" applyProtection="1">
      <alignment horizontal="center" vertical="center"/>
      <protection locked="0"/>
    </xf>
    <xf numFmtId="0" fontId="15" fillId="18" borderId="1" xfId="0" applyFont="1" applyFill="1" applyBorder="1" applyAlignment="1" applyProtection="1">
      <alignment horizontal="center" vertical="center"/>
      <protection locked="0"/>
    </xf>
    <xf numFmtId="0" fontId="29" fillId="19" borderId="1" xfId="0" applyFont="1" applyFill="1" applyBorder="1" applyAlignment="1">
      <alignment horizontal="center" vertical="center"/>
    </xf>
    <xf numFmtId="0" fontId="36" fillId="19" borderId="1" xfId="0" applyFont="1" applyFill="1" applyBorder="1" applyAlignment="1" applyProtection="1">
      <alignment horizontal="center" vertical="center"/>
      <protection locked="0"/>
    </xf>
    <xf numFmtId="0" fontId="61" fillId="4" borderId="1" xfId="0" applyFont="1" applyFill="1" applyBorder="1" applyAlignment="1" applyProtection="1">
      <alignment horizontal="center" vertical="center"/>
      <protection locked="0"/>
    </xf>
    <xf numFmtId="0" fontId="29" fillId="4" borderId="1" xfId="0" applyFont="1" applyFill="1" applyBorder="1" applyAlignment="1">
      <alignment horizontal="center" vertical="center"/>
    </xf>
    <xf numFmtId="0" fontId="15" fillId="0" borderId="0" xfId="0" applyFont="1"/>
    <xf numFmtId="0" fontId="2" fillId="0" borderId="0" xfId="0" applyFont="1"/>
    <xf numFmtId="0" fontId="15" fillId="0" borderId="3" xfId="0" applyFont="1" applyBorder="1"/>
    <xf numFmtId="0" fontId="48" fillId="0" borderId="0" xfId="0" applyFont="1"/>
    <xf numFmtId="0" fontId="2" fillId="0" borderId="1" xfId="0" applyFont="1" applyBorder="1"/>
    <xf numFmtId="0" fontId="2" fillId="0" borderId="11" xfId="0" applyFont="1" applyBorder="1"/>
    <xf numFmtId="49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76" fillId="0" borderId="0" xfId="0" applyFont="1"/>
    <xf numFmtId="0" fontId="2" fillId="9" borderId="1" xfId="0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48" fillId="0" borderId="4" xfId="0" applyFont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49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77" fontId="15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2" fillId="9" borderId="1" xfId="0" applyFont="1" applyFill="1" applyBorder="1"/>
    <xf numFmtId="0" fontId="2" fillId="10" borderId="1" xfId="0" applyFont="1" applyFill="1" applyBorder="1"/>
    <xf numFmtId="0" fontId="48" fillId="0" borderId="1" xfId="0" applyFont="1" applyBorder="1"/>
    <xf numFmtId="0" fontId="2" fillId="11" borderId="1" xfId="0" applyFont="1" applyFill="1" applyBorder="1"/>
    <xf numFmtId="0" fontId="2" fillId="7" borderId="0" xfId="0" applyFont="1" applyFill="1" applyAlignment="1">
      <alignment horizontal="center"/>
    </xf>
    <xf numFmtId="0" fontId="77" fillId="0" borderId="1" xfId="0" applyFont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77" fillId="0" borderId="1" xfId="0" applyFont="1" applyBorder="1" applyAlignment="1">
      <alignment horizontal="center" vertical="center"/>
    </xf>
    <xf numFmtId="0" fontId="2" fillId="20" borderId="0" xfId="0" applyFont="1" applyFill="1"/>
    <xf numFmtId="0" fontId="2" fillId="11" borderId="1" xfId="0" applyFont="1" applyFill="1" applyBorder="1" applyAlignment="1">
      <alignment horizontal="center" vertical="center"/>
    </xf>
    <xf numFmtId="0" fontId="67" fillId="4" borderId="1" xfId="0" applyFont="1" applyFill="1" applyBorder="1" applyAlignment="1" applyProtection="1">
      <alignment horizontal="center" vertical="center"/>
      <protection locked="0"/>
    </xf>
    <xf numFmtId="0" fontId="0" fillId="19" borderId="0" xfId="0" applyFill="1"/>
    <xf numFmtId="0" fontId="18" fillId="19" borderId="1" xfId="0" applyFont="1" applyFill="1" applyBorder="1" applyAlignment="1">
      <alignment horizontal="center" vertical="center"/>
    </xf>
    <xf numFmtId="0" fontId="15" fillId="19" borderId="1" xfId="0" applyFont="1" applyFill="1" applyBorder="1" applyAlignment="1" applyProtection="1">
      <alignment horizontal="center" vertical="center"/>
      <protection locked="0"/>
    </xf>
    <xf numFmtId="0" fontId="5" fillId="19" borderId="1" xfId="0" applyFont="1" applyFill="1" applyBorder="1" applyAlignment="1">
      <alignment horizontal="center" vertical="center"/>
    </xf>
    <xf numFmtId="0" fontId="0" fillId="19" borderId="1" xfId="0" applyFill="1" applyBorder="1"/>
    <xf numFmtId="0" fontId="67" fillId="18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67" fillId="2" borderId="12" xfId="0" applyFont="1" applyFill="1" applyBorder="1" applyAlignment="1" applyProtection="1">
      <alignment horizontal="center" vertical="center"/>
      <protection locked="0"/>
    </xf>
    <xf numFmtId="0" fontId="29" fillId="0" borderId="0" xfId="0" applyFont="1"/>
    <xf numFmtId="0" fontId="6" fillId="7" borderId="0" xfId="0" applyFont="1" applyFill="1" applyAlignment="1" applyProtection="1">
      <alignment vertical="center"/>
      <protection locked="0"/>
    </xf>
    <xf numFmtId="0" fontId="18" fillId="0" borderId="18" xfId="0" applyFont="1" applyBorder="1" applyAlignment="1">
      <alignment horizontal="center" vertical="center"/>
    </xf>
    <xf numFmtId="176" fontId="28" fillId="2" borderId="1" xfId="0" applyNumberFormat="1" applyFont="1" applyFill="1" applyBorder="1" applyAlignment="1">
      <alignment horizontal="center" vertical="center" wrapText="1"/>
    </xf>
    <xf numFmtId="0" fontId="0" fillId="18" borderId="0" xfId="0" applyFill="1"/>
    <xf numFmtId="0" fontId="18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18" fillId="0" borderId="0" xfId="0" applyFont="1"/>
    <xf numFmtId="0" fontId="14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0" borderId="0" xfId="0" applyFont="1"/>
    <xf numFmtId="0" fontId="29" fillId="0" borderId="1" xfId="0" applyFont="1" applyBorder="1" applyAlignment="1">
      <alignment horizontal="center" vertical="center"/>
    </xf>
    <xf numFmtId="0" fontId="15" fillId="18" borderId="1" xfId="0" applyFon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67" fillId="21" borderId="1" xfId="0" applyFont="1" applyFill="1" applyBorder="1" applyAlignment="1">
      <alignment horizontal="center" vertical="center"/>
    </xf>
    <xf numFmtId="0" fontId="67" fillId="22" borderId="1" xfId="0" applyFont="1" applyFill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61" fillId="21" borderId="1" xfId="0" applyFont="1" applyFill="1" applyBorder="1" applyAlignment="1" applyProtection="1">
      <alignment horizontal="center" vertical="center"/>
      <protection locked="0"/>
    </xf>
    <xf numFmtId="0" fontId="61" fillId="22" borderId="1" xfId="0" applyFont="1" applyFill="1" applyBorder="1" applyAlignment="1" applyProtection="1">
      <alignment horizontal="center" vertical="center"/>
      <protection locked="0"/>
    </xf>
    <xf numFmtId="0" fontId="75" fillId="21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61" fillId="21" borderId="1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22" borderId="1" xfId="0" applyFont="1" applyFill="1" applyBorder="1" applyAlignment="1">
      <alignment horizontal="center" vertical="center"/>
    </xf>
    <xf numFmtId="0" fontId="78" fillId="0" borderId="1" xfId="0" applyFont="1" applyBorder="1" applyAlignment="1">
      <alignment horizontal="center" vertical="center"/>
    </xf>
    <xf numFmtId="0" fontId="78" fillId="7" borderId="1" xfId="0" applyFont="1" applyFill="1" applyBorder="1" applyAlignment="1">
      <alignment horizontal="center" vertical="center"/>
    </xf>
    <xf numFmtId="0" fontId="75" fillId="12" borderId="1" xfId="0" applyFont="1" applyFill="1" applyBorder="1" applyAlignment="1">
      <alignment horizontal="center" vertical="center"/>
    </xf>
    <xf numFmtId="0" fontId="79" fillId="22" borderId="1" xfId="0" applyFont="1" applyFill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18" fillId="18" borderId="1" xfId="0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center" vertical="center"/>
    </xf>
    <xf numFmtId="0" fontId="61" fillId="0" borderId="1" xfId="0" applyFont="1" applyBorder="1" applyAlignment="1" applyProtection="1">
      <alignment horizontal="center" vertical="center"/>
      <protection locked="0"/>
    </xf>
    <xf numFmtId="0" fontId="29" fillId="0" borderId="12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29" fillId="23" borderId="1" xfId="0" applyFont="1" applyFill="1" applyBorder="1" applyAlignment="1" applyProtection="1">
      <alignment horizontal="center" vertical="center"/>
      <protection locked="0"/>
    </xf>
    <xf numFmtId="0" fontId="61" fillId="23" borderId="1" xfId="0" applyFont="1" applyFill="1" applyBorder="1" applyAlignment="1" applyProtection="1">
      <alignment horizontal="center" vertical="center"/>
      <protection locked="0"/>
    </xf>
    <xf numFmtId="0" fontId="18" fillId="23" borderId="1" xfId="0" applyFont="1" applyFill="1" applyBorder="1" applyAlignment="1">
      <alignment horizontal="center" vertical="center"/>
    </xf>
    <xf numFmtId="0" fontId="67" fillId="23" borderId="1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vertical="center"/>
      <protection locked="0"/>
    </xf>
    <xf numFmtId="0" fontId="80" fillId="0" borderId="0" xfId="0" applyFont="1"/>
    <xf numFmtId="0" fontId="53" fillId="0" borderId="0" xfId="0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18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9" borderId="0" xfId="0" applyFill="1"/>
    <xf numFmtId="0" fontId="36" fillId="2" borderId="2" xfId="0" applyFont="1" applyFill="1" applyBorder="1" applyAlignment="1" applyProtection="1">
      <alignment horizontal="center" vertical="center"/>
      <protection locked="0"/>
    </xf>
    <xf numFmtId="0" fontId="18" fillId="9" borderId="0" xfId="0" applyFont="1" applyFill="1" applyAlignment="1">
      <alignment horizontal="center" vertical="center"/>
    </xf>
    <xf numFmtId="0" fontId="29" fillId="9" borderId="0" xfId="0" applyFont="1" applyFill="1" applyAlignment="1" applyProtection="1">
      <alignment horizontal="center" vertical="center"/>
      <protection locked="0"/>
    </xf>
    <xf numFmtId="0" fontId="61" fillId="9" borderId="0" xfId="0" applyFont="1" applyFill="1" applyAlignment="1" applyProtection="1">
      <alignment horizontal="center" vertical="center"/>
      <protection locked="0"/>
    </xf>
    <xf numFmtId="0" fontId="15" fillId="9" borderId="0" xfId="0" applyFont="1" applyFill="1" applyAlignment="1" applyProtection="1">
      <alignment horizontal="center" vertical="center"/>
      <protection locked="0"/>
    </xf>
    <xf numFmtId="0" fontId="5" fillId="9" borderId="1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75" fillId="9" borderId="1" xfId="0" applyFont="1" applyFill="1" applyBorder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center"/>
    </xf>
    <xf numFmtId="0" fontId="67" fillId="9" borderId="1" xfId="0" applyFont="1" applyFill="1" applyBorder="1" applyAlignment="1" applyProtection="1">
      <alignment horizontal="center" vertical="center"/>
      <protection locked="0"/>
    </xf>
    <xf numFmtId="0" fontId="29" fillId="0" borderId="1" xfId="0" applyFont="1" applyBorder="1" applyAlignment="1">
      <alignment horizontal="center"/>
    </xf>
    <xf numFmtId="0" fontId="82" fillId="7" borderId="1" xfId="0" applyFont="1" applyFill="1" applyBorder="1" applyAlignment="1">
      <alignment horizontal="center"/>
    </xf>
    <xf numFmtId="0" fontId="82" fillId="0" borderId="1" xfId="0" applyFont="1" applyBorder="1" applyAlignment="1">
      <alignment horizontal="center"/>
    </xf>
    <xf numFmtId="0" fontId="82" fillId="7" borderId="0" xfId="0" applyFont="1" applyFill="1" applyAlignment="1">
      <alignment horizontal="center"/>
    </xf>
    <xf numFmtId="0" fontId="82" fillId="0" borderId="4" xfId="0" applyFont="1" applyBorder="1" applyAlignment="1">
      <alignment horizontal="center"/>
    </xf>
    <xf numFmtId="0" fontId="83" fillId="0" borderId="4" xfId="0" applyFont="1" applyBorder="1" applyAlignment="1">
      <alignment horizontal="center"/>
    </xf>
    <xf numFmtId="0" fontId="82" fillId="7" borderId="4" xfId="0" applyFont="1" applyFill="1" applyBorder="1" applyAlignment="1">
      <alignment horizontal="center"/>
    </xf>
    <xf numFmtId="0" fontId="82" fillId="9" borderId="0" xfId="0" applyFont="1" applyFill="1" applyAlignment="1">
      <alignment horizontal="center"/>
    </xf>
    <xf numFmtId="0" fontId="82" fillId="9" borderId="1" xfId="0" applyFont="1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84" fillId="9" borderId="1" xfId="0" applyFont="1" applyFill="1" applyBorder="1" applyAlignment="1" applyProtection="1">
      <alignment horizontal="center" vertical="center"/>
      <protection locked="0"/>
    </xf>
    <xf numFmtId="0" fontId="79" fillId="2" borderId="1" xfId="0" applyFont="1" applyFill="1" applyBorder="1" applyAlignment="1" applyProtection="1">
      <alignment horizontal="center" vertical="center"/>
      <protection locked="0"/>
    </xf>
    <xf numFmtId="0" fontId="8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Protection="1">
      <protection locked="0"/>
    </xf>
    <xf numFmtId="0" fontId="16" fillId="0" borderId="1" xfId="0" applyFont="1" applyBorder="1" applyProtection="1">
      <protection locked="0"/>
    </xf>
    <xf numFmtId="0" fontId="4" fillId="0" borderId="1" xfId="0" applyFont="1" applyBorder="1" applyProtection="1">
      <protection locked="0"/>
    </xf>
    <xf numFmtId="0" fontId="66" fillId="0" borderId="1" xfId="0" applyFont="1" applyBorder="1" applyProtection="1">
      <protection locked="0"/>
    </xf>
    <xf numFmtId="14" fontId="0" fillId="0" borderId="0" xfId="0" applyNumberFormat="1" applyAlignment="1">
      <alignment horizontal="center" vertical="center"/>
    </xf>
    <xf numFmtId="178" fontId="0" fillId="0" borderId="0" xfId="0" applyNumberFormat="1"/>
    <xf numFmtId="0" fontId="64" fillId="0" borderId="0" xfId="0" applyFont="1"/>
    <xf numFmtId="0" fontId="65" fillId="0" borderId="0" xfId="0" applyFont="1"/>
    <xf numFmtId="0" fontId="18" fillId="0" borderId="1" xfId="0" quotePrefix="1" applyFont="1" applyBorder="1" applyAlignment="1">
      <alignment horizontal="center" vertical="center"/>
    </xf>
    <xf numFmtId="0" fontId="54" fillId="0" borderId="0" xfId="0" applyFont="1"/>
    <xf numFmtId="0" fontId="14" fillId="0" borderId="0" xfId="0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7" fillId="24" borderId="29" xfId="0" applyFont="1" applyFill="1" applyBorder="1" applyAlignment="1">
      <alignment horizontal="center" vertical="center"/>
    </xf>
    <xf numFmtId="0" fontId="77" fillId="24" borderId="30" xfId="0" applyFont="1" applyFill="1" applyBorder="1" applyAlignment="1">
      <alignment horizontal="center" vertical="center"/>
    </xf>
    <xf numFmtId="0" fontId="77" fillId="24" borderId="31" xfId="0" applyFont="1" applyFill="1" applyBorder="1" applyAlignment="1">
      <alignment horizontal="center" vertical="center"/>
    </xf>
    <xf numFmtId="0" fontId="26" fillId="0" borderId="1" xfId="0" applyFont="1" applyBorder="1" applyAlignment="1" applyProtection="1">
      <alignment horizontal="center" vertical="center"/>
      <protection locked="0"/>
    </xf>
    <xf numFmtId="0" fontId="5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86" fillId="2" borderId="1" xfId="0" applyFont="1" applyFill="1" applyBorder="1" applyAlignment="1" applyProtection="1">
      <alignment horizontal="center" vertical="center"/>
      <protection locked="0"/>
    </xf>
    <xf numFmtId="14" fontId="4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82" fillId="24" borderId="29" xfId="0" applyFont="1" applyFill="1" applyBorder="1" applyAlignment="1">
      <alignment horizontal="center" vertical="center"/>
    </xf>
    <xf numFmtId="0" fontId="82" fillId="24" borderId="30" xfId="0" applyFont="1" applyFill="1" applyBorder="1" applyAlignment="1">
      <alignment horizontal="center" vertical="center"/>
    </xf>
    <xf numFmtId="0" fontId="82" fillId="24" borderId="31" xfId="0" applyFont="1" applyFill="1" applyBorder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49" fontId="0" fillId="0" borderId="0" xfId="0" applyNumberFormat="1"/>
    <xf numFmtId="0" fontId="36" fillId="0" borderId="0" xfId="0" applyFont="1" applyAlignment="1" applyProtection="1">
      <alignment horizontal="center" vertical="center"/>
      <protection locked="0"/>
    </xf>
    <xf numFmtId="0" fontId="61" fillId="25" borderId="1" xfId="0" applyFont="1" applyFill="1" applyBorder="1" applyAlignment="1" applyProtection="1">
      <alignment horizontal="center" vertical="center"/>
      <protection locked="0"/>
    </xf>
    <xf numFmtId="0" fontId="15" fillId="25" borderId="1" xfId="0" applyFont="1" applyFill="1" applyBorder="1" applyAlignment="1" applyProtection="1">
      <alignment horizontal="center" vertical="center"/>
      <protection locked="0"/>
    </xf>
    <xf numFmtId="0" fontId="57" fillId="0" borderId="1" xfId="0" applyFont="1" applyBorder="1" applyAlignment="1" applyProtection="1">
      <alignment vertical="center"/>
      <protection locked="0"/>
    </xf>
    <xf numFmtId="0" fontId="58" fillId="0" borderId="1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61" fillId="26" borderId="1" xfId="0" applyFont="1" applyFill="1" applyBorder="1" applyAlignment="1" applyProtection="1">
      <alignment horizontal="center" vertical="center"/>
      <protection locked="0"/>
    </xf>
    <xf numFmtId="0" fontId="4" fillId="27" borderId="1" xfId="0" applyFont="1" applyFill="1" applyBorder="1" applyAlignment="1" applyProtection="1">
      <alignment horizontal="center" vertical="center"/>
      <protection locked="0"/>
    </xf>
    <xf numFmtId="176" fontId="59" fillId="27" borderId="1" xfId="0" applyNumberFormat="1" applyFont="1" applyFill="1" applyBorder="1" applyAlignment="1">
      <alignment horizontal="center" vertical="center" wrapText="1"/>
    </xf>
    <xf numFmtId="178" fontId="60" fillId="27" borderId="1" xfId="0" applyNumberFormat="1" applyFont="1" applyFill="1" applyBorder="1" applyAlignment="1">
      <alignment horizontal="center" vertical="center" wrapText="1"/>
    </xf>
    <xf numFmtId="0" fontId="61" fillId="27" borderId="1" xfId="0" applyFont="1" applyFill="1" applyBorder="1" applyAlignment="1" applyProtection="1">
      <alignment horizontal="center" vertical="center"/>
      <protection locked="0"/>
    </xf>
    <xf numFmtId="176" fontId="59" fillId="0" borderId="1" xfId="0" applyNumberFormat="1" applyFont="1" applyBorder="1" applyAlignment="1">
      <alignment horizontal="center" vertical="center" wrapText="1"/>
    </xf>
    <xf numFmtId="178" fontId="60" fillId="0" borderId="1" xfId="0" applyNumberFormat="1" applyFont="1" applyBorder="1" applyAlignment="1">
      <alignment horizontal="center" vertical="center" wrapText="1"/>
    </xf>
    <xf numFmtId="0" fontId="61" fillId="28" borderId="1" xfId="0" applyFont="1" applyFill="1" applyBorder="1" applyAlignment="1" applyProtection="1">
      <alignment horizontal="center" vertical="center"/>
      <protection locked="0"/>
    </xf>
    <xf numFmtId="0" fontId="29" fillId="28" borderId="1" xfId="0" applyFont="1" applyFill="1" applyBorder="1" applyAlignment="1" applyProtection="1">
      <alignment horizontal="center" vertical="center"/>
      <protection locked="0"/>
    </xf>
    <xf numFmtId="0" fontId="67" fillId="28" borderId="1" xfId="0" applyFont="1" applyFill="1" applyBorder="1" applyAlignment="1" applyProtection="1">
      <alignment horizontal="center" vertical="center"/>
      <protection locked="0"/>
    </xf>
    <xf numFmtId="0" fontId="86" fillId="28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89" fillId="0" borderId="16" xfId="0" applyFont="1" applyBorder="1" applyAlignment="1">
      <alignment horizontal="left" vertical="center"/>
    </xf>
    <xf numFmtId="0" fontId="89" fillId="0" borderId="2" xfId="0" applyFont="1" applyBorder="1" applyAlignment="1">
      <alignment horizontal="left" vertical="center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5" fillId="0" borderId="0" xfId="0" applyFont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0" fontId="55" fillId="0" borderId="19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3" fillId="0" borderId="14" xfId="0" applyFont="1" applyBorder="1" applyAlignment="1">
      <alignment horizontal="left" vertical="center"/>
    </xf>
    <xf numFmtId="0" fontId="19" fillId="0" borderId="20" xfId="0" applyFont="1" applyBorder="1" applyAlignment="1">
      <alignment horizontal="left" vertical="center"/>
    </xf>
    <xf numFmtId="0" fontId="88" fillId="29" borderId="14" xfId="0" applyFont="1" applyFill="1" applyBorder="1" applyAlignment="1">
      <alignment horizontal="left" vertical="top" wrapText="1"/>
    </xf>
    <xf numFmtId="0" fontId="88" fillId="29" borderId="20" xfId="0" applyFont="1" applyFill="1" applyBorder="1" applyAlignment="1">
      <alignment horizontal="left" vertical="top" wrapText="1"/>
    </xf>
    <xf numFmtId="0" fontId="88" fillId="29" borderId="21" xfId="0" applyFont="1" applyFill="1" applyBorder="1" applyAlignment="1">
      <alignment horizontal="left" vertical="top" wrapText="1"/>
    </xf>
    <xf numFmtId="0" fontId="88" fillId="29" borderId="15" xfId="0" applyFont="1" applyFill="1" applyBorder="1" applyAlignment="1">
      <alignment horizontal="left" vertical="top" wrapText="1"/>
    </xf>
    <xf numFmtId="0" fontId="88" fillId="29" borderId="0" xfId="0" applyFont="1" applyFill="1" applyAlignment="1">
      <alignment horizontal="left" vertical="top" wrapText="1"/>
    </xf>
    <xf numFmtId="0" fontId="88" fillId="29" borderId="18" xfId="0" applyFont="1" applyFill="1" applyBorder="1" applyAlignment="1">
      <alignment horizontal="left" vertical="top" wrapText="1"/>
    </xf>
    <xf numFmtId="0" fontId="88" fillId="29" borderId="16" xfId="0" applyFont="1" applyFill="1" applyBorder="1" applyAlignment="1">
      <alignment horizontal="left" vertical="top" wrapText="1"/>
    </xf>
    <xf numFmtId="0" fontId="88" fillId="29" borderId="2" xfId="0" applyFont="1" applyFill="1" applyBorder="1" applyAlignment="1">
      <alignment horizontal="left" vertical="top" wrapText="1"/>
    </xf>
    <xf numFmtId="0" fontId="88" fillId="29" borderId="22" xfId="0" applyFont="1" applyFill="1" applyBorder="1" applyAlignment="1">
      <alignment horizontal="left" vertical="top" wrapText="1"/>
    </xf>
    <xf numFmtId="0" fontId="66" fillId="29" borderId="8" xfId="0" applyFont="1" applyFill="1" applyBorder="1" applyAlignment="1">
      <alignment horizontal="left" vertical="center" wrapText="1"/>
    </xf>
    <xf numFmtId="0" fontId="66" fillId="29" borderId="9" xfId="0" applyFont="1" applyFill="1" applyBorder="1" applyAlignment="1">
      <alignment horizontal="left" vertical="center" wrapText="1"/>
    </xf>
    <xf numFmtId="0" fontId="66" fillId="29" borderId="23" xfId="0" applyFont="1" applyFill="1" applyBorder="1" applyAlignment="1">
      <alignment horizontal="left" vertical="center" wrapText="1"/>
    </xf>
    <xf numFmtId="0" fontId="66" fillId="29" borderId="24" xfId="0" applyFont="1" applyFill="1" applyBorder="1" applyAlignment="1">
      <alignment horizontal="left" vertical="center" wrapText="1"/>
    </xf>
    <xf numFmtId="0" fontId="66" fillId="29" borderId="0" xfId="0" applyFont="1" applyFill="1" applyAlignment="1">
      <alignment horizontal="left" vertical="center" wrapText="1"/>
    </xf>
    <xf numFmtId="0" fontId="66" fillId="29" borderId="25" xfId="0" applyFont="1" applyFill="1" applyBorder="1" applyAlignment="1">
      <alignment horizontal="left" vertical="center" wrapText="1"/>
    </xf>
    <xf numFmtId="0" fontId="66" fillId="29" borderId="26" xfId="0" applyFont="1" applyFill="1" applyBorder="1" applyAlignment="1">
      <alignment horizontal="left" vertical="center" wrapText="1"/>
    </xf>
    <xf numFmtId="0" fontId="66" fillId="29" borderId="27" xfId="0" applyFont="1" applyFill="1" applyBorder="1" applyAlignment="1">
      <alignment horizontal="left" vertical="center" wrapText="1"/>
    </xf>
    <xf numFmtId="0" fontId="66" fillId="29" borderId="28" xfId="0" applyFont="1" applyFill="1" applyBorder="1" applyAlignment="1">
      <alignment horizontal="left" vertical="center" wrapText="1"/>
    </xf>
    <xf numFmtId="0" fontId="87" fillId="29" borderId="8" xfId="0" applyFont="1" applyFill="1" applyBorder="1" applyAlignment="1">
      <alignment horizontal="left" vertical="top"/>
    </xf>
    <xf numFmtId="0" fontId="87" fillId="29" borderId="9" xfId="0" applyFont="1" applyFill="1" applyBorder="1" applyAlignment="1">
      <alignment horizontal="left" vertical="top"/>
    </xf>
    <xf numFmtId="0" fontId="87" fillId="29" borderId="23" xfId="0" applyFont="1" applyFill="1" applyBorder="1" applyAlignment="1">
      <alignment horizontal="left" vertical="top"/>
    </xf>
    <xf numFmtId="0" fontId="87" fillId="29" borderId="24" xfId="0" applyFont="1" applyFill="1" applyBorder="1" applyAlignment="1">
      <alignment horizontal="left" vertical="top"/>
    </xf>
    <xf numFmtId="0" fontId="87" fillId="29" borderId="0" xfId="0" applyFont="1" applyFill="1" applyAlignment="1">
      <alignment horizontal="left" vertical="top"/>
    </xf>
    <xf numFmtId="0" fontId="87" fillId="29" borderId="25" xfId="0" applyFont="1" applyFill="1" applyBorder="1" applyAlignment="1">
      <alignment horizontal="left" vertical="top"/>
    </xf>
    <xf numFmtId="0" fontId="87" fillId="29" borderId="26" xfId="0" applyFont="1" applyFill="1" applyBorder="1" applyAlignment="1">
      <alignment horizontal="left" vertical="top"/>
    </xf>
    <xf numFmtId="0" fontId="87" fillId="29" borderId="27" xfId="0" applyFont="1" applyFill="1" applyBorder="1" applyAlignment="1">
      <alignment horizontal="left" vertical="top"/>
    </xf>
    <xf numFmtId="0" fontId="87" fillId="29" borderId="28" xfId="0" applyFont="1" applyFill="1" applyBorder="1" applyAlignment="1">
      <alignment horizontal="left" vertical="top"/>
    </xf>
    <xf numFmtId="0" fontId="89" fillId="0" borderId="15" xfId="0" applyFont="1" applyBorder="1" applyAlignment="1">
      <alignment horizontal="left" vertical="center"/>
    </xf>
    <xf numFmtId="0" fontId="89" fillId="0" borderId="0" xfId="0" applyFont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2" fillId="7" borderId="4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/>
    </xf>
    <xf numFmtId="0" fontId="22" fillId="7" borderId="1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0" fontId="35" fillId="0" borderId="1" xfId="0" applyFont="1" applyBorder="1"/>
    <xf numFmtId="0" fontId="21" fillId="0" borderId="5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62" fillId="0" borderId="4" xfId="0" applyFont="1" applyBorder="1" applyAlignment="1">
      <alignment horizontal="center"/>
    </xf>
    <xf numFmtId="0" fontId="62" fillId="0" borderId="17" xfId="0" applyFont="1" applyBorder="1" applyAlignment="1">
      <alignment horizontal="center"/>
    </xf>
    <xf numFmtId="0" fontId="22" fillId="7" borderId="17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/>
    <xf numFmtId="0" fontId="35" fillId="0" borderId="4" xfId="0" applyFont="1" applyBorder="1"/>
    <xf numFmtId="0" fontId="18" fillId="0" borderId="1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48" fillId="0" borderId="1" xfId="0" applyFont="1" applyBorder="1"/>
    <xf numFmtId="0" fontId="2" fillId="0" borderId="1" xfId="0" applyFont="1" applyBorder="1"/>
    <xf numFmtId="0" fontId="18" fillId="18" borderId="1" xfId="0" applyFont="1" applyFill="1" applyBorder="1" applyAlignment="1">
      <alignment horizontal="center" vertical="center"/>
    </xf>
    <xf numFmtId="0" fontId="4" fillId="0" borderId="0" xfId="0" applyFont="1"/>
    <xf numFmtId="0" fontId="62" fillId="18" borderId="1" xfId="0" applyFont="1" applyFill="1" applyBorder="1" applyAlignment="1">
      <alignment horizontal="center"/>
    </xf>
    <xf numFmtId="0" fontId="13" fillId="0" borderId="14" xfId="0" applyFont="1" applyBorder="1" applyAlignment="1">
      <alignment horizontal="left" vertical="center"/>
    </xf>
    <xf numFmtId="0" fontId="13" fillId="0" borderId="20" xfId="0" applyFont="1" applyBorder="1" applyAlignment="1">
      <alignment horizontal="left" vertical="center"/>
    </xf>
    <xf numFmtId="0" fontId="13" fillId="0" borderId="21" xfId="0" applyFont="1" applyBorder="1" applyAlignment="1">
      <alignment horizontal="left" vertical="center"/>
    </xf>
    <xf numFmtId="0" fontId="87" fillId="0" borderId="15" xfId="0" applyFont="1" applyBorder="1" applyAlignment="1">
      <alignment horizontal="left" vertical="center"/>
    </xf>
    <xf numFmtId="0" fontId="87" fillId="0" borderId="0" xfId="0" applyFont="1" applyAlignment="1">
      <alignment horizontal="left" vertical="center"/>
    </xf>
    <xf numFmtId="0" fontId="87" fillId="0" borderId="18" xfId="0" applyFont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0" borderId="16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6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</cellXfs>
  <cellStyles count="1">
    <cellStyle name="一般" xfId="0" builtinId="0"/>
  </cellStyles>
  <dxfs count="3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標楷體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indexed="11"/>
        </patternFill>
      </fill>
      <border>
        <left/>
        <right/>
        <top/>
        <bottom/>
      </border>
    </dxf>
    <dxf>
      <font>
        <condense val="0"/>
        <extend val="0"/>
        <color auto="1"/>
      </font>
      <fill>
        <patternFill>
          <bgColor rgb="FFFFCC00"/>
        </patternFill>
      </fill>
    </dxf>
    <dxf>
      <font>
        <b val="0"/>
        <i val="0"/>
        <condense val="0"/>
        <extend val="0"/>
        <color auto="1"/>
      </font>
      <fill>
        <patternFill patternType="solid">
          <bgColor rgb="FF00FF0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21547" name="Button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B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C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146050</xdr:colOff>
          <xdr:row>2</xdr:row>
          <xdr:rowOff>76200</xdr:rowOff>
        </xdr:from>
        <xdr:to>
          <xdr:col>43</xdr:col>
          <xdr:colOff>190500</xdr:colOff>
          <xdr:row>5</xdr:row>
          <xdr:rowOff>12700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4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F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146050</xdr:colOff>
          <xdr:row>2</xdr:row>
          <xdr:rowOff>76200</xdr:rowOff>
        </xdr:from>
        <xdr:to>
          <xdr:col>42</xdr:col>
          <xdr:colOff>190500</xdr:colOff>
          <xdr:row>5</xdr:row>
          <xdr:rowOff>12700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12700</xdr:colOff>
          <xdr:row>0</xdr:row>
          <xdr:rowOff>76200</xdr:rowOff>
        </xdr:from>
        <xdr:to>
          <xdr:col>41</xdr:col>
          <xdr:colOff>438150</xdr:colOff>
          <xdr:row>1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1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82550</xdr:colOff>
          <xdr:row>0</xdr:row>
          <xdr:rowOff>107950</xdr:rowOff>
        </xdr:from>
        <xdr:to>
          <xdr:col>35</xdr:col>
          <xdr:colOff>190500</xdr:colOff>
          <xdr:row>1</xdr:row>
          <xdr:rowOff>336550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1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215900</xdr:colOff>
          <xdr:row>0</xdr:row>
          <xdr:rowOff>107950</xdr:rowOff>
        </xdr:from>
        <xdr:to>
          <xdr:col>30</xdr:col>
          <xdr:colOff>209550</xdr:colOff>
          <xdr:row>1</xdr:row>
          <xdr:rowOff>298450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1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660400</xdr:colOff>
          <xdr:row>0</xdr:row>
          <xdr:rowOff>114300</xdr:rowOff>
        </xdr:from>
        <xdr:to>
          <xdr:col>63</xdr:col>
          <xdr:colOff>615950</xdr:colOff>
          <xdr:row>1</xdr:row>
          <xdr:rowOff>336550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1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計算配額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12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12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12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12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12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12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12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12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12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12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12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12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12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3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3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3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3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3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13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3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2408" name="Button 8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3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3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2410" name="Button 10" hidden="1">
              <a:extLst>
                <a:ext uri="{63B3BB69-23CF-44E3-9099-C40C66FF867C}">
                  <a14:compatExt spid="_x0000_s102410"/>
                </a:ext>
                <a:ext uri="{FF2B5EF4-FFF2-40B4-BE49-F238E27FC236}">
                  <a16:creationId xmlns:a16="http://schemas.microsoft.com/office/drawing/2014/main" id="{00000000-0008-0000-1300-00000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2411" name="Button 11" hidden="1">
              <a:extLst>
                <a:ext uri="{63B3BB69-23CF-44E3-9099-C40C66FF867C}">
                  <a14:compatExt spid="_x0000_s102411"/>
                </a:ext>
                <a:ext uri="{FF2B5EF4-FFF2-40B4-BE49-F238E27FC236}">
                  <a16:creationId xmlns:a16="http://schemas.microsoft.com/office/drawing/2014/main" id="{00000000-0008-0000-1300-00000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2412" name="Button 12" hidden="1">
              <a:extLst>
                <a:ext uri="{63B3BB69-23CF-44E3-9099-C40C66FF867C}">
                  <a14:compatExt spid="_x0000_s102412"/>
                </a:ext>
                <a:ext uri="{FF2B5EF4-FFF2-40B4-BE49-F238E27FC236}">
                  <a16:creationId xmlns:a16="http://schemas.microsoft.com/office/drawing/2014/main" id="{00000000-0008-0000-1300-00000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2413" name="Button 13" hidden="1">
              <a:extLst>
                <a:ext uri="{63B3BB69-23CF-44E3-9099-C40C66FF867C}">
                  <a14:compatExt spid="_x0000_s102413"/>
                </a:ext>
                <a:ext uri="{FF2B5EF4-FFF2-40B4-BE49-F238E27FC236}">
                  <a16:creationId xmlns:a16="http://schemas.microsoft.com/office/drawing/2014/main" id="{00000000-0008-0000-1300-00000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4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14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14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14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1400-00000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1400-00000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00000000-0008-0000-1400-00000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14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14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3434" name="Button 10" hidden="1">
              <a:extLst>
                <a:ext uri="{63B3BB69-23CF-44E3-9099-C40C66FF867C}">
                  <a14:compatExt spid="_x0000_s103434"/>
                </a:ext>
                <a:ext uri="{FF2B5EF4-FFF2-40B4-BE49-F238E27FC236}">
                  <a16:creationId xmlns:a16="http://schemas.microsoft.com/office/drawing/2014/main" id="{00000000-0008-0000-1400-00000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3435" name="Button 11" hidden="1">
              <a:extLst>
                <a:ext uri="{63B3BB69-23CF-44E3-9099-C40C66FF867C}">
                  <a14:compatExt spid="_x0000_s103435"/>
                </a:ext>
                <a:ext uri="{FF2B5EF4-FFF2-40B4-BE49-F238E27FC236}">
                  <a16:creationId xmlns:a16="http://schemas.microsoft.com/office/drawing/2014/main" id="{00000000-0008-0000-1400-00000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3436" name="Button 12" hidden="1">
              <a:extLst>
                <a:ext uri="{63B3BB69-23CF-44E3-9099-C40C66FF867C}">
                  <a14:compatExt spid="_x0000_s103436"/>
                </a:ext>
                <a:ext uri="{FF2B5EF4-FFF2-40B4-BE49-F238E27FC236}">
                  <a16:creationId xmlns:a16="http://schemas.microsoft.com/office/drawing/2014/main" id="{00000000-0008-0000-1400-00000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3437" name="Button 13" hidden="1">
              <a:extLst>
                <a:ext uri="{63B3BB69-23CF-44E3-9099-C40C66FF867C}">
                  <a14:compatExt spid="_x0000_s103437"/>
                </a:ext>
                <a:ext uri="{FF2B5EF4-FFF2-40B4-BE49-F238E27FC236}">
                  <a16:creationId xmlns:a16="http://schemas.microsoft.com/office/drawing/2014/main" id="{00000000-0008-0000-1400-00000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5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5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15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5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  <a:ext uri="{FF2B5EF4-FFF2-40B4-BE49-F238E27FC236}">
                  <a16:creationId xmlns:a16="http://schemas.microsoft.com/office/drawing/2014/main" id="{00000000-0008-0000-1500-00000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  <a:ext uri="{FF2B5EF4-FFF2-40B4-BE49-F238E27FC236}">
                  <a16:creationId xmlns:a16="http://schemas.microsoft.com/office/drawing/2014/main" id="{00000000-0008-0000-1500-00000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4455" name="Button 7" hidden="1">
              <a:extLst>
                <a:ext uri="{63B3BB69-23CF-44E3-9099-C40C66FF867C}">
                  <a14:compatExt spid="_x0000_s104455"/>
                </a:ext>
                <a:ext uri="{FF2B5EF4-FFF2-40B4-BE49-F238E27FC236}">
                  <a16:creationId xmlns:a16="http://schemas.microsoft.com/office/drawing/2014/main" id="{00000000-0008-0000-1500-00000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5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5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4458" name="Button 10" hidden="1">
              <a:extLst>
                <a:ext uri="{63B3BB69-23CF-44E3-9099-C40C66FF867C}">
                  <a14:compatExt spid="_x0000_s104458"/>
                </a:ext>
                <a:ext uri="{FF2B5EF4-FFF2-40B4-BE49-F238E27FC236}">
                  <a16:creationId xmlns:a16="http://schemas.microsoft.com/office/drawing/2014/main" id="{00000000-0008-0000-1500-00000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4459" name="Button 11" hidden="1">
              <a:extLst>
                <a:ext uri="{63B3BB69-23CF-44E3-9099-C40C66FF867C}">
                  <a14:compatExt spid="_x0000_s104459"/>
                </a:ext>
                <a:ext uri="{FF2B5EF4-FFF2-40B4-BE49-F238E27FC236}">
                  <a16:creationId xmlns:a16="http://schemas.microsoft.com/office/drawing/2014/main" id="{00000000-0008-0000-1500-00000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4460" name="Button 12" hidden="1">
              <a:extLst>
                <a:ext uri="{63B3BB69-23CF-44E3-9099-C40C66FF867C}">
                  <a14:compatExt spid="_x0000_s104460"/>
                </a:ext>
                <a:ext uri="{FF2B5EF4-FFF2-40B4-BE49-F238E27FC236}">
                  <a16:creationId xmlns:a16="http://schemas.microsoft.com/office/drawing/2014/main" id="{00000000-0008-0000-1500-00000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4461" name="Button 13" hidden="1">
              <a:extLst>
                <a:ext uri="{63B3BB69-23CF-44E3-9099-C40C66FF867C}">
                  <a14:compatExt spid="_x0000_s104461"/>
                </a:ext>
                <a:ext uri="{FF2B5EF4-FFF2-40B4-BE49-F238E27FC236}">
                  <a16:creationId xmlns:a16="http://schemas.microsoft.com/office/drawing/2014/main" id="{00000000-0008-0000-1500-00000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16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16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16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5477" name="Button 5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16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5478" name="Button 6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16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5479" name="Button 7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16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16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5482" name="Button 10" hidden="1">
              <a:extLst>
                <a:ext uri="{63B3BB69-23CF-44E3-9099-C40C66FF867C}">
                  <a14:compatExt spid="_x0000_s105482"/>
                </a:ext>
                <a:ext uri="{FF2B5EF4-FFF2-40B4-BE49-F238E27FC236}">
                  <a16:creationId xmlns:a16="http://schemas.microsoft.com/office/drawing/2014/main" id="{00000000-0008-0000-1600-00000A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5483" name="Button 11" hidden="1">
              <a:extLst>
                <a:ext uri="{63B3BB69-23CF-44E3-9099-C40C66FF867C}">
                  <a14:compatExt spid="_x0000_s105483"/>
                </a:ext>
                <a:ext uri="{FF2B5EF4-FFF2-40B4-BE49-F238E27FC236}">
                  <a16:creationId xmlns:a16="http://schemas.microsoft.com/office/drawing/2014/main" id="{00000000-0008-0000-1600-00000B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5484" name="Button 12" hidden="1">
              <a:extLst>
                <a:ext uri="{63B3BB69-23CF-44E3-9099-C40C66FF867C}">
                  <a14:compatExt spid="_x0000_s105484"/>
                </a:ext>
                <a:ext uri="{FF2B5EF4-FFF2-40B4-BE49-F238E27FC236}">
                  <a16:creationId xmlns:a16="http://schemas.microsoft.com/office/drawing/2014/main" id="{00000000-0008-0000-1600-00000C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5485" name="Button 13" hidden="1">
              <a:extLst>
                <a:ext uri="{63B3BB69-23CF-44E3-9099-C40C66FF867C}">
                  <a14:compatExt spid="_x0000_s105485"/>
                </a:ext>
                <a:ext uri="{FF2B5EF4-FFF2-40B4-BE49-F238E27FC236}">
                  <a16:creationId xmlns:a16="http://schemas.microsoft.com/office/drawing/2014/main" id="{00000000-0008-0000-1600-00000D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1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1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6501" name="Button 5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1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6502" name="Button 6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1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6503" name="Button 7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1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17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6506" name="Button 10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17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6507" name="Button 11" hidden="1">
              <a:extLst>
                <a:ext uri="{63B3BB69-23CF-44E3-9099-C40C66FF867C}">
                  <a14:compatExt spid="_x0000_s106507"/>
                </a:ext>
                <a:ext uri="{FF2B5EF4-FFF2-40B4-BE49-F238E27FC236}">
                  <a16:creationId xmlns:a16="http://schemas.microsoft.com/office/drawing/2014/main" id="{00000000-0008-0000-1700-00000B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6508" name="Button 12" hidden="1">
              <a:extLst>
                <a:ext uri="{63B3BB69-23CF-44E3-9099-C40C66FF867C}">
                  <a14:compatExt spid="_x0000_s106508"/>
                </a:ext>
                <a:ext uri="{FF2B5EF4-FFF2-40B4-BE49-F238E27FC236}">
                  <a16:creationId xmlns:a16="http://schemas.microsoft.com/office/drawing/2014/main" id="{00000000-0008-0000-1700-00000C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6509" name="Button 13" hidden="1">
              <a:extLst>
                <a:ext uri="{63B3BB69-23CF-44E3-9099-C40C66FF867C}">
                  <a14:compatExt spid="_x0000_s106509"/>
                </a:ext>
                <a:ext uri="{FF2B5EF4-FFF2-40B4-BE49-F238E27FC236}">
                  <a16:creationId xmlns:a16="http://schemas.microsoft.com/office/drawing/2014/main" id="{00000000-0008-0000-1700-00000D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1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1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1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1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1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1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7528" name="Button 8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1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7529" name="Button 9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18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18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7531" name="Button 11" hidden="1">
              <a:extLst>
                <a:ext uri="{63B3BB69-23CF-44E3-9099-C40C66FF867C}">
                  <a14:compatExt spid="_x0000_s107531"/>
                </a:ext>
                <a:ext uri="{FF2B5EF4-FFF2-40B4-BE49-F238E27FC236}">
                  <a16:creationId xmlns:a16="http://schemas.microsoft.com/office/drawing/2014/main" id="{00000000-0008-0000-1800-00000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7532" name="Button 12" hidden="1">
              <a:extLst>
                <a:ext uri="{63B3BB69-23CF-44E3-9099-C40C66FF867C}">
                  <a14:compatExt spid="_x0000_s107532"/>
                </a:ext>
                <a:ext uri="{FF2B5EF4-FFF2-40B4-BE49-F238E27FC236}">
                  <a16:creationId xmlns:a16="http://schemas.microsoft.com/office/drawing/2014/main" id="{00000000-0008-0000-1800-00000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7533" name="Button 13" hidden="1">
              <a:extLst>
                <a:ext uri="{63B3BB69-23CF-44E3-9099-C40C66FF867C}">
                  <a14:compatExt spid="_x0000_s107533"/>
                </a:ext>
                <a:ext uri="{FF2B5EF4-FFF2-40B4-BE49-F238E27FC236}">
                  <a16:creationId xmlns:a16="http://schemas.microsoft.com/office/drawing/2014/main" id="{00000000-0008-0000-1800-00000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9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9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19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19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  <a:ext uri="{FF2B5EF4-FFF2-40B4-BE49-F238E27FC236}">
                  <a16:creationId xmlns:a16="http://schemas.microsoft.com/office/drawing/2014/main" id="{00000000-0008-0000-1900-00000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  <a:ext uri="{FF2B5EF4-FFF2-40B4-BE49-F238E27FC236}">
                  <a16:creationId xmlns:a16="http://schemas.microsoft.com/office/drawing/2014/main" id="{00000000-0008-0000-1900-00000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  <a:ext uri="{FF2B5EF4-FFF2-40B4-BE49-F238E27FC236}">
                  <a16:creationId xmlns:a16="http://schemas.microsoft.com/office/drawing/2014/main" id="{00000000-0008-0000-1900-00000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8552" name="Button 8" hidden="1">
              <a:extLst>
                <a:ext uri="{63B3BB69-23CF-44E3-9099-C40C66FF867C}">
                  <a14:compatExt spid="_x0000_s108552"/>
                </a:ext>
                <a:ext uri="{FF2B5EF4-FFF2-40B4-BE49-F238E27FC236}">
                  <a16:creationId xmlns:a16="http://schemas.microsoft.com/office/drawing/2014/main" id="{00000000-0008-0000-1900-00000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19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8554" name="Button 10" hidden="1">
              <a:extLst>
                <a:ext uri="{63B3BB69-23CF-44E3-9099-C40C66FF867C}">
                  <a14:compatExt spid="_x0000_s108554"/>
                </a:ext>
                <a:ext uri="{FF2B5EF4-FFF2-40B4-BE49-F238E27FC236}">
                  <a16:creationId xmlns:a16="http://schemas.microsoft.com/office/drawing/2014/main" id="{00000000-0008-0000-1900-00000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8555" name="Button 11" hidden="1">
              <a:extLst>
                <a:ext uri="{63B3BB69-23CF-44E3-9099-C40C66FF867C}">
                  <a14:compatExt spid="_x0000_s108555"/>
                </a:ext>
                <a:ext uri="{FF2B5EF4-FFF2-40B4-BE49-F238E27FC236}">
                  <a16:creationId xmlns:a16="http://schemas.microsoft.com/office/drawing/2014/main" id="{00000000-0008-0000-1900-00000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8556" name="Button 12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19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8557" name="Button 13" hidden="1">
              <a:extLst>
                <a:ext uri="{63B3BB69-23CF-44E3-9099-C40C66FF867C}">
                  <a14:compatExt spid="_x0000_s108557"/>
                </a:ext>
                <a:ext uri="{FF2B5EF4-FFF2-40B4-BE49-F238E27FC236}">
                  <a16:creationId xmlns:a16="http://schemas.microsoft.com/office/drawing/2014/main" id="{00000000-0008-0000-1900-00000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863600</xdr:colOff>
          <xdr:row>0</xdr:row>
          <xdr:rowOff>38100</xdr:rowOff>
        </xdr:from>
        <xdr:to>
          <xdr:col>41</xdr:col>
          <xdr:colOff>673100</xdr:colOff>
          <xdr:row>1</xdr:row>
          <xdr:rowOff>419100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A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新增下個月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520700</xdr:colOff>
          <xdr:row>0</xdr:row>
          <xdr:rowOff>44450</xdr:rowOff>
        </xdr:from>
        <xdr:to>
          <xdr:col>37</xdr:col>
          <xdr:colOff>400050</xdr:colOff>
          <xdr:row>2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1A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非在職9A註記區域開關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0</xdr:row>
          <xdr:rowOff>57150</xdr:rowOff>
        </xdr:from>
        <xdr:to>
          <xdr:col>32</xdr:col>
          <xdr:colOff>349250</xdr:colOff>
          <xdr:row>1</xdr:row>
          <xdr:rowOff>304800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1A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顯示/隱藏非在職人員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2</xdr:row>
          <xdr:rowOff>0</xdr:rowOff>
        </xdr:from>
        <xdr:to>
          <xdr:col>62</xdr:col>
          <xdr:colOff>1454150</xdr:colOff>
          <xdr:row>3</xdr:row>
          <xdr:rowOff>196850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1A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2.計算配額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26</xdr:row>
          <xdr:rowOff>95250</xdr:rowOff>
        </xdr:from>
        <xdr:to>
          <xdr:col>41</xdr:col>
          <xdr:colOff>596900</xdr:colOff>
          <xdr:row>26</xdr:row>
          <xdr:rowOff>1193800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1A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填入預班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26</xdr:row>
          <xdr:rowOff>152400</xdr:rowOff>
        </xdr:from>
        <xdr:to>
          <xdr:col>36</xdr:col>
          <xdr:colOff>806450</xdr:colOff>
          <xdr:row>26</xdr:row>
          <xdr:rowOff>1117600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1A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933450</xdr:colOff>
          <xdr:row>18</xdr:row>
          <xdr:rowOff>133350</xdr:rowOff>
        </xdr:from>
        <xdr:to>
          <xdr:col>62</xdr:col>
          <xdr:colOff>285750</xdr:colOff>
          <xdr:row>21</xdr:row>
          <xdr:rowOff>228600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1A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26</xdr:row>
          <xdr:rowOff>152400</xdr:rowOff>
        </xdr:from>
        <xdr:to>
          <xdr:col>33</xdr:col>
          <xdr:colOff>793750</xdr:colOff>
          <xdr:row>26</xdr:row>
          <xdr:rowOff>1162050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1A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63500</xdr:colOff>
          <xdr:row>4</xdr:row>
          <xdr:rowOff>139700</xdr:rowOff>
        </xdr:from>
        <xdr:to>
          <xdr:col>53</xdr:col>
          <xdr:colOff>406400</xdr:colOff>
          <xdr:row>6</xdr:row>
          <xdr:rowOff>114300</xdr:rowOff>
        </xdr:to>
        <xdr:sp macro="" textlink="">
          <xdr:nvSpPr>
            <xdr:cNvPr id="109577" name="Button 9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1A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回班表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6</xdr:row>
          <xdr:rowOff>336550</xdr:rowOff>
        </xdr:from>
        <xdr:to>
          <xdr:col>53</xdr:col>
          <xdr:colOff>425450</xdr:colOff>
          <xdr:row>8</xdr:row>
          <xdr:rowOff>285750</xdr:rowOff>
        </xdr:to>
        <xdr:sp macro="" textlink="">
          <xdr:nvSpPr>
            <xdr:cNvPr id="109578" name="Button 10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1A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設定輪序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3479800</xdr:colOff>
          <xdr:row>6</xdr:row>
          <xdr:rowOff>355600</xdr:rowOff>
        </xdr:from>
        <xdr:to>
          <xdr:col>51</xdr:col>
          <xdr:colOff>2870200</xdr:colOff>
          <xdr:row>8</xdr:row>
          <xdr:rowOff>336550</xdr:rowOff>
        </xdr:to>
        <xdr:sp macro="" textlink="">
          <xdr:nvSpPr>
            <xdr:cNvPr id="109579" name="Button 11" hidden="1">
              <a:extLst>
                <a:ext uri="{63B3BB69-23CF-44E3-9099-C40C66FF867C}">
                  <a14:compatExt spid="_x0000_s109579"/>
                </a:ext>
                <a:ext uri="{FF2B5EF4-FFF2-40B4-BE49-F238E27FC236}">
                  <a16:creationId xmlns:a16="http://schemas.microsoft.com/office/drawing/2014/main" id="{00000000-0008-0000-1A00-00000B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清除後半月人力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387350</xdr:colOff>
          <xdr:row>0</xdr:row>
          <xdr:rowOff>69850</xdr:rowOff>
        </xdr:from>
        <xdr:to>
          <xdr:col>27</xdr:col>
          <xdr:colOff>292100</xdr:colOff>
          <xdr:row>1</xdr:row>
          <xdr:rowOff>298450</xdr:rowOff>
        </xdr:to>
        <xdr:sp macro="" textlink="">
          <xdr:nvSpPr>
            <xdr:cNvPr id="109580" name="Button 12" hidden="1">
              <a:extLst>
                <a:ext uri="{63B3BB69-23CF-44E3-9099-C40C66FF867C}">
                  <a14:compatExt spid="_x0000_s109580"/>
                </a:ext>
                <a:ext uri="{FF2B5EF4-FFF2-40B4-BE49-F238E27FC236}">
                  <a16:creationId xmlns:a16="http://schemas.microsoft.com/office/drawing/2014/main" id="{00000000-0008-0000-1A00-00000C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清空排班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31750</xdr:colOff>
          <xdr:row>0</xdr:row>
          <xdr:rowOff>44450</xdr:rowOff>
        </xdr:from>
        <xdr:to>
          <xdr:col>62</xdr:col>
          <xdr:colOff>1454150</xdr:colOff>
          <xdr:row>1</xdr:row>
          <xdr:rowOff>260350</xdr:rowOff>
        </xdr:to>
        <xdr:sp macro="" textlink="">
          <xdr:nvSpPr>
            <xdr:cNvPr id="109581" name="Button 13" hidden="1">
              <a:extLst>
                <a:ext uri="{63B3BB69-23CF-44E3-9099-C40C66FF867C}">
                  <a14:compatExt spid="_x0000_s109581"/>
                </a:ext>
                <a:ext uri="{FF2B5EF4-FFF2-40B4-BE49-F238E27FC236}">
                  <a16:creationId xmlns:a16="http://schemas.microsoft.com/office/drawing/2014/main" id="{00000000-0008-0000-1A00-00000D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1.更新輪序標記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519a10\9A10\Users\CGH\Downloads\202419A&#20540;&#29677;&#38928;&#29677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519a10\9A10\Users\CGH\Downloads\9AB&#20116;&#26376;&#30906;&#23450;&#29677;&#34920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519a10\9A10\Users\CGH\Downloads\&#20845;&#26376;9A9B%20&#30906;&#23450;&#29677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41"/>
      <sheetName val="202402"/>
      <sheetName val="20243"/>
      <sheetName val="20244"/>
      <sheetName val="20245"/>
      <sheetName val="20246"/>
      <sheetName val="20247"/>
      <sheetName val="20248"/>
      <sheetName val="20249"/>
      <sheetName val="202410"/>
      <sheetName val="202411"/>
      <sheetName val="202412"/>
      <sheetName val="202419A值班預班表"/>
    </sheetNames>
    <definedNames>
      <definedName name="複製並重命名工作表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306"/>
      <sheetName val="11307"/>
      <sheetName val="11308"/>
      <sheetName val="11309"/>
      <sheetName val="11310-1"/>
      <sheetName val="11311"/>
      <sheetName val="11312 (2)"/>
      <sheetName val="20251"/>
      <sheetName val="20252"/>
      <sheetName val="20253"/>
      <sheetName val="20254"/>
      <sheetName val="20255"/>
      <sheetName val="20256"/>
      <sheetName val="20257"/>
      <sheetName val="20258"/>
      <sheetName val="20259"/>
      <sheetName val="202510"/>
      <sheetName val="202511"/>
      <sheetName val="9AB五月確定班表"/>
    </sheetNames>
    <definedNames>
      <definedName name="複製並重命名工作表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306"/>
      <sheetName val="11307"/>
      <sheetName val="11308"/>
      <sheetName val="11309"/>
      <sheetName val="11310-1"/>
      <sheetName val="11311"/>
      <sheetName val="11312 (2)"/>
      <sheetName val="20251"/>
      <sheetName val="20252"/>
      <sheetName val="20253"/>
      <sheetName val="20254"/>
      <sheetName val="20255"/>
      <sheetName val="20256"/>
      <sheetName val="20257"/>
      <sheetName val="20258"/>
      <sheetName val="20259"/>
      <sheetName val="202510"/>
      <sheetName val="202511"/>
      <sheetName val="六月9A9B 確定班表"/>
    </sheetNames>
    <definedNames>
      <definedName name="複製並重命名工作表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E3F2AB0-9A18-4941-A46A-2F74FC113013}" name="名單" displayName="名單" ref="BJ5:BT17" totalsRowShown="0" headerRowDxfId="612" dataDxfId="611">
  <autoFilter ref="BJ5:BT17" xr:uid="{97C2F04E-C3D8-4CB3-9B74-710C98EE7EBF}"/>
  <tableColumns count="11">
    <tableColumn id="1" xr3:uid="{00000000-0010-0000-0100-000001000000}" name="在職9A" dataDxfId="610"/>
    <tableColumn id="2" xr3:uid="{00000000-0010-0000-0100-000002000000}" name="姓名" dataDxfId="609"/>
    <tableColumn id="4" xr3:uid="{00000000-0010-0000-0100-000004000000}" name="支援護理師註記" dataDxfId="608"/>
    <tableColumn id="13" xr3:uid="{00000000-0010-0000-0100-00000D000000}" name="輪序開頭註記" dataDxfId="607"/>
    <tableColumn id="9" xr3:uid="{00000000-0010-0000-0100-000009000000}" name="D輪序" dataDxfId="606"/>
    <tableColumn id="15" xr3:uid="{00000000-0010-0000-0100-00000F000000}" name="輪序開頭註記2" dataDxfId="605"/>
    <tableColumn id="10" xr3:uid="{00000000-0010-0000-0100-00000A000000}" name="N輪序" dataDxfId="604"/>
    <tableColumn id="16" xr3:uid="{00000000-0010-0000-0100-000010000000}" name="輪序開頭註記3" dataDxfId="603"/>
    <tableColumn id="11" xr3:uid="{00000000-0010-0000-0100-00000B000000}" name="OFF輪序" dataDxfId="602"/>
    <tableColumn id="17" xr3:uid="{00000000-0010-0000-0100-000011000000}" name="輪序開頭註記4" dataDxfId="601"/>
    <tableColumn id="12" xr3:uid="{00000000-0010-0000-0100-00000C000000}" name="W6OFF輪序" dataDxfId="6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BB630C3-71B2-4FCC-8DC2-2EB6B2F3BFD1}" name="表格35" displayName="表格35" ref="AW1:AY5" totalsRowCount="1" headerRowDxfId="599" dataDxfId="598" totalsRowDxfId="597">
  <autoFilter ref="AW1:AY4" xr:uid="{59A794A0-5D3F-438D-B94F-AE32B1A662BE}"/>
  <tableColumns count="3">
    <tableColumn id="1" xr3:uid="{00000000-0010-0000-0300-000001000000}" name="班別" dataDxfId="596" totalsRowDxfId="595"/>
    <tableColumn id="2" xr3:uid="{00000000-0010-0000-0300-000002000000}" name="當月人力" totalsRowFunction="sum" dataDxfId="594" totalsRowDxfId="593"/>
    <tableColumn id="4" xr3:uid="{00000000-0010-0000-0300-000004000000}" name="當月人力(後半)" totalsRowFunction="sum" dataDxfId="592" totalsRowDxfId="59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90B279D-01AB-452E-A8B3-E15510A14742}" name="表格36" displayName="表格36" ref="BA1:BH3" totalsRowShown="0" headerRowDxfId="590" dataDxfId="589">
  <autoFilter ref="BA1:BH3" xr:uid="{9FE88343-94E6-4F83-A5DF-AE192A6AD9A8}"/>
  <tableColumns count="8">
    <tableColumn id="1" xr3:uid="{00000000-0010-0000-0500-000001000000}" name="欄1" dataDxfId="588"/>
    <tableColumn id="2" xr3:uid="{00000000-0010-0000-0500-000002000000}" name="當月N" dataDxfId="587"/>
    <tableColumn id="3" xr3:uid="{00000000-0010-0000-0500-000003000000}" name="當月D" dataDxfId="586"/>
    <tableColumn id="4" xr3:uid="{00000000-0010-0000-0500-000004000000}" name="當月星期六 OFF" dataDxfId="585"/>
    <tableColumn id="5" xr3:uid="{00000000-0010-0000-0500-000005000000}" name="當月星期日 OFF" dataDxfId="584"/>
    <tableColumn id="8" xr3:uid="{00000000-0010-0000-0500-000008000000}" name="平日OFF" dataDxfId="583"/>
    <tableColumn id="6" xr3:uid="{00000000-0010-0000-0500-000006000000}" name="當月OFF(平日+六+日)" dataDxfId="582"/>
    <tableColumn id="7" xr3:uid="{00000000-0010-0000-0500-000007000000}" name="當月國定假日" dataDxfId="58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37449C3D-0076-49A1-AD49-CA6839B7EE6C}" name="表格97" displayName="表格97" ref="AR4:AU17" totalsRowShown="0" dataDxfId="580">
  <autoFilter ref="AR4:AU17" xr:uid="{C1B8347F-16AE-460E-8577-D1FD168E9F5F}"/>
  <tableColumns count="4">
    <tableColumn id="1" xr3:uid="{00000000-0010-0000-0700-000001000000}" name="欄1" dataDxfId="579"/>
    <tableColumn id="2" xr3:uid="{00000000-0010-0000-0700-000002000000}" name="欄2" dataDxfId="578"/>
    <tableColumn id="3" xr3:uid="{00000000-0010-0000-0700-000003000000}" name="欄3" dataDxfId="577"/>
    <tableColumn id="4" xr3:uid="{00000000-0010-0000-0700-000004000000}" name="欄4" dataDxfId="5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84D6A530-033A-4448-A89C-524BE37553B4}" name="名單_129133" displayName="名單_129133" ref="BJ5:BT17" totalsRowShown="0" headerRowDxfId="549" dataDxfId="548">
  <autoFilter ref="BJ5:BT17" xr:uid="{D0E56CE8-9EC1-4E17-ADFE-77BA6EA46337}"/>
  <tableColumns count="11">
    <tableColumn id="1" xr3:uid="{00000000-0010-0000-0900-000001000000}" name="在職9A" dataDxfId="547"/>
    <tableColumn id="2" xr3:uid="{00000000-0010-0000-0900-000002000000}" name="姓名" dataDxfId="546">
      <calculatedColumnFormula>A31</calculatedColumnFormula>
    </tableColumn>
    <tableColumn id="4" xr3:uid="{00000000-0010-0000-0900-000004000000}" name="支援護理師註記" dataDxfId="545"/>
    <tableColumn id="13" xr3:uid="{00000000-0010-0000-0900-00000D000000}" name="輪序開頭註記" dataDxfId="544"/>
    <tableColumn id="9" xr3:uid="{00000000-0010-0000-0900-000009000000}" name="D輪序" dataDxfId="543"/>
    <tableColumn id="15" xr3:uid="{00000000-0010-0000-0900-00000F000000}" name="輪序開頭註記2" dataDxfId="542"/>
    <tableColumn id="10" xr3:uid="{00000000-0010-0000-0900-00000A000000}" name="N輪序" dataDxfId="541"/>
    <tableColumn id="16" xr3:uid="{00000000-0010-0000-0900-000010000000}" name="輪序開頭註記3" dataDxfId="540"/>
    <tableColumn id="11" xr3:uid="{00000000-0010-0000-0900-00000B000000}" name="OFF輪序" dataDxfId="539"/>
    <tableColumn id="17" xr3:uid="{00000000-0010-0000-0900-000011000000}" name="輪序開頭註記4" dataDxfId="538"/>
    <tableColumn id="12" xr3:uid="{00000000-0010-0000-0900-00000C000000}" name="W6OFF輪序" dataDxfId="5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C08128D-78DD-41C1-88F7-3E75B697DAA7}" name="表格35130134" displayName="表格35130134" ref="AW1:AZ5" totalsRowCount="1" headerRowDxfId="536" dataDxfId="535" totalsRowDxfId="534">
  <autoFilter ref="AW1:AZ4" xr:uid="{9855A400-AE24-4ED2-9F21-7F8DAFB63A81}"/>
  <tableColumns count="4">
    <tableColumn id="1" xr3:uid="{00000000-0010-0000-0B00-000001000000}" name="班別" dataDxfId="533" totalsRowDxfId="532"/>
    <tableColumn id="2" xr3:uid="{00000000-0010-0000-0B00-000002000000}" name="當月人力" totalsRowFunction="sum" dataDxfId="531" totalsRowDxfId="530"/>
    <tableColumn id="4" xr3:uid="{00000000-0010-0000-0B00-000004000000}" name="當月人力(後半)" totalsRowFunction="sum" dataDxfId="529" totalsRowDxfId="528"/>
    <tableColumn id="5" xr3:uid="{00000000-0010-0000-0B00-000005000000}" name="後半起始日" dataDxfId="527" totalsRowDxfId="52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91584855-35AB-45EA-9090-C23E0CE570CA}" name="表格36131135" displayName="表格36131135" ref="BA1:BH3" totalsRowShown="0" headerRowDxfId="525" dataDxfId="524">
  <autoFilter ref="BA1:BH3" xr:uid="{9E5A2D4F-98E1-4EAE-BDFB-06A4BEDC511B}"/>
  <tableColumns count="8">
    <tableColumn id="1" xr3:uid="{00000000-0010-0000-0D00-000001000000}" name="欄1" dataDxfId="523"/>
    <tableColumn id="2" xr3:uid="{00000000-0010-0000-0D00-000002000000}" name="當月N" dataDxfId="522"/>
    <tableColumn id="3" xr3:uid="{00000000-0010-0000-0D00-000003000000}" name="當月D" dataDxfId="521"/>
    <tableColumn id="4" xr3:uid="{00000000-0010-0000-0D00-000004000000}" name="當月星期六 OFF" dataDxfId="520"/>
    <tableColumn id="5" xr3:uid="{00000000-0010-0000-0D00-000005000000}" name="星期日 OFF" dataDxfId="519"/>
    <tableColumn id="8" xr3:uid="{00000000-0010-0000-0D00-000008000000}" name="平日OFF" dataDxfId="518"/>
    <tableColumn id="6" xr3:uid="{00000000-0010-0000-0D00-000006000000}" name="當月OFF(總數)" dataDxfId="517"/>
    <tableColumn id="7" xr3:uid="{00000000-0010-0000-0D00-000007000000}" name="當月國定假日" dataDxfId="5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55A46E6B-6D86-48BA-9C52-EF9A16643EE2}" name="表格97132136" displayName="表格97132136" ref="AR4:AU18" totalsRowCount="1" headerRowDxfId="515" dataDxfId="514">
  <autoFilter ref="AR4:AU17" xr:uid="{6F8DE855-8415-422B-B11A-F33A982FB1B9}"/>
  <tableColumns count="4">
    <tableColumn id="1" xr3:uid="{00000000-0010-0000-0F00-000001000000}" name="欄1" totalsRowFunction="sum" dataDxfId="513" totalsRowDxfId="512"/>
    <tableColumn id="2" xr3:uid="{00000000-0010-0000-0F00-000002000000}" name="欄2" totalsRowFunction="sum" dataDxfId="511" totalsRowDxfId="510"/>
    <tableColumn id="3" xr3:uid="{00000000-0010-0000-0F00-000003000000}" name="欄3" totalsRowFunction="custom" dataDxfId="509" totalsRowDxfId="508">
      <totalsRowFormula>SUM(AT6:AT17)</totalsRowFormula>
    </tableColumn>
    <tableColumn id="4" xr3:uid="{00000000-0010-0000-0F00-000004000000}" name="欄4" totalsRowFunction="sum" dataDxfId="507" totalsRowDxfId="50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6" xr:uid="{836A47D1-87E5-4C5B-AB04-6F8B8A161149}" name="名單_129133677" displayName="名單_129133677" ref="BJ5:BT17" totalsRowShown="0" headerRowDxfId="479" dataDxfId="478">
  <autoFilter ref="BJ5:BT17" xr:uid="{B0CC8BBA-4CBE-420F-BEF3-A3F41B394E28}"/>
  <tableColumns count="11">
    <tableColumn id="1" xr3:uid="{00000000-0010-0000-1100-000001000000}" name="在職9A" dataDxfId="477"/>
    <tableColumn id="2" xr3:uid="{00000000-0010-0000-1100-000002000000}" name="姓名" dataDxfId="476">
      <calculatedColumnFormula>A31</calculatedColumnFormula>
    </tableColumn>
    <tableColumn id="4" xr3:uid="{00000000-0010-0000-1100-000004000000}" name="支援護理師註記" dataDxfId="475"/>
    <tableColumn id="13" xr3:uid="{00000000-0010-0000-1100-00000D000000}" name="輪序開頭註記" dataDxfId="474"/>
    <tableColumn id="9" xr3:uid="{00000000-0010-0000-1100-000009000000}" name="D輪序" dataDxfId="473"/>
    <tableColumn id="15" xr3:uid="{00000000-0010-0000-1100-00000F000000}" name="輪序開頭註記2" dataDxfId="472"/>
    <tableColumn id="10" xr3:uid="{00000000-0010-0000-1100-00000A000000}" name="N輪序" dataDxfId="471"/>
    <tableColumn id="16" xr3:uid="{00000000-0010-0000-1100-000010000000}" name="輪序開頭註記3" dataDxfId="470"/>
    <tableColumn id="11" xr3:uid="{00000000-0010-0000-1100-00000B000000}" name="OFF輪序" dataDxfId="469"/>
    <tableColumn id="17" xr3:uid="{00000000-0010-0000-1100-000011000000}" name="輪序開頭註記4" dataDxfId="468"/>
    <tableColumn id="12" xr3:uid="{00000000-0010-0000-1100-00000C000000}" name="W6OFF輪序" dataDxfId="4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7" xr:uid="{3B68CA5D-8760-4CD1-AA66-B3A570348A6A}" name="表格35130134678" displayName="表格35130134678" ref="AW1:AZ5" totalsRowCount="1" headerRowDxfId="466" dataDxfId="465" totalsRowDxfId="464">
  <autoFilter ref="AW1:AZ4" xr:uid="{7537525A-944B-45A0-BDEB-94044FEB763E}"/>
  <tableColumns count="4">
    <tableColumn id="1" xr3:uid="{00000000-0010-0000-1300-000001000000}" name="班別" dataDxfId="463" totalsRowDxfId="462"/>
    <tableColumn id="2" xr3:uid="{00000000-0010-0000-1300-000002000000}" name="當月人力" totalsRowFunction="sum" dataDxfId="461" totalsRowDxfId="460"/>
    <tableColumn id="4" xr3:uid="{00000000-0010-0000-1300-000004000000}" name="當月人力(後半)" totalsRowFunction="sum" dataDxfId="459" totalsRowDxfId="458"/>
    <tableColumn id="5" xr3:uid="{00000000-0010-0000-1300-000005000000}" name="後半起始日" dataDxfId="457" totalsRowDxfId="4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8" xr:uid="{BB21476C-CEF2-4E27-B483-DAA2AE32592D}" name="表格36131135679" displayName="表格36131135679" ref="BA1:BH3" totalsRowShown="0" headerRowDxfId="455" dataDxfId="454">
  <autoFilter ref="BA1:BH3" xr:uid="{81EF59F5-9CFF-442C-9B46-CB7270804EBD}"/>
  <tableColumns count="8">
    <tableColumn id="1" xr3:uid="{00000000-0010-0000-1500-000001000000}" name="欄1" dataDxfId="453"/>
    <tableColumn id="2" xr3:uid="{00000000-0010-0000-1500-000002000000}" name="當月N" dataDxfId="452"/>
    <tableColumn id="3" xr3:uid="{00000000-0010-0000-1500-000003000000}" name="當月D" dataDxfId="451"/>
    <tableColumn id="4" xr3:uid="{00000000-0010-0000-1500-000004000000}" name="當月星期六 OFF" dataDxfId="450"/>
    <tableColumn id="5" xr3:uid="{00000000-0010-0000-1500-000005000000}" name="星期日 OFF" dataDxfId="449"/>
    <tableColumn id="8" xr3:uid="{00000000-0010-0000-1500-000008000000}" name="平日OFF" dataDxfId="448"/>
    <tableColumn id="6" xr3:uid="{00000000-0010-0000-1500-000006000000}" name="當月OFF(總數)" dataDxfId="447">
      <calculatedColumnFormula>IF(ISBLANK(AY2),COUNTIF(C5:AG5,"6")*(COUNTA(BJ6:BJ17)-AX5-COUNTA(BL6:BL17)),BD3)+BE2+BH2*((COUNTA(BJ6:BJ17))-AX2-COUNTA(BL6:BL17))+IF(ISBLANK(AY2),((SUMPRODUCT(--(C4:AG4&lt;&gt;""))-COUNTIF(C5:AG5,"日")-COUNTIF(C5:AG5,"6")-BH2)*((COUNTA(BJ6:BJ17))-AX5-COUNTA(BL6:BL17))),BF3)+BG5</calculatedColumnFormula>
    </tableColumn>
    <tableColumn id="7" xr3:uid="{00000000-0010-0000-1500-000007000000}" name="當月國定假日" dataDxfId="446">
      <calculatedColumnFormula>COUNTIF(C19:AG19,"*國*")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9" xr:uid="{7B861E5E-FF5F-43AD-BE02-A54A589C13BB}" name="表格97132136680" displayName="表格97132136680" ref="AR4:AU18" totalsRowCount="1" headerRowDxfId="445" dataDxfId="444">
  <autoFilter ref="AR4:AU17" xr:uid="{AD99165E-0CE8-41C5-A380-4AD7224D004B}"/>
  <tableColumns count="4">
    <tableColumn id="1" xr3:uid="{00000000-0010-0000-1700-000001000000}" name="欄1" totalsRowFunction="sum" dataDxfId="443" totalsRowDxfId="442"/>
    <tableColumn id="2" xr3:uid="{00000000-0010-0000-1700-000002000000}" name="欄2" totalsRowFunction="sum" dataDxfId="441" totalsRowDxfId="440"/>
    <tableColumn id="3" xr3:uid="{00000000-0010-0000-1700-000003000000}" name="欄3" totalsRowFunction="custom" dataDxfId="439" totalsRowDxfId="438">
      <totalsRowFormula>SUM(AT6:AT17)</totalsRowFormula>
    </tableColumn>
    <tableColumn id="4" xr3:uid="{00000000-0010-0000-1700-000004000000}" name="欄4" totalsRowFunction="sum" dataDxfId="437" totalsRowDxfId="43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0" xr:uid="{603D15E3-A5A0-4B8E-9C72-C6D1DEE6B7D5}" name="名單_129133677681" displayName="名單_129133677681" ref="BJ5:BT17" totalsRowShown="0" headerRowDxfId="409" dataDxfId="408">
  <autoFilter ref="BJ5:BT17" xr:uid="{44207D43-6679-4D04-A398-6B8C86AC423F}"/>
  <tableColumns count="11">
    <tableColumn id="1" xr3:uid="{00000000-0010-0000-1900-000001000000}" name="在職9A" dataDxfId="407"/>
    <tableColumn id="2" xr3:uid="{00000000-0010-0000-1900-000002000000}" name="姓名" dataDxfId="406">
      <calculatedColumnFormula>A31</calculatedColumnFormula>
    </tableColumn>
    <tableColumn id="4" xr3:uid="{00000000-0010-0000-1900-000004000000}" name="支援護理師註記" dataDxfId="405"/>
    <tableColumn id="13" xr3:uid="{00000000-0010-0000-1900-00000D000000}" name="輪序開頭註記" dataDxfId="404"/>
    <tableColumn id="9" xr3:uid="{00000000-0010-0000-1900-000009000000}" name="D輪序" dataDxfId="403"/>
    <tableColumn id="15" xr3:uid="{00000000-0010-0000-1900-00000F000000}" name="輪序開頭註記2" dataDxfId="402"/>
    <tableColumn id="10" xr3:uid="{00000000-0010-0000-1900-00000A000000}" name="N輪序" dataDxfId="401"/>
    <tableColumn id="16" xr3:uid="{00000000-0010-0000-1900-000010000000}" name="輪序開頭註記3" dataDxfId="400"/>
    <tableColumn id="11" xr3:uid="{00000000-0010-0000-1900-00000B000000}" name="OFF輪序" dataDxfId="399"/>
    <tableColumn id="17" xr3:uid="{00000000-0010-0000-1900-000011000000}" name="輪序開頭註記4" dataDxfId="398"/>
    <tableColumn id="12" xr3:uid="{00000000-0010-0000-1900-00000C000000}" name="W6OFF輪序" dataDxfId="3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1" xr:uid="{E9B06D22-E75C-457C-987D-2046033F9F1C}" name="表格35130134678682" displayName="表格35130134678682" ref="AW1:AZ5" totalsRowCount="1" headerRowDxfId="396" dataDxfId="395" totalsRowDxfId="394">
  <autoFilter ref="AW1:AZ4" xr:uid="{E3B8635C-3DF5-4B3C-A959-B94ED22E54D5}"/>
  <tableColumns count="4">
    <tableColumn id="1" xr3:uid="{00000000-0010-0000-1B00-000001000000}" name="班別" dataDxfId="393" totalsRowDxfId="392"/>
    <tableColumn id="2" xr3:uid="{00000000-0010-0000-1B00-000002000000}" name="當月人力" totalsRowFunction="sum" dataDxfId="391" totalsRowDxfId="390"/>
    <tableColumn id="4" xr3:uid="{00000000-0010-0000-1B00-000004000000}" name="當月人力(後半)" totalsRowFunction="sum" dataDxfId="389" totalsRowDxfId="388"/>
    <tableColumn id="5" xr3:uid="{00000000-0010-0000-1B00-000005000000}" name="後半起始日" dataDxfId="387" totalsRowDxfId="38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2" xr:uid="{50D02785-F969-4A4A-86B1-6BADC7B32A88}" name="表格36131135679683" displayName="表格36131135679683" ref="BA1:BH3" totalsRowShown="0" headerRowDxfId="385" dataDxfId="384">
  <autoFilter ref="BA1:BH3" xr:uid="{1ACD8921-2E4A-43A3-84A4-8AB9E71BF387}"/>
  <tableColumns count="8">
    <tableColumn id="1" xr3:uid="{00000000-0010-0000-1D00-000001000000}" name="欄1" dataDxfId="383"/>
    <tableColumn id="2" xr3:uid="{00000000-0010-0000-1D00-000002000000}" name="當月N" dataDxfId="382"/>
    <tableColumn id="3" xr3:uid="{00000000-0010-0000-1D00-000003000000}" name="當月D" dataDxfId="381"/>
    <tableColumn id="4" xr3:uid="{00000000-0010-0000-1D00-000004000000}" name="當月星期六 OFF" dataDxfId="380"/>
    <tableColumn id="5" xr3:uid="{00000000-0010-0000-1D00-000005000000}" name="星期日 OFF" dataDxfId="379"/>
    <tableColumn id="8" xr3:uid="{00000000-0010-0000-1D00-000008000000}" name="平日OFF" dataDxfId="378"/>
    <tableColumn id="6" xr3:uid="{00000000-0010-0000-1D00-000006000000}" name="當月OFF(總數)" dataDxfId="377"/>
    <tableColumn id="7" xr3:uid="{00000000-0010-0000-1D00-000007000000}" name="當月國定假日" dataDxfId="37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3" xr:uid="{1477AB4B-DFA9-4117-967A-AD2EB6657C21}" name="表格97132136680684" displayName="表格97132136680684" ref="AR4:AU18" totalsRowCount="1" headerRowDxfId="375" dataDxfId="374">
  <autoFilter ref="AR4:AU17" xr:uid="{00FEF1C3-292B-4CD7-9E4D-ACFDD55FF18B}"/>
  <tableColumns count="4">
    <tableColumn id="1" xr3:uid="{00000000-0010-0000-1F00-000001000000}" name="欄1" totalsRowFunction="sum" dataDxfId="373" totalsRowDxfId="372"/>
    <tableColumn id="2" xr3:uid="{00000000-0010-0000-1F00-000002000000}" name="欄2" totalsRowFunction="sum" dataDxfId="371" totalsRowDxfId="370"/>
    <tableColumn id="3" xr3:uid="{00000000-0010-0000-1F00-000003000000}" name="欄3" totalsRowFunction="custom" dataDxfId="369" totalsRowDxfId="368">
      <totalsRowFormula>SUM(AT6:AT17)</totalsRowFormula>
    </tableColumn>
    <tableColumn id="4" xr3:uid="{00000000-0010-0000-1F00-000004000000}" name="欄4" totalsRowFunction="sum" dataDxfId="367" totalsRowDxfId="36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4" xr:uid="{EE939226-64C2-4FFB-8D06-553E66A0DC38}" name="名單_129133677681685" displayName="名單_129133677681685" ref="BJ5:BT17" totalsRowShown="0" headerRowDxfId="323" dataDxfId="322">
  <autoFilter ref="BJ5:BT17" xr:uid="{4D79A651-C3A3-4C3A-A1A0-68D45E705B78}"/>
  <tableColumns count="11">
    <tableColumn id="1" xr3:uid="{00000000-0010-0000-2100-000001000000}" name="在職9A" dataDxfId="321"/>
    <tableColumn id="2" xr3:uid="{00000000-0010-0000-2100-000002000000}" name="姓名" dataDxfId="320">
      <calculatedColumnFormula>A31</calculatedColumnFormula>
    </tableColumn>
    <tableColumn id="4" xr3:uid="{00000000-0010-0000-2100-000004000000}" name="支援護理師註記" dataDxfId="319"/>
    <tableColumn id="13" xr3:uid="{00000000-0010-0000-2100-00000D000000}" name="輪序開頭註記" dataDxfId="318"/>
    <tableColumn id="9" xr3:uid="{00000000-0010-0000-2100-000009000000}" name="D輪序" dataDxfId="317"/>
    <tableColumn id="15" xr3:uid="{00000000-0010-0000-2100-00000F000000}" name="輪序開頭註記2" dataDxfId="316"/>
    <tableColumn id="10" xr3:uid="{00000000-0010-0000-2100-00000A000000}" name="N輪序" dataDxfId="315"/>
    <tableColumn id="16" xr3:uid="{00000000-0010-0000-2100-000010000000}" name="輪序開頭註記3" dataDxfId="314"/>
    <tableColumn id="11" xr3:uid="{00000000-0010-0000-2100-00000B000000}" name="OFF輪序" dataDxfId="313"/>
    <tableColumn id="17" xr3:uid="{00000000-0010-0000-2100-000011000000}" name="輪序開頭註記4" dataDxfId="312"/>
    <tableColumn id="12" xr3:uid="{00000000-0010-0000-2100-00000C000000}" name="W6OFF輪序" dataDxfId="3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5" xr:uid="{B7E4674F-AAFE-4875-8356-F63CBFD18DDA}" name="表格35130134678682686" displayName="表格35130134678682686" ref="AW1:AZ5" totalsRowCount="1" headerRowDxfId="310" dataDxfId="309" totalsRowDxfId="308">
  <autoFilter ref="AW1:AZ4" xr:uid="{9799F660-F45C-46BA-B0E2-D4C0FCE7556D}"/>
  <tableColumns count="4">
    <tableColumn id="1" xr3:uid="{00000000-0010-0000-2300-000001000000}" name="班別" dataDxfId="307" totalsRowDxfId="306"/>
    <tableColumn id="2" xr3:uid="{00000000-0010-0000-2300-000002000000}" name="當月人力" totalsRowFunction="sum" dataDxfId="305" totalsRowDxfId="304"/>
    <tableColumn id="4" xr3:uid="{00000000-0010-0000-2300-000004000000}" name="當月人力(後半)" totalsRowFunction="sum" dataDxfId="303" totalsRowDxfId="302"/>
    <tableColumn id="5" xr3:uid="{00000000-0010-0000-2300-000005000000}" name="後半起始日" dataDxfId="301" totalsRowDxfId="30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6" xr:uid="{7B7D740B-92E9-408A-81D8-BAC954A0A813}" name="表格36131135679683687" displayName="表格36131135679683687" ref="BA1:BH3" totalsRowShown="0" headerRowDxfId="299" dataDxfId="298">
  <autoFilter ref="BA1:BH3" xr:uid="{27A34921-842D-4F04-95AE-DDEAC747A3AF}"/>
  <tableColumns count="8">
    <tableColumn id="1" xr3:uid="{00000000-0010-0000-2500-000001000000}" name="欄1" dataDxfId="297"/>
    <tableColumn id="2" xr3:uid="{00000000-0010-0000-2500-000002000000}" name="當月N" dataDxfId="296"/>
    <tableColumn id="3" xr3:uid="{00000000-0010-0000-2500-000003000000}" name="當月D" dataDxfId="295"/>
    <tableColumn id="4" xr3:uid="{00000000-0010-0000-2500-000004000000}" name="當月星期六 OFF" dataDxfId="294">
      <calculatedColumnFormula>IF(ISBLANK(AY2),COUNTIF(C5:AG5,"6")*(COUNTA(BJ6:BJ17)-AX5-COUNTA(BL6:BL17)),"手動計算填入下方")</calculatedColumnFormula>
    </tableColumn>
    <tableColumn id="5" xr3:uid="{00000000-0010-0000-2500-000005000000}" name="星期日 OFF" dataDxfId="293">
      <calculatedColumnFormula>COUNTIF(C5:AG5,"日")*((COUNTA(BJ6:BJ17))-AX4-AX3-COUNTA(BL6:BL17))</calculatedColumnFormula>
    </tableColumn>
    <tableColumn id="8" xr3:uid="{00000000-0010-0000-2500-000008000000}" name="平日OFF" dataDxfId="292">
      <calculatedColumnFormula>IF(ISBLANK(AY2),(SUMPRODUCT(--(C4:AG4&lt;&gt;""))-COUNTIF(C5:AG5,"日")-COUNTIF(C5:AG5,"6")-BH2)*((COUNTA(BJ6:BJ17))-AX5-COUNTA(BL6:BL17)),"手動計算填入下方")</calculatedColumnFormula>
    </tableColumn>
    <tableColumn id="6" xr3:uid="{00000000-0010-0000-2500-000006000000}" name="當月OFF(總數)" dataDxfId="291">
      <calculatedColumnFormula>IF(ISBLANK(AY2),COUNTIF(C5:AG5,"6")*(COUNTA(BJ6:BJ17)-AX5-COUNTA(BL6:BL17)),BD3)+BE2+BH2*((COUNTA(BJ6:BJ17))-AX2-COUNTA(BL6:BL17))+IF(ISBLANK(AY2),((SUMPRODUCT(--(C4:AG4&lt;&gt;""))-COUNTIF(C5:AG5,"日")-COUNTIF(C5:AG5,"6")-BH2)*((COUNTA(BJ6:BJ17))-AX5-COUNTA(BL6:BL17))),BF3)+BG5</calculatedColumnFormula>
    </tableColumn>
    <tableColumn id="7" xr3:uid="{00000000-0010-0000-2500-000007000000}" name="當月國定假日" dataDxfId="29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7" xr:uid="{A1DD583D-CC64-41E7-82E1-F1A1C9AD8104}" name="表格97132136680684688" displayName="表格97132136680684688" ref="AR4:AU18" totalsRowCount="1" headerRowDxfId="289" dataDxfId="288">
  <autoFilter ref="AR4:AU17" xr:uid="{907C0ED8-C66D-42C8-8CD3-7AC7F96FF99A}"/>
  <tableColumns count="4">
    <tableColumn id="1" xr3:uid="{00000000-0010-0000-2700-000001000000}" name="欄1" totalsRowFunction="sum" dataDxfId="287" totalsRowDxfId="286"/>
    <tableColumn id="2" xr3:uid="{00000000-0010-0000-2700-000002000000}" name="欄2" totalsRowFunction="sum" dataDxfId="285" totalsRowDxfId="284"/>
    <tableColumn id="3" xr3:uid="{00000000-0010-0000-2700-000003000000}" name="欄3" totalsRowFunction="custom" dataDxfId="283" totalsRowDxfId="282">
      <totalsRowFormula>SUM(AT6:AT17)</totalsRowFormula>
    </tableColumn>
    <tableColumn id="4" xr3:uid="{00000000-0010-0000-2700-000004000000}" name="欄4" totalsRowFunction="sum" dataDxfId="281" totalsRowDxfId="2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8" xr:uid="{52FA965B-A6B5-4D3B-AFDC-66F2D164BEB0}" name="名單_129133677681685689" displayName="名單_129133677681685689" ref="BJ5:BT17" totalsRowShown="0" headerRowDxfId="3053" dataDxfId="3052">
  <autoFilter ref="BJ5:BT17" xr:uid="{7DA5BEA6-7D3C-4253-8EC1-610FB1C94C72}"/>
  <tableColumns count="11">
    <tableColumn id="1" xr3:uid="{00000000-0010-0000-2900-000001000000}" name="在職9A" dataDxfId="3051"/>
    <tableColumn id="2" xr3:uid="{00000000-0010-0000-2900-000002000000}" name="姓名" dataDxfId="3050">
      <calculatedColumnFormula>A31</calculatedColumnFormula>
    </tableColumn>
    <tableColumn id="4" xr3:uid="{00000000-0010-0000-2900-000004000000}" name="支援護理師註記" dataDxfId="3049"/>
    <tableColumn id="13" xr3:uid="{00000000-0010-0000-2900-00000D000000}" name="輪序開頭註記" dataDxfId="3048"/>
    <tableColumn id="9" xr3:uid="{00000000-0010-0000-2900-000009000000}" name="D輪序" dataDxfId="3047"/>
    <tableColumn id="15" xr3:uid="{00000000-0010-0000-2900-00000F000000}" name="輪序開頭註記2" dataDxfId="3046"/>
    <tableColumn id="10" xr3:uid="{00000000-0010-0000-2900-00000A000000}" name="N輪序" dataDxfId="3045"/>
    <tableColumn id="16" xr3:uid="{00000000-0010-0000-2900-000010000000}" name="輪序開頭註記3" dataDxfId="3044"/>
    <tableColumn id="11" xr3:uid="{00000000-0010-0000-2900-00000B000000}" name="OFF輪序" dataDxfId="3043"/>
    <tableColumn id="17" xr3:uid="{00000000-0010-0000-2900-000011000000}" name="輪序開頭註記4" dataDxfId="3042"/>
    <tableColumn id="12" xr3:uid="{00000000-0010-0000-2900-00000C000000}" name="W6OFF輪序" dataDxfId="304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9" xr:uid="{9AD5BF4C-57DC-4BC3-9DF2-DA8E7110407E}" name="表格35130134678682686690" displayName="表格35130134678682686690" ref="AW1:AZ5" totalsRowCount="1" headerRowDxfId="3040" dataDxfId="3039" totalsRowDxfId="3038">
  <autoFilter ref="AW1:AZ4" xr:uid="{D78D6715-AD2B-4AE3-A5EB-AD43A143E9E9}"/>
  <tableColumns count="4">
    <tableColumn id="1" xr3:uid="{00000000-0010-0000-2B00-000001000000}" name="班別" dataDxfId="3037" totalsRowDxfId="3036"/>
    <tableColumn id="2" xr3:uid="{00000000-0010-0000-2B00-000002000000}" name="當月人力" totalsRowFunction="sum" dataDxfId="3035" totalsRowDxfId="3034"/>
    <tableColumn id="4" xr3:uid="{00000000-0010-0000-2B00-000004000000}" name="當月人力(後半)" totalsRowFunction="sum" dataDxfId="3033" totalsRowDxfId="3032"/>
    <tableColumn id="5" xr3:uid="{00000000-0010-0000-2B00-000005000000}" name="後半起始日" dataDxfId="3031" totalsRowDxfId="303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0" xr:uid="{6F40A89E-6B59-4663-9888-DEBC074C1000}" name="表格36131135679683687691" displayName="表格36131135679683687691" ref="BA1:BH3" totalsRowShown="0" headerRowDxfId="3029" dataDxfId="3028">
  <autoFilter ref="BA1:BH3" xr:uid="{853F627A-CCD9-4C6F-B14F-8B2EEB370A69}"/>
  <tableColumns count="8">
    <tableColumn id="1" xr3:uid="{00000000-0010-0000-2D00-000001000000}" name="欄1" dataDxfId="3027"/>
    <tableColumn id="2" xr3:uid="{00000000-0010-0000-2D00-000002000000}" name="當月N" dataDxfId="3026"/>
    <tableColumn id="3" xr3:uid="{00000000-0010-0000-2D00-000003000000}" name="當月D" dataDxfId="3025"/>
    <tableColumn id="4" xr3:uid="{00000000-0010-0000-2D00-000004000000}" name="當月星期六 OFF" dataDxfId="3024"/>
    <tableColumn id="5" xr3:uid="{00000000-0010-0000-2D00-000005000000}" name="星期日 OFF" dataDxfId="3023"/>
    <tableColumn id="8" xr3:uid="{00000000-0010-0000-2D00-000008000000}" name="平日OFF" dataDxfId="3022"/>
    <tableColumn id="6" xr3:uid="{00000000-0010-0000-2D00-000006000000}" name="當月OFF(總數)" dataDxfId="3021">
      <calculatedColumnFormula>IF(ISBLANK(AY1),COUNTIF(C5:AG5,"6")*(COUNTA(BJ5:BJ16)-AX4-COUNTA(BL5:BL16)),BD2)+BE1+BH1*((COUNTA(BJ5:BJ16))-AX1-COUNTA(BL5:BL16))+IF(ISBLANK(AY1),((SUMPRODUCT(--(C4:AG4&lt;&gt;""))-COUNTIF(C5:AG5,"日")-COUNTIF(C5:AG5,"6")-BH1)*((COUNTA(BJ5:BJ16))-AX4-COUNTA(BL5:BL16))),BF2)+BG4</calculatedColumnFormula>
    </tableColumn>
    <tableColumn id="7" xr3:uid="{00000000-0010-0000-2D00-000007000000}" name="當月國定假日" dataDxfId="3020">
      <calculatedColumnFormula>COUNTIF(C19:AG19,"*國*")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1" xr:uid="{86D0A25A-F6D6-489B-BA83-72245CE054E6}" name="表格97132136680684688692" displayName="表格97132136680684688692" ref="AR4:AU18" totalsRowCount="1" headerRowDxfId="3019" dataDxfId="3018">
  <autoFilter ref="AR4:AU17" xr:uid="{6AC78D30-10F1-4790-A669-20F48F62466B}"/>
  <tableColumns count="4">
    <tableColumn id="1" xr3:uid="{00000000-0010-0000-2F00-000001000000}" name="欄1" totalsRowFunction="sum" dataDxfId="3017" totalsRowDxfId="3016"/>
    <tableColumn id="2" xr3:uid="{00000000-0010-0000-2F00-000002000000}" name="欄2" totalsRowFunction="sum" dataDxfId="3015" totalsRowDxfId="3014"/>
    <tableColumn id="3" xr3:uid="{00000000-0010-0000-2F00-000003000000}" name="欄3" totalsRowFunction="custom" dataDxfId="3013" totalsRowDxfId="3012">
      <totalsRowFormula>SUM(AT6:AT17)</totalsRowFormula>
    </tableColumn>
    <tableColumn id="4" xr3:uid="{00000000-0010-0000-2F00-000004000000}" name="欄4" totalsRowFunction="sum" dataDxfId="3011" totalsRowDxfId="301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6" xr:uid="{1AC95569-AA8D-4C15-8E71-358216715599}" name="名單_129133677681685689717" displayName="名單_129133677681685689717" ref="BJ5:BT17" totalsRowShown="0" headerRowDxfId="253" dataDxfId="252">
  <autoFilter ref="BJ5:BT17" xr:uid="{4AD9A7EC-1F1F-4F97-8B07-A582F13F2C48}"/>
  <tableColumns count="11">
    <tableColumn id="1" xr3:uid="{00000000-0010-0000-3100-000001000000}" name="在職9A" dataDxfId="251"/>
    <tableColumn id="2" xr3:uid="{00000000-0010-0000-3100-000002000000}" name="姓名" dataDxfId="250">
      <calculatedColumnFormula>A31</calculatedColumnFormula>
    </tableColumn>
    <tableColumn id="4" xr3:uid="{00000000-0010-0000-3100-000004000000}" name="支援護理師註記" dataDxfId="249"/>
    <tableColumn id="13" xr3:uid="{00000000-0010-0000-3100-00000D000000}" name="輪序開頭註記" dataDxfId="248"/>
    <tableColumn id="9" xr3:uid="{00000000-0010-0000-3100-000009000000}" name="D輪序" dataDxfId="247"/>
    <tableColumn id="15" xr3:uid="{00000000-0010-0000-3100-00000F000000}" name="輪序開頭註記2" dataDxfId="246"/>
    <tableColumn id="10" xr3:uid="{00000000-0010-0000-3100-00000A000000}" name="N輪序" dataDxfId="245"/>
    <tableColumn id="16" xr3:uid="{00000000-0010-0000-3100-000010000000}" name="輪序開頭註記3" dataDxfId="244"/>
    <tableColumn id="11" xr3:uid="{00000000-0010-0000-3100-00000B000000}" name="OFF輪序" dataDxfId="243"/>
    <tableColumn id="17" xr3:uid="{00000000-0010-0000-3100-000011000000}" name="輪序開頭註記4" dataDxfId="242"/>
    <tableColumn id="12" xr3:uid="{00000000-0010-0000-3100-00000C000000}" name="W6OFF輪序" dataDxfId="24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7" xr:uid="{B9F919CB-AF48-42C0-A6DB-6886F8F133D2}" name="表格35130134678682686690718" displayName="表格35130134678682686690718" ref="AW1:AZ5" totalsRowCount="1" headerRowDxfId="240" dataDxfId="239" totalsRowDxfId="238">
  <autoFilter ref="AW1:AZ4" xr:uid="{39A36303-A6CD-41AD-AB81-3DBA9E67609C}"/>
  <tableColumns count="4">
    <tableColumn id="1" xr3:uid="{00000000-0010-0000-3300-000001000000}" name="班別" dataDxfId="237" totalsRowDxfId="236"/>
    <tableColumn id="2" xr3:uid="{00000000-0010-0000-3300-000002000000}" name="當月人力" totalsRowFunction="sum" dataDxfId="235" totalsRowDxfId="234"/>
    <tableColumn id="4" xr3:uid="{00000000-0010-0000-3300-000004000000}" name="當月人力(後半)" totalsRowFunction="sum" dataDxfId="233" totalsRowDxfId="232"/>
    <tableColumn id="5" xr3:uid="{00000000-0010-0000-3300-000005000000}" name="後半起始日" dataDxfId="231" totalsRowDxfId="23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8" xr:uid="{FB97D87A-CF75-4781-885E-74549DF42292}" name="表格36131135679683687691719" displayName="表格36131135679683687691719" ref="BA1:BH3" totalsRowShown="0" headerRowDxfId="229" dataDxfId="228">
  <autoFilter ref="BA1:BH3" xr:uid="{BE86514C-CD1C-4603-B792-7C1A1E91951F}"/>
  <tableColumns count="8">
    <tableColumn id="1" xr3:uid="{00000000-0010-0000-3500-000001000000}" name="欄1" dataDxfId="227"/>
    <tableColumn id="2" xr3:uid="{00000000-0010-0000-3500-000002000000}" name="當月N" dataDxfId="226"/>
    <tableColumn id="3" xr3:uid="{00000000-0010-0000-3500-000003000000}" name="當月D" dataDxfId="225"/>
    <tableColumn id="4" xr3:uid="{00000000-0010-0000-3500-000004000000}" name="當月星期六 OFF" dataDxfId="224"/>
    <tableColumn id="5" xr3:uid="{00000000-0010-0000-3500-000005000000}" name="星期日 OFF" dataDxfId="223"/>
    <tableColumn id="8" xr3:uid="{00000000-0010-0000-3500-000008000000}" name="平日OFF" dataDxfId="222"/>
    <tableColumn id="6" xr3:uid="{00000000-0010-0000-3500-000006000000}" name="當月OFF(總數)" dataDxfId="221"/>
    <tableColumn id="7" xr3:uid="{00000000-0010-0000-3500-000007000000}" name="當月國定假日" dataDxfId="22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9" xr:uid="{E8E88C78-D41D-481B-B07C-6F053D584C57}" name="表格97132136680684688692720" displayName="表格97132136680684688692720" ref="AR4:AU18" totalsRowCount="1" headerRowDxfId="219" dataDxfId="218">
  <autoFilter ref="AR4:AU17" xr:uid="{2817D8CB-41EC-4D4F-94BA-7F3B988AB6FA}"/>
  <tableColumns count="4">
    <tableColumn id="1" xr3:uid="{00000000-0010-0000-3700-000001000000}" name="欄1" totalsRowFunction="sum" dataDxfId="217" totalsRowDxfId="216"/>
    <tableColumn id="2" xr3:uid="{00000000-0010-0000-3700-000002000000}" name="欄2" totalsRowFunction="sum" dataDxfId="215" totalsRowDxfId="214"/>
    <tableColumn id="3" xr3:uid="{00000000-0010-0000-3700-000003000000}" name="欄3" totalsRowFunction="custom" dataDxfId="213" totalsRowDxfId="212">
      <totalsRowFormula>SUM(AT6:AT17)</totalsRowFormula>
    </tableColumn>
    <tableColumn id="4" xr3:uid="{00000000-0010-0000-3700-000004000000}" name="欄4" totalsRowFunction="sum" dataDxfId="211" totalsRowDxfId="2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0" xr:uid="{D54761D3-D3BB-4E39-97C3-345D6E4E5EE3}" name="名單_129133677681685689717721" displayName="名單_129133677681685689717721" ref="BJ5:BT17" totalsRowShown="0" headerRowDxfId="183" dataDxfId="182">
  <autoFilter ref="BJ5:BT17" xr:uid="{FFE75EF8-76CC-4E47-9BB9-2C6107BCFCC5}"/>
  <tableColumns count="11">
    <tableColumn id="1" xr3:uid="{00000000-0010-0000-3900-000001000000}" name="在職9A" dataDxfId="181"/>
    <tableColumn id="2" xr3:uid="{00000000-0010-0000-3900-000002000000}" name="姓名" dataDxfId="180">
      <calculatedColumnFormula>A31</calculatedColumnFormula>
    </tableColumn>
    <tableColumn id="4" xr3:uid="{00000000-0010-0000-3900-000004000000}" name="支援護理師註記" dataDxfId="179"/>
    <tableColumn id="13" xr3:uid="{00000000-0010-0000-3900-00000D000000}" name="輪序開頭註記" dataDxfId="178"/>
    <tableColumn id="9" xr3:uid="{00000000-0010-0000-3900-000009000000}" name="D輪序" dataDxfId="177"/>
    <tableColumn id="15" xr3:uid="{00000000-0010-0000-3900-00000F000000}" name="輪序開頭註記2" dataDxfId="176"/>
    <tableColumn id="10" xr3:uid="{00000000-0010-0000-3900-00000A000000}" name="N輪序" dataDxfId="175"/>
    <tableColumn id="16" xr3:uid="{00000000-0010-0000-3900-000010000000}" name="輪序開頭註記3" dataDxfId="174"/>
    <tableColumn id="11" xr3:uid="{00000000-0010-0000-3900-00000B000000}" name="OFF輪序" dataDxfId="173"/>
    <tableColumn id="17" xr3:uid="{00000000-0010-0000-3900-000011000000}" name="輪序開頭註記4" dataDxfId="172"/>
    <tableColumn id="12" xr3:uid="{00000000-0010-0000-3900-00000C000000}" name="W6OFF輪序" dataDxfId="17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1" xr:uid="{0108AAF0-25A6-4F8C-8A92-29D14983EFBF}" name="表格35130134678682686690718722" displayName="表格35130134678682686690718722" ref="AW1:AZ5" totalsRowCount="1" headerRowDxfId="170" dataDxfId="169" totalsRowDxfId="168">
  <autoFilter ref="AW1:AZ4" xr:uid="{DF9379B9-2F92-41A6-A704-9FF1649B9AE8}"/>
  <tableColumns count="4">
    <tableColumn id="1" xr3:uid="{00000000-0010-0000-3B00-000001000000}" name="班別" dataDxfId="167" totalsRowDxfId="166"/>
    <tableColumn id="2" xr3:uid="{00000000-0010-0000-3B00-000002000000}" name="當月人力" totalsRowFunction="sum" dataDxfId="165" totalsRowDxfId="164"/>
    <tableColumn id="4" xr3:uid="{00000000-0010-0000-3B00-000004000000}" name="當月人力(後半)" totalsRowFunction="sum" dataDxfId="163" totalsRowDxfId="162"/>
    <tableColumn id="5" xr3:uid="{00000000-0010-0000-3B00-000005000000}" name="後半起始日" dataDxfId="161" totalsRowDxfId="16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2" xr:uid="{5CB77C4C-96E9-41EE-A3B2-C529DDA3D741}" name="表格36131135679683687691719723" displayName="表格36131135679683687691719723" ref="BA1:BH3" totalsRowShown="0" headerRowDxfId="159" dataDxfId="158">
  <autoFilter ref="BA1:BH3" xr:uid="{88761FD9-3E80-48EE-8F23-4F69E900AFAB}"/>
  <tableColumns count="8">
    <tableColumn id="1" xr3:uid="{00000000-0010-0000-3D00-000001000000}" name="欄1" dataDxfId="157"/>
    <tableColumn id="2" xr3:uid="{00000000-0010-0000-3D00-000002000000}" name="當月N" dataDxfId="156"/>
    <tableColumn id="3" xr3:uid="{00000000-0010-0000-3D00-000003000000}" name="當月D" dataDxfId="155"/>
    <tableColumn id="4" xr3:uid="{00000000-0010-0000-3D00-000004000000}" name="當月星期六 OFF" dataDxfId="154"/>
    <tableColumn id="5" xr3:uid="{00000000-0010-0000-3D00-000005000000}" name="星期日 OFF" dataDxfId="153"/>
    <tableColumn id="8" xr3:uid="{00000000-0010-0000-3D00-000008000000}" name="平日OFF" dataDxfId="152"/>
    <tableColumn id="6" xr3:uid="{00000000-0010-0000-3D00-000006000000}" name="當月OFF(總數)" dataDxfId="151"/>
    <tableColumn id="7" xr3:uid="{00000000-0010-0000-3D00-000007000000}" name="當月國定假日" dataDxfId="15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3" xr:uid="{AE0E2A0F-3DC1-45BF-BB6E-C21F1210FADC}" name="表格97132136680684688692720724" displayName="表格97132136680684688692720724" ref="AR4:AU18" totalsRowCount="1" headerRowDxfId="149" dataDxfId="148">
  <autoFilter ref="AR4:AU17" xr:uid="{0709A854-F45B-4FF3-B7F1-F10824982FF9}"/>
  <tableColumns count="4">
    <tableColumn id="1" xr3:uid="{00000000-0010-0000-3F00-000001000000}" name="欄1" totalsRowFunction="sum" dataDxfId="147" totalsRowDxfId="146"/>
    <tableColumn id="2" xr3:uid="{00000000-0010-0000-3F00-000002000000}" name="欄2" totalsRowFunction="sum" dataDxfId="145" totalsRowDxfId="144"/>
    <tableColumn id="3" xr3:uid="{00000000-0010-0000-3F00-000003000000}" name="欄3" totalsRowFunction="custom" dataDxfId="143" totalsRowDxfId="142">
      <totalsRowFormula>SUM(AT6:AT17)</totalsRowFormula>
    </tableColumn>
    <tableColumn id="4" xr3:uid="{00000000-0010-0000-3F00-000004000000}" name="欄4" totalsRowFunction="sum" dataDxfId="141" totalsRowDxfId="14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2" xr:uid="{A9905421-A5CD-4BDD-BE1C-F6EF090F6C3A}" name="名單_1291336776816856897177212773" displayName="名單_1291336776816856897177212773" ref="BJ5:BT17" totalsRowShown="0" headerRowDxfId="113" dataDxfId="112">
  <autoFilter ref="BJ5:BT17" xr:uid="{EC004A96-4A77-4855-98EE-66F29C544CC3}"/>
  <tableColumns count="11">
    <tableColumn id="1" xr3:uid="{00000000-0010-0000-4100-000001000000}" name="在職9A" dataDxfId="111"/>
    <tableColumn id="2" xr3:uid="{00000000-0010-0000-4100-000002000000}" name="姓名" dataDxfId="110">
      <calculatedColumnFormula>A31</calculatedColumnFormula>
    </tableColumn>
    <tableColumn id="4" xr3:uid="{00000000-0010-0000-4100-000004000000}" name="支援護理師註記" dataDxfId="109"/>
    <tableColumn id="13" xr3:uid="{00000000-0010-0000-4100-00000D000000}" name="輪序開頭註記" dataDxfId="108"/>
    <tableColumn id="9" xr3:uid="{00000000-0010-0000-4100-000009000000}" name="D輪序" dataDxfId="107"/>
    <tableColumn id="15" xr3:uid="{00000000-0010-0000-4100-00000F000000}" name="輪序開頭註記2" dataDxfId="106"/>
    <tableColumn id="10" xr3:uid="{00000000-0010-0000-4100-00000A000000}" name="N輪序" dataDxfId="105"/>
    <tableColumn id="16" xr3:uid="{00000000-0010-0000-4100-000010000000}" name="輪序開頭註記3" dataDxfId="104"/>
    <tableColumn id="11" xr3:uid="{00000000-0010-0000-4100-00000B000000}" name="OFF輪序" dataDxfId="103"/>
    <tableColumn id="17" xr3:uid="{00000000-0010-0000-4100-000011000000}" name="輪序開頭註記4" dataDxfId="102"/>
    <tableColumn id="12" xr3:uid="{00000000-0010-0000-4100-00000C000000}" name="W6OFF輪序" dataDxfId="10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3" xr:uid="{1312FE4A-261C-49B8-92F9-9A4A0EB00251}" name="表格351301346786826866907187222774" displayName="表格351301346786826866907187222774" ref="AW1:AZ5" totalsRowCount="1" headerRowDxfId="100" dataDxfId="99" totalsRowDxfId="98">
  <autoFilter ref="AW1:AZ4" xr:uid="{C67D8FD3-30D6-4966-B52F-BE623E5463D8}"/>
  <tableColumns count="4">
    <tableColumn id="1" xr3:uid="{00000000-0010-0000-4300-000001000000}" name="班別" dataDxfId="97" totalsRowDxfId="96"/>
    <tableColumn id="2" xr3:uid="{00000000-0010-0000-4300-000002000000}" name="當月人力" totalsRowFunction="sum" dataDxfId="95" totalsRowDxfId="94"/>
    <tableColumn id="4" xr3:uid="{00000000-0010-0000-4300-000004000000}" name="當月人力(後半)" totalsRowFunction="sum" dataDxfId="93" totalsRowDxfId="92"/>
    <tableColumn id="5" xr3:uid="{00000000-0010-0000-4300-000005000000}" name="後半起始日" dataDxfId="91" totalsRowDxfId="9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4" xr:uid="{BF45924D-9F72-4991-BEA0-82D6A8289543}" name="表格361311356796836876917197232775" displayName="表格361311356796836876917197232775" ref="BA1:BH3" totalsRowShown="0" headerRowDxfId="89" dataDxfId="88">
  <autoFilter ref="BA1:BH3" xr:uid="{A158DDB4-4584-4972-B48A-DC920495F485}"/>
  <tableColumns count="8">
    <tableColumn id="1" xr3:uid="{00000000-0010-0000-4500-000001000000}" name="欄1" dataDxfId="87"/>
    <tableColumn id="2" xr3:uid="{00000000-0010-0000-4500-000002000000}" name="當月N" dataDxfId="86"/>
    <tableColumn id="3" xr3:uid="{00000000-0010-0000-4500-000003000000}" name="當月D" dataDxfId="85"/>
    <tableColumn id="4" xr3:uid="{00000000-0010-0000-4500-000004000000}" name="當月星期六 OFF" dataDxfId="84"/>
    <tableColumn id="5" xr3:uid="{00000000-0010-0000-4500-000005000000}" name="星期日 OFF" dataDxfId="83"/>
    <tableColumn id="8" xr3:uid="{00000000-0010-0000-4500-000008000000}" name="平日OFF" dataDxfId="82"/>
    <tableColumn id="6" xr3:uid="{00000000-0010-0000-4500-000006000000}" name="當月OFF(總數)" dataDxfId="81"/>
    <tableColumn id="7" xr3:uid="{00000000-0010-0000-4500-000007000000}" name="當月國定假日" dataDxfId="8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5" xr:uid="{A9067A8D-B7B6-4131-BE94-79CBEF9EAAB8}" name="表格971321366806846886927207242776" displayName="表格971321366806846886927207242776" ref="AR4:AU18" totalsRowCount="1" headerRowDxfId="79" dataDxfId="78">
  <autoFilter ref="AR4:AU17" xr:uid="{44FB6F7D-EF7E-40C1-B401-0634B4DD76F1}"/>
  <tableColumns count="4">
    <tableColumn id="1" xr3:uid="{00000000-0010-0000-4700-000001000000}" name="欄1" totalsRowFunction="sum" dataDxfId="77" totalsRowDxfId="76"/>
    <tableColumn id="2" xr3:uid="{00000000-0010-0000-4700-000002000000}" name="欄2" totalsRowFunction="sum" dataDxfId="75" totalsRowDxfId="74"/>
    <tableColumn id="3" xr3:uid="{00000000-0010-0000-4700-000003000000}" name="欄3" totalsRowFunction="custom" dataDxfId="73" totalsRowDxfId="72">
      <totalsRowFormula>SUM(AT6:AT17)</totalsRowFormula>
    </tableColumn>
    <tableColumn id="4" xr3:uid="{00000000-0010-0000-4700-000004000000}" name="欄4" totalsRowFunction="sum" dataDxfId="71" totalsRowDxfId="7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12" xr:uid="{2EF424AC-1764-4A17-AF11-2E301948FC99}" name="名單_12913367768168568971772127735513" displayName="名單_12913367768168568971772127735513" ref="BJ5:BT17" totalsRowShown="0" headerRowDxfId="43" dataDxfId="42">
  <autoFilter ref="BJ5:BT17" xr:uid="{C32149F3-EBB5-4398-B02D-402C5304681A}"/>
  <tableColumns count="11">
    <tableColumn id="1" xr3:uid="{00000000-0010-0000-4900-000001000000}" name="在職9A" dataDxfId="41"/>
    <tableColumn id="2" xr3:uid="{00000000-0010-0000-4900-000002000000}" name="姓名" dataDxfId="40">
      <calculatedColumnFormula>A31</calculatedColumnFormula>
    </tableColumn>
    <tableColumn id="4" xr3:uid="{00000000-0010-0000-4900-000004000000}" name="支援護理師註記" dataDxfId="39"/>
    <tableColumn id="13" xr3:uid="{00000000-0010-0000-4900-00000D000000}" name="輪序開頭註記" dataDxfId="38"/>
    <tableColumn id="9" xr3:uid="{00000000-0010-0000-4900-000009000000}" name="D輪序" dataDxfId="37"/>
    <tableColumn id="15" xr3:uid="{00000000-0010-0000-4900-00000F000000}" name="輪序開頭註記2" dataDxfId="36"/>
    <tableColumn id="10" xr3:uid="{00000000-0010-0000-4900-00000A000000}" name="N輪序" dataDxfId="35"/>
    <tableColumn id="16" xr3:uid="{00000000-0010-0000-4900-000010000000}" name="輪序開頭註記3" dataDxfId="34"/>
    <tableColumn id="11" xr3:uid="{00000000-0010-0000-4900-00000B000000}" name="OFF輪序" dataDxfId="33"/>
    <tableColumn id="17" xr3:uid="{00000000-0010-0000-4900-000011000000}" name="輪序開頭註記4" dataDxfId="32"/>
    <tableColumn id="12" xr3:uid="{00000000-0010-0000-4900-00000C000000}" name="W6OFF輪序" dataDxfId="3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13" xr:uid="{A96C1F19-5F51-4349-AD80-602E4DF18F09}" name="表格3513013467868268669071872227745514" displayName="表格3513013467868268669071872227745514" ref="AW1:AZ5" totalsRowCount="1" headerRowDxfId="30" dataDxfId="29" totalsRowDxfId="28">
  <autoFilter ref="AW1:AZ4" xr:uid="{BA0B5956-437A-4841-B2AF-D44C772AA646}"/>
  <tableColumns count="4">
    <tableColumn id="1" xr3:uid="{00000000-0010-0000-4B00-000001000000}" name="班別" dataDxfId="27" totalsRowDxfId="26"/>
    <tableColumn id="2" xr3:uid="{00000000-0010-0000-4B00-000002000000}" name="當月人力" totalsRowFunction="sum" dataDxfId="25" totalsRowDxfId="24"/>
    <tableColumn id="4" xr3:uid="{00000000-0010-0000-4B00-000004000000}" name="當月人力(後半)" totalsRowFunction="sum" dataDxfId="23" totalsRowDxfId="22"/>
    <tableColumn id="5" xr3:uid="{00000000-0010-0000-4B00-000005000000}" name="後半起始日" dataDxfId="21" totalsRowDxfId="2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14" xr:uid="{E7B344D3-8D5C-494C-B54B-1CE9DB415D02}" name="表格3613113567968368769171972327755515" displayName="表格3613113567968368769171972327755515" ref="BA1:BH3" totalsRowShown="0" headerRowDxfId="19" dataDxfId="18">
  <autoFilter ref="BA1:BH3" xr:uid="{C72F9F36-D8D6-423A-9F60-AE14B12AC4E0}"/>
  <tableColumns count="8">
    <tableColumn id="1" xr3:uid="{00000000-0010-0000-4D00-000001000000}" name="欄1" dataDxfId="17"/>
    <tableColumn id="2" xr3:uid="{00000000-0010-0000-4D00-000002000000}" name="當月N" dataDxfId="16"/>
    <tableColumn id="3" xr3:uid="{00000000-0010-0000-4D00-000003000000}" name="當月D" dataDxfId="15"/>
    <tableColumn id="4" xr3:uid="{00000000-0010-0000-4D00-000004000000}" name="當月星期六 OFF" dataDxfId="14"/>
    <tableColumn id="5" xr3:uid="{00000000-0010-0000-4D00-000005000000}" name="星期日 OFF" dataDxfId="13"/>
    <tableColumn id="8" xr3:uid="{00000000-0010-0000-4D00-000008000000}" name="平日OFF" dataDxfId="12"/>
    <tableColumn id="6" xr3:uid="{00000000-0010-0000-4D00-000006000000}" name="當月OFF(總數)" dataDxfId="11"/>
    <tableColumn id="7" xr3:uid="{00000000-0010-0000-4D00-000007000000}" name="當月國定假日" dataDxfId="1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15" xr:uid="{1CA24E6D-2A34-443B-B1D0-7657BF8CD2AC}" name="表格9713213668068468869272072427765516" displayName="表格9713213668068468869272072427765516" ref="AR4:AU18" totalsRowCount="1" headerRowDxfId="9" dataDxfId="8">
  <autoFilter ref="AR4:AU17" xr:uid="{C4B23462-F51E-4CD6-919C-9A43CA5254DE}"/>
  <tableColumns count="4">
    <tableColumn id="1" xr3:uid="{00000000-0010-0000-4F00-000001000000}" name="欄1" totalsRowFunction="sum" dataDxfId="7" totalsRowDxfId="6"/>
    <tableColumn id="2" xr3:uid="{00000000-0010-0000-4F00-000002000000}" name="欄2" totalsRowFunction="sum" dataDxfId="5" totalsRowDxfId="4"/>
    <tableColumn id="3" xr3:uid="{00000000-0010-0000-4F00-000003000000}" name="欄3" totalsRowFunction="custom" dataDxfId="3" totalsRowDxfId="2">
      <totalsRowFormula>SUM(AT6:AT17)</totalsRowFormula>
    </tableColumn>
    <tableColumn id="4" xr3:uid="{00000000-0010-0000-4F00-000004000000}" name="欄4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6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5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table" Target="../tables/table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30.xml"/><Relationship Id="rId20" Type="http://schemas.openxmlformats.org/officeDocument/2006/relationships/table" Target="../tables/table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19" Type="http://schemas.openxmlformats.org/officeDocument/2006/relationships/table" Target="../tables/table7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table" Target="../tables/table1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table" Target="../tables/table9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3.xml"/><Relationship Id="rId20" Type="http://schemas.openxmlformats.org/officeDocument/2006/relationships/table" Target="../tables/table1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10" Type="http://schemas.openxmlformats.org/officeDocument/2006/relationships/ctrlProp" Target="../ctrlProps/ctrlProp37.xml"/><Relationship Id="rId19" Type="http://schemas.openxmlformats.org/officeDocument/2006/relationships/table" Target="../tables/table11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table" Target="../tables/table14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6.xml"/><Relationship Id="rId20" Type="http://schemas.openxmlformats.org/officeDocument/2006/relationships/table" Target="../tables/table1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10" Type="http://schemas.openxmlformats.org/officeDocument/2006/relationships/ctrlProp" Target="../ctrlProps/ctrlProp50.xml"/><Relationship Id="rId19" Type="http://schemas.openxmlformats.org/officeDocument/2006/relationships/table" Target="../tables/table15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18" Type="http://schemas.openxmlformats.org/officeDocument/2006/relationships/table" Target="../tables/table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table" Target="../tables/table17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69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19" Type="http://schemas.openxmlformats.org/officeDocument/2006/relationships/table" Target="../tables/table19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18" Type="http://schemas.openxmlformats.org/officeDocument/2006/relationships/table" Target="../tables/table22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17" Type="http://schemas.openxmlformats.org/officeDocument/2006/relationships/table" Target="../tables/table2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82.xml"/><Relationship Id="rId20" Type="http://schemas.openxmlformats.org/officeDocument/2006/relationships/table" Target="../tables/table24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5" Type="http://schemas.openxmlformats.org/officeDocument/2006/relationships/ctrlProp" Target="../ctrlProps/ctrlProp81.xml"/><Relationship Id="rId10" Type="http://schemas.openxmlformats.org/officeDocument/2006/relationships/ctrlProp" Target="../ctrlProps/ctrlProp76.xml"/><Relationship Id="rId19" Type="http://schemas.openxmlformats.org/officeDocument/2006/relationships/table" Target="../tables/table23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7.xml"/><Relationship Id="rId13" Type="http://schemas.openxmlformats.org/officeDocument/2006/relationships/ctrlProp" Target="../ctrlProps/ctrlProp92.xml"/><Relationship Id="rId18" Type="http://schemas.openxmlformats.org/officeDocument/2006/relationships/table" Target="../tables/table2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86.xml"/><Relationship Id="rId12" Type="http://schemas.openxmlformats.org/officeDocument/2006/relationships/ctrlProp" Target="../ctrlProps/ctrlProp91.xml"/><Relationship Id="rId17" Type="http://schemas.openxmlformats.org/officeDocument/2006/relationships/table" Target="../tables/table25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95.xml"/><Relationship Id="rId20" Type="http://schemas.openxmlformats.org/officeDocument/2006/relationships/table" Target="../tables/table28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5.xml"/><Relationship Id="rId11" Type="http://schemas.openxmlformats.org/officeDocument/2006/relationships/ctrlProp" Target="../ctrlProps/ctrlProp90.xml"/><Relationship Id="rId5" Type="http://schemas.openxmlformats.org/officeDocument/2006/relationships/ctrlProp" Target="../ctrlProps/ctrlProp84.xml"/><Relationship Id="rId15" Type="http://schemas.openxmlformats.org/officeDocument/2006/relationships/ctrlProp" Target="../ctrlProps/ctrlProp94.xml"/><Relationship Id="rId10" Type="http://schemas.openxmlformats.org/officeDocument/2006/relationships/ctrlProp" Target="../ctrlProps/ctrlProp89.xml"/><Relationship Id="rId19" Type="http://schemas.openxmlformats.org/officeDocument/2006/relationships/table" Target="../tables/table27.xml"/><Relationship Id="rId4" Type="http://schemas.openxmlformats.org/officeDocument/2006/relationships/ctrlProp" Target="../ctrlProps/ctrlProp83.xml"/><Relationship Id="rId9" Type="http://schemas.openxmlformats.org/officeDocument/2006/relationships/ctrlProp" Target="../ctrlProps/ctrlProp88.xml"/><Relationship Id="rId14" Type="http://schemas.openxmlformats.org/officeDocument/2006/relationships/ctrlProp" Target="../ctrlProps/ctrlProp9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table" Target="../tables/table30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table" Target="../tables/table29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108.xml"/><Relationship Id="rId20" Type="http://schemas.openxmlformats.org/officeDocument/2006/relationships/table" Target="../tables/table3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10" Type="http://schemas.openxmlformats.org/officeDocument/2006/relationships/ctrlProp" Target="../ctrlProps/ctrlProp102.xml"/><Relationship Id="rId19" Type="http://schemas.openxmlformats.org/officeDocument/2006/relationships/table" Target="../tables/table31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3.xml"/><Relationship Id="rId13" Type="http://schemas.openxmlformats.org/officeDocument/2006/relationships/ctrlProp" Target="../ctrlProps/ctrlProp118.xml"/><Relationship Id="rId18" Type="http://schemas.openxmlformats.org/officeDocument/2006/relationships/table" Target="../tables/table34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table" Target="../tables/table33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21.xml"/><Relationship Id="rId20" Type="http://schemas.openxmlformats.org/officeDocument/2006/relationships/table" Target="../tables/table36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10" Type="http://schemas.openxmlformats.org/officeDocument/2006/relationships/ctrlProp" Target="../ctrlProps/ctrlProp115.xml"/><Relationship Id="rId19" Type="http://schemas.openxmlformats.org/officeDocument/2006/relationships/table" Target="../tables/table35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13" Type="http://schemas.openxmlformats.org/officeDocument/2006/relationships/ctrlProp" Target="../ctrlProps/ctrlProp131.xml"/><Relationship Id="rId18" Type="http://schemas.openxmlformats.org/officeDocument/2006/relationships/table" Target="../tables/table3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17" Type="http://schemas.openxmlformats.org/officeDocument/2006/relationships/table" Target="../tables/table37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4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5" Type="http://schemas.openxmlformats.org/officeDocument/2006/relationships/ctrlProp" Target="../ctrlProps/ctrlProp133.xml"/><Relationship Id="rId10" Type="http://schemas.openxmlformats.org/officeDocument/2006/relationships/ctrlProp" Target="../ctrlProps/ctrlProp128.xml"/><Relationship Id="rId19" Type="http://schemas.openxmlformats.org/officeDocument/2006/relationships/table" Target="../tables/table39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ctrlProp" Target="../ctrlProps/ctrlProp1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D428F-B610-4615-8433-D1D4CAF622BB}">
  <sheetPr codeName="工作表1"/>
  <dimension ref="A1:AM42"/>
  <sheetViews>
    <sheetView zoomScale="56" zoomScaleNormal="56" workbookViewId="0">
      <selection activeCell="D12" sqref="D12"/>
    </sheetView>
  </sheetViews>
  <sheetFormatPr defaultRowHeight="17"/>
  <cols>
    <col min="2" max="2" width="12.5" bestFit="1" customWidth="1"/>
    <col min="3" max="39" width="7.58203125" customWidth="1"/>
  </cols>
  <sheetData>
    <row r="1" spans="1:39" ht="33.5">
      <c r="A1" s="10"/>
      <c r="B1" s="380"/>
      <c r="C1" s="380"/>
      <c r="D1" s="2"/>
      <c r="E1" s="22"/>
      <c r="F1" s="22"/>
      <c r="G1" s="85">
        <v>830</v>
      </c>
      <c r="H1" s="22"/>
      <c r="I1" s="22"/>
      <c r="J1" s="22"/>
      <c r="L1" s="23" t="s">
        <v>106</v>
      </c>
      <c r="M1" s="24"/>
      <c r="N1" s="1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</row>
    <row r="2" spans="1:39" ht="33.5">
      <c r="A2" s="10"/>
      <c r="B2" s="419"/>
      <c r="C2" s="419"/>
      <c r="D2" s="1"/>
      <c r="E2" s="1"/>
      <c r="G2" s="1">
        <v>1630</v>
      </c>
      <c r="H2" s="26">
        <v>2024</v>
      </c>
      <c r="I2" s="27" t="str">
        <f>"("&amp;YEAR(C3)-1911&amp;" 年 "&amp;")"</f>
        <v>(113 年 )</v>
      </c>
      <c r="J2" s="22"/>
      <c r="K2" s="23">
        <v>6</v>
      </c>
      <c r="L2" s="28" t="s">
        <v>33</v>
      </c>
      <c r="M2" s="29"/>
      <c r="N2" s="1"/>
      <c r="O2" s="25"/>
      <c r="P2" s="25"/>
      <c r="Q2" s="25"/>
      <c r="R2" s="25"/>
      <c r="S2" s="25"/>
      <c r="T2" s="15"/>
      <c r="U2" s="16"/>
      <c r="V2" s="15"/>
      <c r="W2" s="1"/>
      <c r="X2" s="11"/>
      <c r="Y2" s="11"/>
      <c r="Z2" s="11"/>
      <c r="AA2" s="11"/>
      <c r="AB2" s="11"/>
      <c r="AC2" s="11"/>
      <c r="AD2" s="11"/>
      <c r="AE2" s="11"/>
      <c r="AF2" s="11"/>
      <c r="AG2" s="1"/>
    </row>
    <row r="3" spans="1:39" ht="27.5">
      <c r="A3" s="10"/>
      <c r="B3" s="19" t="s">
        <v>34</v>
      </c>
      <c r="C3" s="30">
        <f>DATE($H$2,$K$2,1)</f>
        <v>45444</v>
      </c>
      <c r="D3" s="64">
        <f>C3+1</f>
        <v>45445</v>
      </c>
      <c r="E3" s="30">
        <f t="shared" ref="E3:AC3" si="0">D3+1</f>
        <v>45446</v>
      </c>
      <c r="F3" s="30">
        <f t="shared" si="0"/>
        <v>45447</v>
      </c>
      <c r="G3" s="30">
        <f t="shared" si="0"/>
        <v>45448</v>
      </c>
      <c r="H3" s="30">
        <f t="shared" si="0"/>
        <v>45449</v>
      </c>
      <c r="I3" s="30">
        <f t="shared" si="0"/>
        <v>45450</v>
      </c>
      <c r="J3" s="30">
        <f t="shared" si="0"/>
        <v>45451</v>
      </c>
      <c r="K3" s="30">
        <f t="shared" si="0"/>
        <v>45452</v>
      </c>
      <c r="L3" s="67">
        <f t="shared" si="0"/>
        <v>45453</v>
      </c>
      <c r="M3" s="30">
        <f t="shared" si="0"/>
        <v>45454</v>
      </c>
      <c r="N3" s="30">
        <f t="shared" si="0"/>
        <v>45455</v>
      </c>
      <c r="O3" s="30">
        <f t="shared" si="0"/>
        <v>45456</v>
      </c>
      <c r="P3" s="30">
        <f t="shared" si="0"/>
        <v>45457</v>
      </c>
      <c r="Q3" s="30">
        <f t="shared" si="0"/>
        <v>45458</v>
      </c>
      <c r="R3" s="30">
        <f t="shared" si="0"/>
        <v>45459</v>
      </c>
      <c r="S3" s="30">
        <f t="shared" si="0"/>
        <v>45460</v>
      </c>
      <c r="T3" s="30">
        <f t="shared" si="0"/>
        <v>45461</v>
      </c>
      <c r="U3" s="30">
        <f t="shared" si="0"/>
        <v>45462</v>
      </c>
      <c r="V3" s="84">
        <f t="shared" si="0"/>
        <v>45463</v>
      </c>
      <c r="W3" s="84">
        <f t="shared" si="0"/>
        <v>45464</v>
      </c>
      <c r="X3" s="30">
        <f t="shared" si="0"/>
        <v>45465</v>
      </c>
      <c r="Y3" s="30">
        <f t="shared" si="0"/>
        <v>45466</v>
      </c>
      <c r="Z3" s="30">
        <f t="shared" si="0"/>
        <v>45467</v>
      </c>
      <c r="AA3" s="30">
        <f t="shared" si="0"/>
        <v>45468</v>
      </c>
      <c r="AB3" s="30">
        <f t="shared" si="0"/>
        <v>45469</v>
      </c>
      <c r="AC3" s="30">
        <f t="shared" si="0"/>
        <v>45470</v>
      </c>
      <c r="AD3" s="30">
        <f>IFERROR(IF(MONTH(AC3+1)=$K$2,AC3+1,""),"")</f>
        <v>45471</v>
      </c>
      <c r="AE3" s="30">
        <f>IFERROR(IF(MONTH(AD3+1)=$K$2,AD3+1,""),"")</f>
        <v>45472</v>
      </c>
      <c r="AF3" s="30">
        <f>IFERROR(IF(MONTH(AE3+1)=$K$2,AE3+1,""),"")</f>
        <v>45473</v>
      </c>
      <c r="AG3" s="30" t="str">
        <f>IFERROR(IF(MONTH(AF3+1)=$K$2,AF3+1,""),"")</f>
        <v/>
      </c>
      <c r="AH3" s="3" t="s">
        <v>35</v>
      </c>
      <c r="AI3" s="3" t="s">
        <v>36</v>
      </c>
      <c r="AJ3" s="3" t="s">
        <v>37</v>
      </c>
      <c r="AK3" s="3" t="s">
        <v>38</v>
      </c>
      <c r="AL3" s="3" t="s">
        <v>39</v>
      </c>
      <c r="AM3" s="3" t="s">
        <v>40</v>
      </c>
    </row>
    <row r="4" spans="1:39" ht="27.5">
      <c r="A4" s="10"/>
      <c r="B4" s="19" t="s">
        <v>41</v>
      </c>
      <c r="C4" s="31">
        <f t="shared" ref="C4:AG4" si="1">IFERROR(IF(WEEKDAY(C3,2)=7,"日",WEEKDAY(C3,2)),"")</f>
        <v>6</v>
      </c>
      <c r="D4" s="65" t="str">
        <f>IFERROR(IF(WEEKDAY(D3,2)=7,"日",WEEKDAY(D3,2)),"")</f>
        <v>日</v>
      </c>
      <c r="E4" s="31">
        <f t="shared" si="1"/>
        <v>1</v>
      </c>
      <c r="F4" s="31">
        <f t="shared" si="1"/>
        <v>2</v>
      </c>
      <c r="G4" s="31">
        <f t="shared" si="1"/>
        <v>3</v>
      </c>
      <c r="H4" s="31">
        <f t="shared" si="1"/>
        <v>4</v>
      </c>
      <c r="I4" s="31">
        <f t="shared" si="1"/>
        <v>5</v>
      </c>
      <c r="J4" s="31">
        <f t="shared" si="1"/>
        <v>6</v>
      </c>
      <c r="K4" s="31" t="str">
        <f t="shared" si="1"/>
        <v>日</v>
      </c>
      <c r="L4" s="68">
        <f t="shared" si="1"/>
        <v>1</v>
      </c>
      <c r="M4" s="31">
        <f t="shared" si="1"/>
        <v>2</v>
      </c>
      <c r="N4" s="31">
        <f t="shared" si="1"/>
        <v>3</v>
      </c>
      <c r="O4" s="31">
        <f t="shared" si="1"/>
        <v>4</v>
      </c>
      <c r="P4" s="31">
        <f t="shared" si="1"/>
        <v>5</v>
      </c>
      <c r="Q4" s="31">
        <f t="shared" si="1"/>
        <v>6</v>
      </c>
      <c r="R4" s="31" t="str">
        <f t="shared" si="1"/>
        <v>日</v>
      </c>
      <c r="S4" s="31">
        <f t="shared" si="1"/>
        <v>1</v>
      </c>
      <c r="T4" s="31">
        <f t="shared" si="1"/>
        <v>2</v>
      </c>
      <c r="U4" s="31">
        <f t="shared" si="1"/>
        <v>3</v>
      </c>
      <c r="V4" s="31">
        <f t="shared" si="1"/>
        <v>4</v>
      </c>
      <c r="W4" s="31">
        <f t="shared" si="1"/>
        <v>5</v>
      </c>
      <c r="X4" s="31">
        <f t="shared" si="1"/>
        <v>6</v>
      </c>
      <c r="Y4" s="31" t="str">
        <f t="shared" si="1"/>
        <v>日</v>
      </c>
      <c r="Z4" s="31">
        <f t="shared" si="1"/>
        <v>1</v>
      </c>
      <c r="AA4" s="31">
        <f t="shared" si="1"/>
        <v>2</v>
      </c>
      <c r="AB4" s="31">
        <f t="shared" si="1"/>
        <v>3</v>
      </c>
      <c r="AC4" s="31">
        <f t="shared" si="1"/>
        <v>4</v>
      </c>
      <c r="AD4" s="31">
        <f t="shared" si="1"/>
        <v>5</v>
      </c>
      <c r="AE4" s="31">
        <f t="shared" si="1"/>
        <v>6</v>
      </c>
      <c r="AF4" s="31" t="str">
        <f t="shared" si="1"/>
        <v>日</v>
      </c>
      <c r="AG4" s="31" t="str">
        <f t="shared" si="1"/>
        <v/>
      </c>
      <c r="AH4" s="420" t="s">
        <v>42</v>
      </c>
      <c r="AI4" s="421"/>
      <c r="AJ4" s="421"/>
      <c r="AK4" s="421"/>
      <c r="AL4" s="421"/>
      <c r="AM4" s="422"/>
    </row>
    <row r="5" spans="1:39" ht="25">
      <c r="A5" s="86" t="s">
        <v>113</v>
      </c>
      <c r="B5" s="6" t="s">
        <v>9</v>
      </c>
      <c r="C5" s="32" t="s">
        <v>43</v>
      </c>
      <c r="D5" s="66" t="s">
        <v>104</v>
      </c>
      <c r="E5" s="62" t="s">
        <v>3</v>
      </c>
      <c r="F5" s="62"/>
      <c r="G5" s="62"/>
      <c r="H5" s="62"/>
      <c r="I5" s="62" t="s">
        <v>4</v>
      </c>
      <c r="J5" s="62"/>
      <c r="K5" s="32" t="s">
        <v>43</v>
      </c>
      <c r="L5" s="76" t="s">
        <v>4</v>
      </c>
      <c r="M5" s="62"/>
      <c r="N5" s="62"/>
      <c r="O5" s="62" t="s">
        <v>5</v>
      </c>
      <c r="P5" s="62" t="s">
        <v>5</v>
      </c>
      <c r="Q5" s="62" t="s">
        <v>4</v>
      </c>
      <c r="R5" s="62" t="s">
        <v>4</v>
      </c>
      <c r="S5" s="62" t="s">
        <v>5</v>
      </c>
      <c r="T5" s="62" t="s">
        <v>5</v>
      </c>
      <c r="U5" s="62" t="s">
        <v>5</v>
      </c>
      <c r="V5" s="33" t="s">
        <v>44</v>
      </c>
      <c r="W5" s="62"/>
      <c r="X5" s="62" t="s">
        <v>44</v>
      </c>
      <c r="Y5" s="62" t="s">
        <v>123</v>
      </c>
      <c r="Z5" s="33" t="s">
        <v>44</v>
      </c>
      <c r="AA5" s="33" t="s">
        <v>44</v>
      </c>
      <c r="AB5" s="33" t="s">
        <v>44</v>
      </c>
      <c r="AC5" s="33" t="s">
        <v>44</v>
      </c>
      <c r="AD5" s="33"/>
      <c r="AE5" s="62"/>
      <c r="AF5" s="33" t="s">
        <v>44</v>
      </c>
      <c r="AG5" s="32"/>
      <c r="AH5" s="3">
        <f>(AI5*12)+(AJ5*12)+(AL5*8)+(AM5*4)</f>
        <v>176</v>
      </c>
      <c r="AI5" s="3">
        <f>COUNTIF(C5:AG5,"D")</f>
        <v>3</v>
      </c>
      <c r="AJ5" s="3">
        <f t="shared" ref="AJ5:AJ12" si="2">COUNTIF(C5:AG5,"N")</f>
        <v>5</v>
      </c>
      <c r="AK5" s="3">
        <f>COUNTIF(C5:AG5,"OFF")</f>
        <v>13</v>
      </c>
      <c r="AL5" s="3">
        <f>COUNTIF(C5:AG5,"")</f>
        <v>10</v>
      </c>
      <c r="AM5" s="3">
        <f>COUNTIF(C5:AG5,"H3")</f>
        <v>0</v>
      </c>
    </row>
    <row r="6" spans="1:39" ht="25">
      <c r="A6" s="86" t="s">
        <v>114</v>
      </c>
      <c r="B6" s="6" t="s">
        <v>45</v>
      </c>
      <c r="C6" s="62" t="s">
        <v>5</v>
      </c>
      <c r="D6" s="66" t="s">
        <v>105</v>
      </c>
      <c r="E6" s="62" t="s">
        <v>5</v>
      </c>
      <c r="F6" s="62" t="s">
        <v>5</v>
      </c>
      <c r="G6" s="33" t="s">
        <v>4</v>
      </c>
      <c r="H6" s="33" t="s">
        <v>4</v>
      </c>
      <c r="I6" s="62" t="s">
        <v>5</v>
      </c>
      <c r="J6" s="62" t="s">
        <v>4</v>
      </c>
      <c r="K6" s="62" t="s">
        <v>124</v>
      </c>
      <c r="L6" s="76" t="s">
        <v>6</v>
      </c>
      <c r="M6" s="62" t="s">
        <v>4</v>
      </c>
      <c r="N6" s="62"/>
      <c r="O6" s="62"/>
      <c r="P6" s="33" t="s">
        <v>10</v>
      </c>
      <c r="Q6" s="62" t="s">
        <v>4</v>
      </c>
      <c r="R6" s="32" t="s">
        <v>43</v>
      </c>
      <c r="S6" s="62"/>
      <c r="T6" s="62"/>
      <c r="U6" s="62"/>
      <c r="V6" s="62" t="s">
        <v>44</v>
      </c>
      <c r="W6" s="62" t="s">
        <v>4</v>
      </c>
      <c r="X6" s="62"/>
      <c r="Y6" s="33" t="s">
        <v>7</v>
      </c>
      <c r="Z6" s="62"/>
      <c r="AA6" s="62" t="s">
        <v>44</v>
      </c>
      <c r="AB6" s="62"/>
      <c r="AC6" s="62"/>
      <c r="AD6" s="62" t="s">
        <v>3</v>
      </c>
      <c r="AE6" s="62" t="s">
        <v>4</v>
      </c>
      <c r="AF6" s="32" t="s">
        <v>2</v>
      </c>
      <c r="AG6" s="32"/>
      <c r="AH6" s="3">
        <f>(AI6*12)+(AJ6*12)+(AL6*8)+(AM6*4)</f>
        <v>176</v>
      </c>
      <c r="AI6" s="3">
        <f t="shared" ref="AI6:AI12" si="3">COUNTIF(C6:AG6,"D")</f>
        <v>3</v>
      </c>
      <c r="AJ6" s="3">
        <f t="shared" si="2"/>
        <v>5</v>
      </c>
      <c r="AK6" s="3">
        <f t="shared" ref="AK6:AK12" si="4">COUNTIF(C6:AG6,"OFF")</f>
        <v>13</v>
      </c>
      <c r="AL6" s="3">
        <f t="shared" ref="AL6:AL12" si="5">COUNTIF(C6:AG6,"")</f>
        <v>10</v>
      </c>
      <c r="AM6" s="3">
        <f t="shared" ref="AM6:AM12" si="6">COUNTIF(C6:AG6,"H3")</f>
        <v>0</v>
      </c>
    </row>
    <row r="7" spans="1:39" ht="25">
      <c r="A7" s="86" t="s">
        <v>115</v>
      </c>
      <c r="B7" s="6" t="s">
        <v>17</v>
      </c>
      <c r="C7" s="34" t="s">
        <v>28</v>
      </c>
      <c r="D7" s="63" t="s">
        <v>28</v>
      </c>
      <c r="E7" s="34"/>
      <c r="F7" s="34"/>
      <c r="G7" s="34"/>
      <c r="H7" s="34"/>
      <c r="I7" s="34"/>
      <c r="J7" s="34" t="s">
        <v>28</v>
      </c>
      <c r="K7" s="63" t="s">
        <v>28</v>
      </c>
      <c r="L7" s="34"/>
      <c r="M7" s="34"/>
      <c r="N7" s="34"/>
      <c r="O7" s="34"/>
      <c r="P7" s="34"/>
      <c r="Q7" s="34" t="s">
        <v>107</v>
      </c>
      <c r="R7" s="62" t="s">
        <v>4</v>
      </c>
      <c r="S7" s="62" t="s">
        <v>3</v>
      </c>
      <c r="T7" s="62" t="s">
        <v>3</v>
      </c>
      <c r="U7" s="33" t="s">
        <v>44</v>
      </c>
      <c r="V7" s="62" t="s">
        <v>3</v>
      </c>
      <c r="W7" s="62" t="s">
        <v>3</v>
      </c>
      <c r="X7" s="33" t="s">
        <v>44</v>
      </c>
      <c r="Y7" s="33" t="s">
        <v>44</v>
      </c>
      <c r="Z7" s="33" t="s">
        <v>44</v>
      </c>
      <c r="AA7" s="62" t="s">
        <v>3</v>
      </c>
      <c r="AB7" s="62" t="s">
        <v>3</v>
      </c>
      <c r="AC7" s="62"/>
      <c r="AD7" s="62" t="s">
        <v>4</v>
      </c>
      <c r="AE7" s="62" t="s">
        <v>4</v>
      </c>
      <c r="AF7" s="32" t="s">
        <v>43</v>
      </c>
      <c r="AG7" s="32"/>
      <c r="AH7" s="3">
        <f t="shared" ref="AH7:AH12" si="7">(AI7*12)+(AJ7*12)+(AL7*8)+(AM7*4)</f>
        <v>180</v>
      </c>
      <c r="AI7" s="3">
        <f>COUNTIF(C7:AG7,"D")</f>
        <v>7</v>
      </c>
      <c r="AJ7" s="3">
        <f t="shared" si="2"/>
        <v>0</v>
      </c>
      <c r="AK7" s="3">
        <f>COUNTIF(C7:AG7,"OFF")</f>
        <v>7</v>
      </c>
      <c r="AL7" s="3">
        <f>COUNTIF(C7:AG7,"")</f>
        <v>12</v>
      </c>
      <c r="AM7" s="3">
        <f>COUNTIF(C7:AG7,"H3")</f>
        <v>0</v>
      </c>
    </row>
    <row r="8" spans="1:39" ht="25">
      <c r="A8" s="86" t="s">
        <v>116</v>
      </c>
      <c r="B8" s="6" t="s">
        <v>46</v>
      </c>
      <c r="C8" s="32"/>
      <c r="D8" s="66" t="s">
        <v>47</v>
      </c>
      <c r="E8" s="62" t="s">
        <v>4</v>
      </c>
      <c r="F8" s="62" t="s">
        <v>3</v>
      </c>
      <c r="G8" s="33" t="s">
        <v>10</v>
      </c>
      <c r="H8" s="62"/>
      <c r="I8" s="62" t="s">
        <v>3</v>
      </c>
      <c r="J8" s="70" t="s">
        <v>4</v>
      </c>
      <c r="K8" s="70" t="s">
        <v>4</v>
      </c>
      <c r="L8" s="70" t="s">
        <v>4</v>
      </c>
      <c r="M8" s="70" t="s">
        <v>4</v>
      </c>
      <c r="N8" s="62" t="s">
        <v>3</v>
      </c>
      <c r="O8" s="62" t="s">
        <v>3</v>
      </c>
      <c r="P8" s="62"/>
      <c r="Q8" s="63"/>
      <c r="R8" s="62" t="s">
        <v>4</v>
      </c>
      <c r="S8" s="77"/>
      <c r="T8" s="77" t="s">
        <v>4</v>
      </c>
      <c r="U8" s="77" t="s">
        <v>4</v>
      </c>
      <c r="V8" s="77"/>
      <c r="W8" s="77"/>
      <c r="X8" s="63"/>
      <c r="Y8" s="63" t="s">
        <v>126</v>
      </c>
      <c r="Z8" s="77" t="s">
        <v>5</v>
      </c>
      <c r="AA8" s="77" t="s">
        <v>44</v>
      </c>
      <c r="AB8" s="77" t="s">
        <v>5</v>
      </c>
      <c r="AC8" s="77" t="s">
        <v>5</v>
      </c>
      <c r="AD8" s="77" t="s">
        <v>4</v>
      </c>
      <c r="AE8" s="63"/>
      <c r="AF8" s="63" t="s">
        <v>2</v>
      </c>
      <c r="AG8" s="32"/>
      <c r="AH8" s="3">
        <f t="shared" si="7"/>
        <v>176</v>
      </c>
      <c r="AI8" s="3">
        <f t="shared" si="3"/>
        <v>4</v>
      </c>
      <c r="AJ8" s="3">
        <f t="shared" si="2"/>
        <v>4</v>
      </c>
      <c r="AK8" s="3">
        <f t="shared" si="4"/>
        <v>13</v>
      </c>
      <c r="AL8" s="3">
        <f t="shared" si="5"/>
        <v>10</v>
      </c>
      <c r="AM8" s="3">
        <f t="shared" si="6"/>
        <v>0</v>
      </c>
    </row>
    <row r="9" spans="1:39" ht="25">
      <c r="A9" s="86" t="s">
        <v>117</v>
      </c>
      <c r="B9" s="6" t="s">
        <v>48</v>
      </c>
      <c r="C9" s="33" t="s">
        <v>2</v>
      </c>
      <c r="D9" s="33" t="s">
        <v>2</v>
      </c>
      <c r="E9" s="62"/>
      <c r="F9" s="62"/>
      <c r="G9" s="62"/>
      <c r="H9" s="62" t="s">
        <v>4</v>
      </c>
      <c r="I9" s="62"/>
      <c r="J9" s="32" t="s">
        <v>47</v>
      </c>
      <c r="K9" s="62" t="s">
        <v>5</v>
      </c>
      <c r="L9" s="70" t="s">
        <v>4</v>
      </c>
      <c r="M9" s="62" t="s">
        <v>3</v>
      </c>
      <c r="N9" s="62" t="s">
        <v>4</v>
      </c>
      <c r="O9" s="62" t="s">
        <v>4</v>
      </c>
      <c r="P9" s="62" t="s">
        <v>3</v>
      </c>
      <c r="Q9" s="62"/>
      <c r="R9" s="63"/>
      <c r="S9" s="63"/>
      <c r="T9" s="63"/>
      <c r="U9" s="63"/>
      <c r="V9" s="63"/>
      <c r="W9" s="34"/>
      <c r="X9" s="63" t="s">
        <v>3</v>
      </c>
      <c r="Y9" s="63" t="s">
        <v>28</v>
      </c>
      <c r="Z9" s="62" t="s">
        <v>3</v>
      </c>
      <c r="AA9" s="62" t="s">
        <v>5</v>
      </c>
      <c r="AB9" s="62" t="s">
        <v>44</v>
      </c>
      <c r="AC9" s="62" t="s">
        <v>44</v>
      </c>
      <c r="AD9" s="62" t="s">
        <v>5</v>
      </c>
      <c r="AE9" s="35" t="s">
        <v>2</v>
      </c>
      <c r="AF9" s="35" t="s">
        <v>2</v>
      </c>
      <c r="AG9" s="32"/>
      <c r="AH9" s="3">
        <f t="shared" si="7"/>
        <v>192</v>
      </c>
      <c r="AI9" s="3">
        <f t="shared" si="3"/>
        <v>4</v>
      </c>
      <c r="AJ9" s="3">
        <f t="shared" si="2"/>
        <v>4</v>
      </c>
      <c r="AK9" s="3">
        <f t="shared" si="4"/>
        <v>10</v>
      </c>
      <c r="AL9" s="3">
        <f t="shared" si="5"/>
        <v>12</v>
      </c>
      <c r="AM9" s="3">
        <f t="shared" si="6"/>
        <v>0</v>
      </c>
    </row>
    <row r="10" spans="1:39" ht="25">
      <c r="A10" s="86" t="s">
        <v>118</v>
      </c>
      <c r="B10" s="6" t="s">
        <v>49</v>
      </c>
      <c r="C10" s="34" t="s">
        <v>28</v>
      </c>
      <c r="D10" s="34" t="s">
        <v>139</v>
      </c>
      <c r="E10" s="34" t="s">
        <v>140</v>
      </c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 t="s">
        <v>28</v>
      </c>
      <c r="R10" s="34" t="s">
        <v>28</v>
      </c>
      <c r="S10" s="62" t="s">
        <v>4</v>
      </c>
      <c r="T10" s="62" t="s">
        <v>4</v>
      </c>
      <c r="U10" s="62" t="s">
        <v>3</v>
      </c>
      <c r="V10" s="62" t="s">
        <v>5</v>
      </c>
      <c r="W10" s="62" t="s">
        <v>5</v>
      </c>
      <c r="X10" s="33" t="s">
        <v>5</v>
      </c>
      <c r="Y10" s="33" t="s">
        <v>5</v>
      </c>
      <c r="Z10" s="62" t="s">
        <v>44</v>
      </c>
      <c r="AA10" s="62"/>
      <c r="AB10" s="62" t="s">
        <v>44</v>
      </c>
      <c r="AC10" s="62" t="s">
        <v>3</v>
      </c>
      <c r="AD10" s="62" t="s">
        <v>4</v>
      </c>
      <c r="AE10" s="32" t="s">
        <v>43</v>
      </c>
      <c r="AF10" s="62" t="s">
        <v>4</v>
      </c>
      <c r="AG10" s="32"/>
      <c r="AH10" s="3">
        <f t="shared" si="7"/>
        <v>188</v>
      </c>
      <c r="AI10" s="3">
        <f t="shared" si="3"/>
        <v>3</v>
      </c>
      <c r="AJ10" s="3">
        <f t="shared" si="2"/>
        <v>4</v>
      </c>
      <c r="AK10" s="3">
        <f>COUNTIF(C10:AG10,"OFF")</f>
        <v>6</v>
      </c>
      <c r="AL10" s="3">
        <f t="shared" si="5"/>
        <v>13</v>
      </c>
      <c r="AM10" s="3">
        <f t="shared" si="6"/>
        <v>0</v>
      </c>
    </row>
    <row r="11" spans="1:39" ht="25">
      <c r="A11" s="86" t="s">
        <v>113</v>
      </c>
      <c r="B11" s="6" t="s">
        <v>50</v>
      </c>
      <c r="C11" s="62"/>
      <c r="D11" s="87" t="s">
        <v>105</v>
      </c>
      <c r="E11" s="33" t="s">
        <v>128</v>
      </c>
      <c r="F11" s="33" t="s">
        <v>128</v>
      </c>
      <c r="G11" s="62" t="s">
        <v>3</v>
      </c>
      <c r="H11" s="62" t="s">
        <v>3</v>
      </c>
      <c r="I11" s="62"/>
      <c r="J11" s="62"/>
      <c r="K11" s="62" t="s">
        <v>4</v>
      </c>
      <c r="L11" s="69" t="s">
        <v>109</v>
      </c>
      <c r="M11" s="62" t="s">
        <v>5</v>
      </c>
      <c r="N11" s="62" t="s">
        <v>5</v>
      </c>
      <c r="O11" s="62" t="s">
        <v>4</v>
      </c>
      <c r="P11" s="62" t="s">
        <v>4</v>
      </c>
      <c r="Q11" s="32" t="s">
        <v>47</v>
      </c>
      <c r="R11" s="32" t="s">
        <v>47</v>
      </c>
      <c r="S11" s="34"/>
      <c r="T11" s="34"/>
      <c r="U11" s="34"/>
      <c r="V11" s="34"/>
      <c r="W11" s="34"/>
      <c r="X11" s="34" t="s">
        <v>28</v>
      </c>
      <c r="Y11" s="34" t="s">
        <v>28</v>
      </c>
      <c r="Z11" s="34"/>
      <c r="AA11" s="34"/>
      <c r="AB11" s="34"/>
      <c r="AC11" s="34"/>
      <c r="AD11" s="34"/>
      <c r="AE11" s="34" t="s">
        <v>28</v>
      </c>
      <c r="AF11" s="34" t="s">
        <v>28</v>
      </c>
      <c r="AG11" s="32"/>
      <c r="AH11" s="3">
        <f t="shared" si="7"/>
        <v>196</v>
      </c>
      <c r="AI11" s="3">
        <f t="shared" si="3"/>
        <v>3</v>
      </c>
      <c r="AJ11" s="3">
        <f t="shared" si="2"/>
        <v>4</v>
      </c>
      <c r="AK11" s="3">
        <f>COUNTIF(C11:AG11,"OFF")</f>
        <v>6</v>
      </c>
      <c r="AL11" s="3">
        <f t="shared" si="5"/>
        <v>14</v>
      </c>
      <c r="AM11" s="3">
        <f t="shared" si="6"/>
        <v>0</v>
      </c>
    </row>
    <row r="12" spans="1:39" ht="27" customHeight="1">
      <c r="A12" s="86" t="s">
        <v>119</v>
      </c>
      <c r="B12" s="6" t="s">
        <v>51</v>
      </c>
      <c r="C12" s="33" t="s">
        <v>2</v>
      </c>
      <c r="D12" s="66" t="s">
        <v>43</v>
      </c>
      <c r="E12" s="62"/>
      <c r="F12" s="62" t="s">
        <v>4</v>
      </c>
      <c r="G12" s="62" t="s">
        <v>5</v>
      </c>
      <c r="H12" s="62" t="s">
        <v>5</v>
      </c>
      <c r="I12" s="33" t="s">
        <v>125</v>
      </c>
      <c r="J12" s="62" t="s">
        <v>7</v>
      </c>
      <c r="K12" s="62" t="s">
        <v>4</v>
      </c>
      <c r="L12" s="75" t="s">
        <v>122</v>
      </c>
      <c r="M12" s="62"/>
      <c r="N12" s="62" t="s">
        <v>4</v>
      </c>
      <c r="O12" s="62"/>
      <c r="P12" s="62"/>
      <c r="Q12" s="32" t="s">
        <v>43</v>
      </c>
      <c r="R12" s="62" t="s">
        <v>122</v>
      </c>
      <c r="S12" s="62" t="s">
        <v>4</v>
      </c>
      <c r="T12" s="62"/>
      <c r="U12" s="62"/>
      <c r="V12" s="62"/>
      <c r="W12" s="33" t="s">
        <v>125</v>
      </c>
      <c r="X12" s="33" t="s">
        <v>2</v>
      </c>
      <c r="Y12" s="83" t="s">
        <v>4</v>
      </c>
      <c r="Z12" s="62"/>
      <c r="AA12" s="62"/>
      <c r="AB12" s="62"/>
      <c r="AC12" s="62" t="s">
        <v>44</v>
      </c>
      <c r="AD12" s="62"/>
      <c r="AE12" s="62" t="s">
        <v>5</v>
      </c>
      <c r="AF12" s="62" t="s">
        <v>5</v>
      </c>
      <c r="AG12" s="32"/>
      <c r="AH12" s="3">
        <f t="shared" si="7"/>
        <v>180</v>
      </c>
      <c r="AI12" s="3">
        <f t="shared" si="3"/>
        <v>3</v>
      </c>
      <c r="AJ12" s="3">
        <f t="shared" si="2"/>
        <v>4</v>
      </c>
      <c r="AK12" s="3">
        <f t="shared" si="4"/>
        <v>12</v>
      </c>
      <c r="AL12" s="3">
        <f t="shared" si="5"/>
        <v>12</v>
      </c>
      <c r="AM12" s="3">
        <f t="shared" si="6"/>
        <v>0</v>
      </c>
    </row>
    <row r="13" spans="1:39" s="17" customFormat="1" ht="33.75" customHeight="1">
      <c r="A13" s="10"/>
      <c r="C13" s="17">
        <v>2</v>
      </c>
      <c r="D13" s="17">
        <v>4</v>
      </c>
      <c r="E13" s="17">
        <v>2</v>
      </c>
      <c r="F13" s="17">
        <v>2</v>
      </c>
      <c r="G13" s="17">
        <v>2</v>
      </c>
      <c r="H13" s="17">
        <v>2</v>
      </c>
      <c r="I13" s="17">
        <v>2</v>
      </c>
      <c r="J13" s="17">
        <v>2</v>
      </c>
      <c r="K13" s="17">
        <v>4</v>
      </c>
      <c r="L13" s="17">
        <v>4</v>
      </c>
      <c r="M13" s="58">
        <v>2</v>
      </c>
      <c r="N13" s="58">
        <v>2</v>
      </c>
      <c r="O13" s="58">
        <v>2</v>
      </c>
      <c r="P13" s="58">
        <v>2</v>
      </c>
      <c r="Q13" s="58">
        <v>2</v>
      </c>
      <c r="R13" s="17">
        <v>4</v>
      </c>
      <c r="S13" s="17">
        <v>2</v>
      </c>
      <c r="T13" s="17">
        <v>2</v>
      </c>
      <c r="U13" s="17">
        <v>2</v>
      </c>
      <c r="V13" s="17">
        <v>2</v>
      </c>
      <c r="W13" s="17">
        <v>2</v>
      </c>
      <c r="X13" s="17">
        <v>3</v>
      </c>
      <c r="Y13" s="17">
        <v>4</v>
      </c>
      <c r="Z13" s="17">
        <v>3</v>
      </c>
      <c r="AA13" s="17">
        <v>3</v>
      </c>
      <c r="AB13" s="17">
        <v>3</v>
      </c>
      <c r="AC13" s="17">
        <v>3</v>
      </c>
      <c r="AD13" s="17">
        <v>3</v>
      </c>
      <c r="AE13" s="17">
        <v>3</v>
      </c>
      <c r="AF13" s="17">
        <v>5</v>
      </c>
      <c r="AG13" s="17">
        <f>SUM(C13:AF13)</f>
        <v>80</v>
      </c>
      <c r="AI13" s="17">
        <f>SUM(AI5:AI12)</f>
        <v>30</v>
      </c>
      <c r="AJ13" s="17">
        <f>SUM(AJ5:AJ12)</f>
        <v>30</v>
      </c>
      <c r="AK13" s="17">
        <f>SUM(AK5:AK12)</f>
        <v>80</v>
      </c>
    </row>
    <row r="14" spans="1:39" s="17" customFormat="1" ht="33.75" customHeight="1">
      <c r="A14" s="10"/>
      <c r="M14" s="58"/>
      <c r="N14" s="58"/>
      <c r="O14" s="58"/>
      <c r="P14" s="58"/>
      <c r="Q14" s="58">
        <f>AJ16+SUM(C13:Q13)</f>
        <v>36</v>
      </c>
      <c r="S14" s="80"/>
      <c r="T14" s="80"/>
      <c r="U14" s="80"/>
      <c r="Y14" s="17">
        <f>SUM(R13:Y13)</f>
        <v>21</v>
      </c>
      <c r="AF14" s="17">
        <f>SUM(Z13:AF13)</f>
        <v>23</v>
      </c>
    </row>
    <row r="15" spans="1:39" s="17" customFormat="1" ht="33.75" customHeight="1">
      <c r="A15" s="10"/>
      <c r="B15" s="17" t="s">
        <v>3</v>
      </c>
      <c r="C15" s="17">
        <f t="shared" ref="C15:Z15" si="8">COUNTIF(C5:C12,"D")</f>
        <v>1</v>
      </c>
      <c r="D15" s="17">
        <f t="shared" si="8"/>
        <v>1</v>
      </c>
      <c r="E15" s="17">
        <f t="shared" si="8"/>
        <v>1</v>
      </c>
      <c r="F15" s="17">
        <f t="shared" si="8"/>
        <v>1</v>
      </c>
      <c r="G15" s="17">
        <f t="shared" si="8"/>
        <v>1</v>
      </c>
      <c r="H15" s="17">
        <f t="shared" si="8"/>
        <v>1</v>
      </c>
      <c r="I15" s="17">
        <f t="shared" si="8"/>
        <v>1</v>
      </c>
      <c r="J15" s="17">
        <f t="shared" si="8"/>
        <v>1</v>
      </c>
      <c r="K15" s="17">
        <f t="shared" si="8"/>
        <v>1</v>
      </c>
      <c r="L15" s="17">
        <f t="shared" si="8"/>
        <v>1</v>
      </c>
      <c r="M15" s="58">
        <f t="shared" si="8"/>
        <v>1</v>
      </c>
      <c r="N15" s="17">
        <f t="shared" si="8"/>
        <v>1</v>
      </c>
      <c r="O15" s="17">
        <f t="shared" si="8"/>
        <v>1</v>
      </c>
      <c r="P15" s="17">
        <f t="shared" si="8"/>
        <v>1</v>
      </c>
      <c r="Q15" s="17">
        <f t="shared" si="8"/>
        <v>1</v>
      </c>
      <c r="R15" s="17">
        <f t="shared" si="8"/>
        <v>1</v>
      </c>
      <c r="S15" s="17">
        <f t="shared" si="8"/>
        <v>1</v>
      </c>
      <c r="T15" s="17">
        <f t="shared" si="8"/>
        <v>1</v>
      </c>
      <c r="U15" s="17">
        <f t="shared" si="8"/>
        <v>1</v>
      </c>
      <c r="V15" s="17">
        <f t="shared" si="8"/>
        <v>1</v>
      </c>
      <c r="W15" s="17">
        <f t="shared" si="8"/>
        <v>1</v>
      </c>
      <c r="X15" s="17">
        <f t="shared" si="8"/>
        <v>1</v>
      </c>
      <c r="Y15" s="17">
        <f t="shared" si="8"/>
        <v>1</v>
      </c>
      <c r="Z15" s="17">
        <f t="shared" si="8"/>
        <v>1</v>
      </c>
      <c r="AA15" s="17">
        <v>1</v>
      </c>
      <c r="AB15" s="17">
        <v>1</v>
      </c>
      <c r="AC15" s="17">
        <f>COUNTIF(AC5:AC12,"D")</f>
        <v>1</v>
      </c>
      <c r="AD15" s="17">
        <f>COUNTIF(AD5:AD12,"D")</f>
        <v>1</v>
      </c>
      <c r="AE15" s="17">
        <f>COUNTIF(AE5:AE12,"D")</f>
        <v>1</v>
      </c>
      <c r="AF15" s="17">
        <f>COUNTIF(AF5:AF12,"D")</f>
        <v>1</v>
      </c>
    </row>
    <row r="16" spans="1:39" s="17" customFormat="1" ht="33.75" customHeight="1">
      <c r="A16" s="10"/>
      <c r="B16" s="17" t="s">
        <v>5</v>
      </c>
      <c r="C16" s="17">
        <f t="shared" ref="C16:AF16" si="9">COUNTIF(C5:C12,"N")</f>
        <v>1</v>
      </c>
      <c r="D16" s="17">
        <f t="shared" si="9"/>
        <v>1</v>
      </c>
      <c r="E16" s="17">
        <f t="shared" si="9"/>
        <v>1</v>
      </c>
      <c r="F16" s="17">
        <f t="shared" si="9"/>
        <v>1</v>
      </c>
      <c r="G16" s="17">
        <f t="shared" si="9"/>
        <v>1</v>
      </c>
      <c r="H16" s="17">
        <f t="shared" si="9"/>
        <v>1</v>
      </c>
      <c r="I16" s="17">
        <f t="shared" si="9"/>
        <v>1</v>
      </c>
      <c r="J16" s="17">
        <f t="shared" si="9"/>
        <v>1</v>
      </c>
      <c r="K16" s="17">
        <f t="shared" si="9"/>
        <v>1</v>
      </c>
      <c r="L16" s="17">
        <f t="shared" si="9"/>
        <v>1</v>
      </c>
      <c r="M16" s="58">
        <f t="shared" si="9"/>
        <v>1</v>
      </c>
      <c r="N16" s="17">
        <f t="shared" si="9"/>
        <v>1</v>
      </c>
      <c r="O16" s="17">
        <f t="shared" si="9"/>
        <v>1</v>
      </c>
      <c r="P16" s="17">
        <f t="shared" si="9"/>
        <v>1</v>
      </c>
      <c r="Q16" s="17">
        <f t="shared" si="9"/>
        <v>1</v>
      </c>
      <c r="R16" s="17">
        <f t="shared" si="9"/>
        <v>1</v>
      </c>
      <c r="S16" s="17">
        <f t="shared" si="9"/>
        <v>1</v>
      </c>
      <c r="T16" s="17">
        <f t="shared" si="9"/>
        <v>1</v>
      </c>
      <c r="U16" s="17">
        <f t="shared" si="9"/>
        <v>1</v>
      </c>
      <c r="V16" s="17">
        <f t="shared" si="9"/>
        <v>1</v>
      </c>
      <c r="W16" s="17">
        <f t="shared" si="9"/>
        <v>1</v>
      </c>
      <c r="X16" s="17">
        <f t="shared" si="9"/>
        <v>1</v>
      </c>
      <c r="Y16" s="17">
        <f t="shared" si="9"/>
        <v>1</v>
      </c>
      <c r="Z16" s="17">
        <f t="shared" si="9"/>
        <v>1</v>
      </c>
      <c r="AA16" s="17">
        <f t="shared" si="9"/>
        <v>1</v>
      </c>
      <c r="AB16" s="17">
        <f t="shared" si="9"/>
        <v>1</v>
      </c>
      <c r="AC16" s="17">
        <f t="shared" si="9"/>
        <v>1</v>
      </c>
      <c r="AD16" s="17">
        <f t="shared" si="9"/>
        <v>1</v>
      </c>
      <c r="AE16" s="17">
        <f t="shared" si="9"/>
        <v>1</v>
      </c>
      <c r="AF16" s="17">
        <f t="shared" si="9"/>
        <v>1</v>
      </c>
    </row>
    <row r="17" spans="1:38" s="17" customFormat="1" ht="33.75" customHeight="1" thickBot="1">
      <c r="A17" s="10"/>
      <c r="B17" s="17" t="s">
        <v>4</v>
      </c>
      <c r="C17" s="17">
        <f t="shared" ref="C17:AF17" si="10">COUNTIF(C5:C12,"OFF")</f>
        <v>2</v>
      </c>
      <c r="D17" s="17">
        <f t="shared" si="10"/>
        <v>4</v>
      </c>
      <c r="E17" s="17">
        <f t="shared" si="10"/>
        <v>2</v>
      </c>
      <c r="F17" s="17">
        <f t="shared" si="10"/>
        <v>2</v>
      </c>
      <c r="G17" s="17">
        <f t="shared" si="10"/>
        <v>2</v>
      </c>
      <c r="H17" s="17">
        <f t="shared" si="10"/>
        <v>2</v>
      </c>
      <c r="I17" s="17">
        <f t="shared" si="10"/>
        <v>2</v>
      </c>
      <c r="J17" s="17">
        <f t="shared" si="10"/>
        <v>2</v>
      </c>
      <c r="K17" s="17">
        <f t="shared" si="10"/>
        <v>4</v>
      </c>
      <c r="L17" s="17">
        <f t="shared" si="10"/>
        <v>4</v>
      </c>
      <c r="M17" s="58">
        <f t="shared" si="10"/>
        <v>2</v>
      </c>
      <c r="N17" s="17">
        <f t="shared" si="10"/>
        <v>2</v>
      </c>
      <c r="O17" s="17">
        <f t="shared" si="10"/>
        <v>2</v>
      </c>
      <c r="P17" s="17">
        <f t="shared" si="10"/>
        <v>2</v>
      </c>
      <c r="Q17" s="17">
        <f t="shared" si="10"/>
        <v>2</v>
      </c>
      <c r="R17" s="17">
        <f t="shared" ref="R17:X17" si="11">COUNTIF(R5:R12,"OFF")</f>
        <v>4</v>
      </c>
      <c r="S17" s="17">
        <f t="shared" si="11"/>
        <v>2</v>
      </c>
      <c r="T17" s="17">
        <f t="shared" si="11"/>
        <v>2</v>
      </c>
      <c r="U17" s="17">
        <f t="shared" si="11"/>
        <v>2</v>
      </c>
      <c r="V17" s="17">
        <f t="shared" si="11"/>
        <v>2</v>
      </c>
      <c r="W17" s="17">
        <f t="shared" si="11"/>
        <v>2</v>
      </c>
      <c r="X17" s="17">
        <f t="shared" si="11"/>
        <v>3</v>
      </c>
      <c r="Y17" s="17">
        <f t="shared" si="10"/>
        <v>4</v>
      </c>
      <c r="Z17" s="17">
        <f t="shared" si="10"/>
        <v>3</v>
      </c>
      <c r="AA17" s="17">
        <f t="shared" si="10"/>
        <v>3</v>
      </c>
      <c r="AB17" s="17">
        <f t="shared" si="10"/>
        <v>3</v>
      </c>
      <c r="AC17" s="17">
        <f t="shared" si="10"/>
        <v>3</v>
      </c>
      <c r="AD17" s="17">
        <f t="shared" si="10"/>
        <v>3</v>
      </c>
      <c r="AE17" s="17">
        <f t="shared" si="10"/>
        <v>3</v>
      </c>
      <c r="AF17" s="17">
        <f t="shared" si="10"/>
        <v>5</v>
      </c>
      <c r="AG17" s="17">
        <f>SUM(C17:AF17)</f>
        <v>80</v>
      </c>
    </row>
    <row r="18" spans="1:38" ht="32.5" thickBot="1">
      <c r="A18" s="10"/>
      <c r="B18" s="4"/>
      <c r="C18" s="36">
        <v>1</v>
      </c>
      <c r="D18" s="423" t="s">
        <v>29</v>
      </c>
      <c r="E18" s="424"/>
      <c r="F18" s="425" t="s">
        <v>18</v>
      </c>
      <c r="G18" s="425"/>
      <c r="H18" s="14" t="s">
        <v>52</v>
      </c>
      <c r="K18" s="37">
        <f>K19+K20</f>
        <v>4</v>
      </c>
      <c r="L18" s="13" t="s">
        <v>53</v>
      </c>
      <c r="M18" s="13" t="s">
        <v>54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4"/>
      <c r="Y18" s="14"/>
      <c r="Z18" s="14"/>
      <c r="AA18" s="14"/>
      <c r="AB18" s="14"/>
      <c r="AC18" s="14"/>
      <c r="AF18" s="38" t="s">
        <v>55</v>
      </c>
      <c r="AG18" s="9" t="s">
        <v>56</v>
      </c>
      <c r="AI18" t="s">
        <v>38</v>
      </c>
      <c r="AJ18" s="39" t="s">
        <v>9</v>
      </c>
      <c r="AK18" s="40" t="s">
        <v>57</v>
      </c>
      <c r="AL18" t="s">
        <v>58</v>
      </c>
    </row>
    <row r="19" spans="1:38" ht="32.5" thickBot="1">
      <c r="A19" s="10"/>
      <c r="B19" s="4"/>
      <c r="C19" s="41">
        <v>2</v>
      </c>
      <c r="D19" s="424" t="s">
        <v>30</v>
      </c>
      <c r="E19" s="426"/>
      <c r="F19" s="425" t="s">
        <v>16</v>
      </c>
      <c r="G19" s="425"/>
      <c r="H19" s="42"/>
      <c r="I19" s="13" t="s">
        <v>59</v>
      </c>
      <c r="J19" s="13"/>
      <c r="K19" s="37">
        <v>2</v>
      </c>
      <c r="L19" s="4"/>
      <c r="M19" s="13" t="s">
        <v>60</v>
      </c>
      <c r="N19" s="13"/>
      <c r="O19" s="13"/>
      <c r="P19" s="13"/>
      <c r="Q19" s="13"/>
      <c r="R19" s="7"/>
      <c r="T19" s="43" t="str">
        <f>QUOTIENT((COUNTA(C3:AG3)-COUNTIF(AE3:AG3,"")),COUNTA(C18:C25))&amp;" ... "&amp;MOD((COUNTA(C3:AG3)-COUNTIF(AE3:AG3,"")),COUNTA(C18:C25))</f>
        <v>3 ... 6</v>
      </c>
      <c r="U19" s="44"/>
      <c r="V19" s="45"/>
      <c r="X19" s="13"/>
      <c r="Y19" s="8" t="s">
        <v>20</v>
      </c>
      <c r="Z19" s="20" t="s">
        <v>3</v>
      </c>
      <c r="AA19" s="20">
        <v>3</v>
      </c>
      <c r="AB19" s="20" t="s">
        <v>5</v>
      </c>
      <c r="AC19" s="20">
        <v>5</v>
      </c>
      <c r="AD19" s="20" t="s">
        <v>4</v>
      </c>
      <c r="AE19" s="8">
        <v>13</v>
      </c>
      <c r="AF19" s="46" t="s">
        <v>61</v>
      </c>
      <c r="AG19" s="47" t="s">
        <v>62</v>
      </c>
      <c r="AI19" t="s">
        <v>36</v>
      </c>
      <c r="AJ19" s="40" t="s">
        <v>45</v>
      </c>
      <c r="AK19" s="40" t="s">
        <v>63</v>
      </c>
      <c r="AL19" t="s">
        <v>64</v>
      </c>
    </row>
    <row r="20" spans="1:38" ht="32.5" thickBot="1">
      <c r="A20" s="10"/>
      <c r="B20" s="4"/>
      <c r="C20" s="41">
        <v>3</v>
      </c>
      <c r="D20" s="424" t="s">
        <v>31</v>
      </c>
      <c r="E20" s="426"/>
      <c r="F20" s="425" t="s">
        <v>14</v>
      </c>
      <c r="G20" s="425"/>
      <c r="H20" s="42"/>
      <c r="I20" s="13" t="s">
        <v>65</v>
      </c>
      <c r="K20" s="37">
        <v>2</v>
      </c>
      <c r="M20" s="13" t="s">
        <v>66</v>
      </c>
      <c r="N20" s="13"/>
      <c r="O20" s="13"/>
      <c r="P20" s="13"/>
      <c r="Q20" s="13"/>
      <c r="R20" s="7"/>
      <c r="T20" s="48" t="str">
        <f>QUOTIENT((COUNTA(C3:AG3)-COUNTIF(AE3:AG3,"")),COUNTA(C18:C25))&amp;" ... "&amp;MOD((COUNTA(C3:AG3)-COUNTIF(AE3:AG3,"")),COUNTA(C18:C25))</f>
        <v>3 ... 6</v>
      </c>
      <c r="U20" s="49"/>
      <c r="V20" s="45"/>
      <c r="Y20" s="8" t="s">
        <v>21</v>
      </c>
      <c r="Z20" s="20" t="s">
        <v>3</v>
      </c>
      <c r="AA20" s="20">
        <v>3</v>
      </c>
      <c r="AB20" s="20" t="s">
        <v>5</v>
      </c>
      <c r="AC20" s="20">
        <v>5</v>
      </c>
      <c r="AD20" s="20" t="s">
        <v>4</v>
      </c>
      <c r="AE20" s="8">
        <v>13</v>
      </c>
      <c r="AF20" s="46" t="s">
        <v>67</v>
      </c>
      <c r="AG20" s="47" t="s">
        <v>56</v>
      </c>
      <c r="AI20" t="s">
        <v>37</v>
      </c>
      <c r="AJ20" s="40" t="s">
        <v>17</v>
      </c>
      <c r="AK20" s="40" t="s">
        <v>68</v>
      </c>
      <c r="AL20" t="s">
        <v>69</v>
      </c>
    </row>
    <row r="21" spans="1:38" ht="32.5" thickBot="1">
      <c r="A21" s="10"/>
      <c r="B21" s="4"/>
      <c r="C21" s="41">
        <v>4</v>
      </c>
      <c r="D21" s="424" t="s">
        <v>30</v>
      </c>
      <c r="E21" s="426"/>
      <c r="F21" s="425" t="s">
        <v>13</v>
      </c>
      <c r="G21" s="425"/>
      <c r="M21" s="13" t="s">
        <v>70</v>
      </c>
      <c r="N21" s="13"/>
      <c r="O21" s="13"/>
      <c r="P21" s="13"/>
      <c r="Q21" s="13"/>
      <c r="R21" s="13"/>
      <c r="T21" s="50" t="str">
        <f>QUOTIENT(X22,COUNTA(C18:C25))&amp;" ... "&amp;MOD(X22,COUNTA(C18:C25))</f>
        <v>15 ... 1</v>
      </c>
      <c r="U21" s="51"/>
      <c r="V21" s="52"/>
      <c r="Y21" s="8" t="s">
        <v>22</v>
      </c>
      <c r="Z21" s="20" t="s">
        <v>3</v>
      </c>
      <c r="AA21" s="20">
        <v>7</v>
      </c>
      <c r="AB21" s="82" t="s">
        <v>5</v>
      </c>
      <c r="AC21" s="20"/>
      <c r="AD21" s="20" t="s">
        <v>4</v>
      </c>
      <c r="AE21" s="8">
        <v>7</v>
      </c>
      <c r="AF21" s="46" t="s">
        <v>71</v>
      </c>
      <c r="AG21" s="47" t="s">
        <v>72</v>
      </c>
      <c r="AI21" t="s">
        <v>40</v>
      </c>
      <c r="AJ21" s="40" t="s">
        <v>46</v>
      </c>
      <c r="AK21" s="40" t="s">
        <v>73</v>
      </c>
      <c r="AL21" t="s">
        <v>74</v>
      </c>
    </row>
    <row r="22" spans="1:38" ht="32.5" thickBot="1">
      <c r="A22" s="10"/>
      <c r="B22" s="4"/>
      <c r="C22" s="41">
        <v>5</v>
      </c>
      <c r="D22" s="424" t="s">
        <v>30</v>
      </c>
      <c r="E22" s="426"/>
      <c r="F22" s="425" t="s">
        <v>15</v>
      </c>
      <c r="G22" s="425"/>
      <c r="H22" s="42"/>
      <c r="I22" s="5"/>
      <c r="J22" s="5"/>
      <c r="K22" s="5"/>
      <c r="L22" s="5"/>
      <c r="M22" s="13" t="s">
        <v>75</v>
      </c>
      <c r="N22" s="13"/>
      <c r="O22" s="13" t="s">
        <v>76</v>
      </c>
      <c r="P22" s="37">
        <f>COUNTIF(C4:AG4,"日")*((COUNTA(C18:C25))-K20)</f>
        <v>30</v>
      </c>
      <c r="Q22" s="13" t="s">
        <v>77</v>
      </c>
      <c r="R22" s="13" t="s">
        <v>78</v>
      </c>
      <c r="S22" s="37">
        <f>COUNTIF(C4:AG4,"6")*((COUNTA(C18:C25))-K18)</f>
        <v>20</v>
      </c>
      <c r="T22" s="13" t="s">
        <v>79</v>
      </c>
      <c r="U22" s="53">
        <f>P22+S22</f>
        <v>50</v>
      </c>
      <c r="V22" s="13" t="s">
        <v>32</v>
      </c>
      <c r="W22" s="13"/>
      <c r="X22" s="54">
        <f>U22+U23+U24</f>
        <v>121</v>
      </c>
      <c r="Y22" s="8" t="s">
        <v>3</v>
      </c>
      <c r="Z22" s="20" t="s">
        <v>3</v>
      </c>
      <c r="AA22" s="73">
        <v>4</v>
      </c>
      <c r="AB22" s="20" t="s">
        <v>5</v>
      </c>
      <c r="AC22" s="20">
        <v>4</v>
      </c>
      <c r="AD22" s="20" t="s">
        <v>4</v>
      </c>
      <c r="AE22" s="8">
        <v>13</v>
      </c>
      <c r="AF22" s="46"/>
      <c r="AG22" s="55"/>
      <c r="AI22" t="s">
        <v>80</v>
      </c>
      <c r="AJ22" s="40" t="s">
        <v>48</v>
      </c>
      <c r="AK22" s="40" t="s">
        <v>81</v>
      </c>
    </row>
    <row r="23" spans="1:38" ht="32.5" thickBot="1">
      <c r="B23" s="4"/>
      <c r="C23" s="41">
        <v>6</v>
      </c>
      <c r="D23" s="424" t="s">
        <v>30</v>
      </c>
      <c r="E23" s="426"/>
      <c r="F23" s="425" t="s">
        <v>26</v>
      </c>
      <c r="G23" s="425"/>
      <c r="H23" s="59" t="s">
        <v>101</v>
      </c>
      <c r="I23" s="59"/>
      <c r="J23" s="60"/>
      <c r="K23" s="60"/>
      <c r="L23" s="4"/>
      <c r="O23" s="13" t="s">
        <v>82</v>
      </c>
      <c r="P23" s="13"/>
      <c r="T23" s="13"/>
      <c r="U23" s="37"/>
      <c r="V23" s="13"/>
      <c r="W23" s="13"/>
      <c r="X23" s="13"/>
      <c r="Y23" s="8" t="s">
        <v>23</v>
      </c>
      <c r="Z23" s="20" t="s">
        <v>3</v>
      </c>
      <c r="AA23" s="20">
        <v>4</v>
      </c>
      <c r="AB23" s="20" t="s">
        <v>5</v>
      </c>
      <c r="AC23" s="20">
        <v>4</v>
      </c>
      <c r="AD23" s="20" t="s">
        <v>4</v>
      </c>
      <c r="AE23" s="8">
        <v>10</v>
      </c>
      <c r="AF23" s="46" t="s">
        <v>83</v>
      </c>
      <c r="AG23" s="47" t="s">
        <v>84</v>
      </c>
      <c r="AI23" t="s">
        <v>85</v>
      </c>
      <c r="AJ23" s="40" t="s">
        <v>49</v>
      </c>
      <c r="AK23" s="40" t="s">
        <v>86</v>
      </c>
    </row>
    <row r="24" spans="1:38" ht="32.5" thickBot="1">
      <c r="B24" s="4"/>
      <c r="C24" s="41">
        <v>7</v>
      </c>
      <c r="D24" s="424" t="s">
        <v>87</v>
      </c>
      <c r="E24" s="426"/>
      <c r="F24" s="425" t="s">
        <v>27</v>
      </c>
      <c r="G24" s="425"/>
      <c r="H24" s="42"/>
      <c r="O24" s="13" t="s">
        <v>88</v>
      </c>
      <c r="Q24" s="13"/>
      <c r="U24" s="37">
        <f>42+29</f>
        <v>71</v>
      </c>
      <c r="V24" s="13"/>
      <c r="W24" s="13"/>
      <c r="X24" s="13"/>
      <c r="Y24" s="8" t="s">
        <v>24</v>
      </c>
      <c r="Z24" s="20" t="s">
        <v>3</v>
      </c>
      <c r="AA24" s="20">
        <v>3</v>
      </c>
      <c r="AB24" s="20" t="s">
        <v>5</v>
      </c>
      <c r="AC24" s="20">
        <v>4</v>
      </c>
      <c r="AD24" s="20" t="s">
        <v>4</v>
      </c>
      <c r="AE24" s="8">
        <v>6</v>
      </c>
      <c r="AF24" s="56" t="s">
        <v>89</v>
      </c>
      <c r="AG24" s="47" t="s">
        <v>90</v>
      </c>
      <c r="AI24" t="s">
        <v>91</v>
      </c>
      <c r="AJ24" s="40" t="s">
        <v>50</v>
      </c>
      <c r="AK24" s="40" t="s">
        <v>92</v>
      </c>
    </row>
    <row r="25" spans="1:38" ht="32.5" thickBot="1">
      <c r="C25" s="41">
        <v>8</v>
      </c>
      <c r="D25" s="424" t="s">
        <v>30</v>
      </c>
      <c r="E25" s="426"/>
      <c r="F25" s="425" t="s">
        <v>17</v>
      </c>
      <c r="G25" s="425"/>
      <c r="H25" s="42"/>
      <c r="I25" s="13"/>
      <c r="J25" s="13"/>
      <c r="K25" s="13"/>
      <c r="L25" s="13"/>
      <c r="M25" s="13" t="s">
        <v>93</v>
      </c>
      <c r="N25" s="13"/>
      <c r="P25" s="13"/>
      <c r="Q25" s="4"/>
      <c r="R25" s="57"/>
      <c r="S25" s="17"/>
      <c r="T25" s="21"/>
      <c r="U25" s="53">
        <f>COUNTIF(C4:AG4,"6")</f>
        <v>5</v>
      </c>
      <c r="V25" s="14"/>
      <c r="W25" s="7"/>
      <c r="Y25" s="8" t="s">
        <v>25</v>
      </c>
      <c r="Z25" s="20" t="s">
        <v>3</v>
      </c>
      <c r="AA25" s="20">
        <v>3</v>
      </c>
      <c r="AB25" s="20" t="s">
        <v>5</v>
      </c>
      <c r="AC25" s="20">
        <v>4</v>
      </c>
      <c r="AD25" s="20" t="s">
        <v>4</v>
      </c>
      <c r="AE25" s="8">
        <v>6</v>
      </c>
      <c r="AF25" s="46" t="s">
        <v>94</v>
      </c>
      <c r="AG25" s="47" t="s">
        <v>95</v>
      </c>
      <c r="AI25" t="s">
        <v>96</v>
      </c>
      <c r="AJ25" s="40" t="s">
        <v>97</v>
      </c>
      <c r="AK25" s="40" t="s">
        <v>98</v>
      </c>
    </row>
    <row r="26" spans="1:38" s="17" customFormat="1" ht="31.5" customHeight="1">
      <c r="D26" s="17" t="s">
        <v>110</v>
      </c>
      <c r="E26" s="61"/>
      <c r="F26" s="61" t="s">
        <v>108</v>
      </c>
      <c r="H26" s="17" t="s">
        <v>136</v>
      </c>
      <c r="L26" s="17" t="s">
        <v>111</v>
      </c>
      <c r="O26" s="17" t="s">
        <v>137</v>
      </c>
      <c r="T26" s="17" t="s">
        <v>112</v>
      </c>
      <c r="V26" s="17" t="s">
        <v>138</v>
      </c>
      <c r="Y26" s="8" t="s">
        <v>11</v>
      </c>
      <c r="Z26" s="20" t="s">
        <v>3</v>
      </c>
      <c r="AA26" s="74">
        <v>3</v>
      </c>
      <c r="AB26" s="20" t="s">
        <v>5</v>
      </c>
      <c r="AC26" s="74">
        <v>4</v>
      </c>
      <c r="AD26" s="20" t="s">
        <v>4</v>
      </c>
      <c r="AE26" s="8">
        <v>12</v>
      </c>
      <c r="AI26" s="17" t="s">
        <v>99</v>
      </c>
    </row>
    <row r="27" spans="1:38" s="17" customFormat="1" ht="31.5" customHeight="1">
      <c r="E27" s="61"/>
      <c r="F27" s="61"/>
      <c r="Y27" s="8"/>
      <c r="Z27" s="8"/>
      <c r="AA27" s="20">
        <f>SUM(AA19:AA26)</f>
        <v>30</v>
      </c>
      <c r="AB27" s="73"/>
      <c r="AC27" s="20">
        <f>SUM(AC19:AC26)</f>
        <v>30</v>
      </c>
      <c r="AD27" s="20"/>
      <c r="AE27" s="73">
        <f>SUM(AE19:AE26)</f>
        <v>80</v>
      </c>
    </row>
    <row r="28" spans="1:38" s="18" customFormat="1" ht="31">
      <c r="A28" s="8"/>
      <c r="B28" s="79" t="s">
        <v>20</v>
      </c>
      <c r="C28" s="8" t="s">
        <v>21</v>
      </c>
      <c r="D28" s="72" t="s">
        <v>22</v>
      </c>
      <c r="E28" s="8" t="s">
        <v>3</v>
      </c>
      <c r="F28" s="8" t="s">
        <v>23</v>
      </c>
      <c r="G28" s="72" t="s">
        <v>24</v>
      </c>
      <c r="H28" s="8" t="s">
        <v>25</v>
      </c>
      <c r="I28" s="8" t="s">
        <v>11</v>
      </c>
      <c r="J28" s="8"/>
      <c r="K28" s="71"/>
      <c r="L28" s="8" t="s">
        <v>20</v>
      </c>
      <c r="M28" s="8" t="s">
        <v>21</v>
      </c>
      <c r="N28" s="81" t="s">
        <v>22</v>
      </c>
      <c r="O28" s="79" t="s">
        <v>3</v>
      </c>
      <c r="P28" s="72" t="s">
        <v>23</v>
      </c>
      <c r="Q28" s="8" t="s">
        <v>24</v>
      </c>
      <c r="R28" s="72" t="s">
        <v>25</v>
      </c>
      <c r="S28" s="8" t="s">
        <v>11</v>
      </c>
      <c r="T28" s="8"/>
      <c r="U28" s="71"/>
      <c r="V28" s="8" t="s">
        <v>20</v>
      </c>
      <c r="W28" s="8" t="s">
        <v>21</v>
      </c>
      <c r="X28" s="8" t="s">
        <v>22</v>
      </c>
      <c r="Y28" s="8" t="s">
        <v>3</v>
      </c>
      <c r="Z28" s="81" t="s">
        <v>23</v>
      </c>
      <c r="AA28" s="8" t="s">
        <v>24</v>
      </c>
      <c r="AB28" s="72" t="s">
        <v>25</v>
      </c>
      <c r="AC28" s="8" t="s">
        <v>11</v>
      </c>
      <c r="AD28" s="8"/>
      <c r="AE28" s="8"/>
      <c r="AF28" s="8"/>
      <c r="AG28" s="8"/>
      <c r="AH28" s="8"/>
      <c r="AI28" s="18" t="s">
        <v>100</v>
      </c>
    </row>
    <row r="29" spans="1:38" s="18" customFormat="1" ht="31">
      <c r="A29" s="8"/>
      <c r="B29" s="8">
        <v>6</v>
      </c>
      <c r="C29" s="8">
        <v>6</v>
      </c>
      <c r="D29" s="8"/>
      <c r="E29" s="8">
        <v>6</v>
      </c>
      <c r="F29" s="8">
        <v>6</v>
      </c>
      <c r="G29" s="8"/>
      <c r="H29" s="8">
        <v>6</v>
      </c>
      <c r="I29" s="8">
        <v>6</v>
      </c>
      <c r="J29" s="8"/>
      <c r="K29" s="8"/>
      <c r="L29" s="8">
        <v>4</v>
      </c>
      <c r="M29" s="8">
        <v>4</v>
      </c>
      <c r="N29" s="8">
        <v>4</v>
      </c>
      <c r="O29" s="8">
        <v>3</v>
      </c>
      <c r="P29" s="8"/>
      <c r="Q29" s="8">
        <v>3</v>
      </c>
      <c r="R29" s="8"/>
      <c r="S29" s="8">
        <v>3</v>
      </c>
      <c r="T29" s="8"/>
      <c r="U29" s="8"/>
      <c r="V29" s="8">
        <v>3</v>
      </c>
      <c r="W29" s="8">
        <v>3</v>
      </c>
      <c r="X29" s="79">
        <v>3</v>
      </c>
      <c r="Y29" s="8">
        <v>4</v>
      </c>
      <c r="Z29" s="8">
        <v>4</v>
      </c>
      <c r="AA29" s="8">
        <v>3</v>
      </c>
      <c r="AB29" s="8"/>
      <c r="AC29" s="8">
        <v>3</v>
      </c>
      <c r="AD29" s="8">
        <f>SUM(B29:AC29)</f>
        <v>80</v>
      </c>
      <c r="AE29" s="8"/>
      <c r="AF29" s="8"/>
      <c r="AG29" s="8"/>
      <c r="AH29" s="8"/>
      <c r="AI29" s="18" t="s">
        <v>102</v>
      </c>
    </row>
    <row r="30" spans="1:38" s="18" customFormat="1" ht="31">
      <c r="A30" s="8"/>
      <c r="B30" s="8"/>
      <c r="C30" s="8"/>
      <c r="D30" s="8"/>
      <c r="E30" s="8" t="s">
        <v>120</v>
      </c>
      <c r="F30" s="8"/>
      <c r="G30" s="8"/>
      <c r="H30" s="8"/>
      <c r="I30" s="8" t="s">
        <v>121</v>
      </c>
      <c r="J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18" t="s">
        <v>103</v>
      </c>
    </row>
    <row r="31" spans="1:38" s="18" customFormat="1" ht="31">
      <c r="A31" s="78"/>
      <c r="I31" s="20"/>
      <c r="J31" s="20"/>
      <c r="K31" s="20"/>
      <c r="L31" s="20" t="s">
        <v>134</v>
      </c>
      <c r="M31" s="20" t="s">
        <v>129</v>
      </c>
      <c r="N31" s="20" t="s">
        <v>130</v>
      </c>
      <c r="O31" s="20" t="s">
        <v>127</v>
      </c>
      <c r="P31" s="20" t="s">
        <v>131</v>
      </c>
      <c r="Q31" s="20" t="s">
        <v>132</v>
      </c>
      <c r="R31" s="20" t="s">
        <v>133</v>
      </c>
      <c r="S31" s="20" t="s">
        <v>135</v>
      </c>
      <c r="T31" s="20"/>
      <c r="U31" s="20"/>
      <c r="V31" s="20"/>
      <c r="W31" s="20"/>
      <c r="X31" s="20" t="s">
        <v>8</v>
      </c>
      <c r="Y31" s="20"/>
      <c r="Z31" s="20" t="s">
        <v>141</v>
      </c>
      <c r="AA31" s="20"/>
      <c r="AB31" s="20"/>
      <c r="AC31" s="20"/>
      <c r="AD31" s="8"/>
      <c r="AE31" s="8"/>
      <c r="AF31" s="8"/>
      <c r="AG31" s="8"/>
      <c r="AH31" s="8"/>
    </row>
    <row r="32" spans="1:38" s="18" customFormat="1" ht="31">
      <c r="A32" s="8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8"/>
      <c r="AE32" s="8"/>
      <c r="AF32" s="8"/>
      <c r="AG32" s="8"/>
      <c r="AH32" s="8"/>
    </row>
    <row r="33" spans="1:34" s="18" customFormat="1" ht="31">
      <c r="A33" s="8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8"/>
      <c r="AE33" s="8"/>
      <c r="AF33" s="8"/>
      <c r="AG33" s="8"/>
      <c r="AH33" s="8"/>
    </row>
    <row r="34" spans="1:34" s="18" customFormat="1" ht="31">
      <c r="A34" s="8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8"/>
      <c r="AE34" s="8"/>
      <c r="AF34" s="8"/>
      <c r="AG34" s="8"/>
      <c r="AH34" s="8"/>
    </row>
    <row r="35" spans="1:34" s="18" customFormat="1" ht="31">
      <c r="A35" s="8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8"/>
      <c r="AE35" s="8"/>
      <c r="AF35" s="8"/>
      <c r="AG35" s="8"/>
      <c r="AH35" s="8"/>
    </row>
    <row r="36" spans="1:34" s="18" customFormat="1" ht="31">
      <c r="A36" s="8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8"/>
      <c r="AE36" s="8"/>
      <c r="AF36" s="8"/>
      <c r="AG36" s="8"/>
      <c r="AH36" s="8"/>
    </row>
    <row r="37" spans="1:34" s="18" customFormat="1" ht="31">
      <c r="A37" s="8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8"/>
      <c r="AE37" s="8"/>
      <c r="AF37" s="8"/>
      <c r="AG37" s="8"/>
      <c r="AH37" s="8"/>
    </row>
    <row r="38" spans="1:34" s="18" customFormat="1" ht="31">
      <c r="A38" s="8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8"/>
      <c r="AE38" s="8"/>
      <c r="AF38" s="8"/>
      <c r="AG38" s="8"/>
      <c r="AH38" s="8"/>
    </row>
    <row r="39" spans="1:34" s="18" customFormat="1" ht="31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18" customFormat="1" ht="3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18" customFormat="1"/>
    <row r="42" spans="1:34" s="18" customFormat="1"/>
  </sheetData>
  <mergeCells count="18">
    <mergeCell ref="D23:E23"/>
    <mergeCell ref="F23:G23"/>
    <mergeCell ref="D24:E24"/>
    <mergeCell ref="F24:G24"/>
    <mergeCell ref="D25:E25"/>
    <mergeCell ref="F25:G25"/>
    <mergeCell ref="D20:E20"/>
    <mergeCell ref="F20:G20"/>
    <mergeCell ref="D21:E21"/>
    <mergeCell ref="F21:G21"/>
    <mergeCell ref="D22:E22"/>
    <mergeCell ref="F22:G22"/>
    <mergeCell ref="B1:C2"/>
    <mergeCell ref="AH4:AM4"/>
    <mergeCell ref="D18:E18"/>
    <mergeCell ref="F18:G18"/>
    <mergeCell ref="D19:E19"/>
    <mergeCell ref="F19:G19"/>
  </mergeCells>
  <phoneticPr fontId="11" type="noConversion"/>
  <conditionalFormatting sqref="AH3">
    <cfRule type="expression" dxfId="3009" priority="32" stopIfTrue="1">
      <formula>WEEKDAY(AH$3)=7</formula>
    </cfRule>
    <cfRule type="expression" dxfId="3008" priority="33" stopIfTrue="1">
      <formula>WEEKDAY(AH$3)=1</formula>
    </cfRule>
    <cfRule type="expression" dxfId="3007" priority="34" stopIfTrue="1">
      <formula>WEEKDAY(AH$3)=7</formula>
    </cfRule>
    <cfRule type="expression" dxfId="3006" priority="35" stopIfTrue="1">
      <formula>WEEKDAY(AH$3)=1</formula>
    </cfRule>
  </conditionalFormatting>
  <conditionalFormatting sqref="AE6:AG6 X6:AB6 J6:N6 E7:I7 F10:H10 C3:AG5 C12:AG12 P6:U6 C8:AG8 M10:P10 L7:P7 Z9:AG9 C11:W11 Z11:AD11 R7:AG7 S10:AG10 C9:Q9 S9:X9 C6:G6 AG11">
    <cfRule type="expression" dxfId="3005" priority="30">
      <formula>WEEKDAY(C$3,2)=7</formula>
    </cfRule>
    <cfRule type="expression" dxfId="3004" priority="31">
      <formula>WEEKDAY(C$3,2)=6</formula>
    </cfRule>
  </conditionalFormatting>
  <conditionalFormatting sqref="C5:AG5 L6 Y5:Y6 U6">
    <cfRule type="expression" dxfId="3003" priority="29">
      <formula>SEARCH("X", $B$5) &gt; 0</formula>
    </cfRule>
  </conditionalFormatting>
  <conditionalFormatting sqref="J6:K6 X6:AB6 AE6:AG6 M6:N6 P6:U6 C6:G6">
    <cfRule type="expression" dxfId="3002" priority="28">
      <formula>SEARCH("X", $B$6) &gt; 0</formula>
    </cfRule>
  </conditionalFormatting>
  <conditionalFormatting sqref="E7:I7 R8 L7:P7 R7:AG7">
    <cfRule type="expression" dxfId="3001" priority="27">
      <formula>SEARCH("X", $B$7) &gt; 0</formula>
    </cfRule>
  </conditionalFormatting>
  <conditionalFormatting sqref="G9 AE9:AF9 J8:K9 C8:AG8">
    <cfRule type="expression" dxfId="3000" priority="26">
      <formula>SEARCH("X", $B$8) &gt; 0</formula>
    </cfRule>
  </conditionalFormatting>
  <conditionalFormatting sqref="K11:K12 Z9:AG9 C9:Q9 S9:X9">
    <cfRule type="expression" dxfId="2999" priority="25">
      <formula>SEARCH("X", $B$9) &gt; 0</formula>
    </cfRule>
  </conditionalFormatting>
  <conditionalFormatting sqref="F10:P10 S10:AG10">
    <cfRule type="expression" dxfId="2998" priority="24">
      <formula>SEARCH("X", $B$10) &gt; 0</formula>
    </cfRule>
  </conditionalFormatting>
  <conditionalFormatting sqref="C11:J11 L11:W11 Z11:AD11 AG11">
    <cfRule type="expression" dxfId="2997" priority="23">
      <formula>SEARCH("X", $B$11) &gt; 0</formula>
    </cfRule>
  </conditionalFormatting>
  <conditionalFormatting sqref="C12:J12 L12:AG12">
    <cfRule type="expression" dxfId="2996" priority="22">
      <formula>SEARCH("X", $B$12) &gt; 0</formula>
    </cfRule>
  </conditionalFormatting>
  <conditionalFormatting sqref="H6:I6">
    <cfRule type="expression" dxfId="2995" priority="20">
      <formula>WEEKDAY(H$3,2)=7</formula>
    </cfRule>
    <cfRule type="expression" dxfId="2994" priority="21">
      <formula>WEEKDAY(H$3,2)=6</formula>
    </cfRule>
  </conditionalFormatting>
  <conditionalFormatting sqref="H6:I6">
    <cfRule type="expression" dxfId="2993" priority="19">
      <formula>SEARCH("X", $B$6) &gt; 0</formula>
    </cfRule>
  </conditionalFormatting>
  <conditionalFormatting sqref="O6">
    <cfRule type="expression" dxfId="2992" priority="17">
      <formula>WEEKDAY(O$3,2)=7</formula>
    </cfRule>
    <cfRule type="expression" dxfId="2991" priority="18">
      <formula>WEEKDAY(O$3,2)=6</formula>
    </cfRule>
  </conditionalFormatting>
  <conditionalFormatting sqref="O6">
    <cfRule type="expression" dxfId="2990" priority="16">
      <formula>SEARCH("X", $B$6) &gt; 0</formula>
    </cfRule>
  </conditionalFormatting>
  <conditionalFormatting sqref="V6:W6">
    <cfRule type="expression" dxfId="2989" priority="14">
      <formula>WEEKDAY(V$3,2)=7</formula>
    </cfRule>
    <cfRule type="expression" dxfId="2988" priority="15">
      <formula>WEEKDAY(V$3,2)=6</formula>
    </cfRule>
  </conditionalFormatting>
  <conditionalFormatting sqref="V6:W6">
    <cfRule type="expression" dxfId="2987" priority="13">
      <formula>SEARCH("X", $B$6) &gt; 0</formula>
    </cfRule>
  </conditionalFormatting>
  <conditionalFormatting sqref="AC6:AD6">
    <cfRule type="expression" dxfId="2986" priority="11">
      <formula>WEEKDAY(AC$3,2)=7</formula>
    </cfRule>
    <cfRule type="expression" dxfId="2985" priority="12">
      <formula>WEEKDAY(AC$3,2)=6</formula>
    </cfRule>
  </conditionalFormatting>
  <conditionalFormatting sqref="AC6:AD6">
    <cfRule type="expression" dxfId="2984" priority="10">
      <formula>SEARCH("X", $B$6) &gt; 0</formula>
    </cfRule>
  </conditionalFormatting>
  <conditionalFormatting sqref="U7">
    <cfRule type="expression" dxfId="2983" priority="9">
      <formula>SEARCH("X", $B$5) &gt; 0</formula>
    </cfRule>
  </conditionalFormatting>
  <conditionalFormatting sqref="T7">
    <cfRule type="expression" dxfId="2982" priority="8">
      <formula>SEARCH("X", $B$5) &gt; 0</formula>
    </cfRule>
  </conditionalFormatting>
  <conditionalFormatting sqref="V7">
    <cfRule type="expression" dxfId="2981" priority="7">
      <formula>SEARCH("X", $B$5) &gt; 0</formula>
    </cfRule>
  </conditionalFormatting>
  <conditionalFormatting sqref="V7">
    <cfRule type="expression" dxfId="2980" priority="6">
      <formula>SEARCH("X", $B$5) &gt; 0</formula>
    </cfRule>
  </conditionalFormatting>
  <conditionalFormatting sqref="W7:Z7">
    <cfRule type="expression" dxfId="2979" priority="5">
      <formula>SEARCH("X", $B$5) &gt; 0</formula>
    </cfRule>
  </conditionalFormatting>
  <conditionalFormatting sqref="I10:L10">
    <cfRule type="expression" dxfId="2978" priority="2832">
      <formula>WEEKDAY(M$3,2)=7</formula>
    </cfRule>
    <cfRule type="expression" dxfId="2977" priority="2833">
      <formula>WEEKDAY(M$3,2)=6</formula>
    </cfRule>
  </conditionalFormatting>
  <conditionalFormatting sqref="L5:L6">
    <cfRule type="expression" dxfId="2976" priority="1">
      <formula>SEARCH("X", $B$6) &gt; 0</formula>
    </cfRule>
  </conditionalFormatting>
  <dataValidations count="12">
    <dataValidation type="list" allowBlank="1" showInputMessage="1" showErrorMessage="1" sqref="C8:C12 C5:C6 D5:AF12" xr:uid="{16610721-B616-445F-8730-8A2CFDFB7DE7}">
      <formula1>$AI$18:$AI$30</formula1>
    </dataValidation>
    <dataValidation type="list" allowBlank="1" showInputMessage="1" showErrorMessage="1" sqref="D18:E25" xr:uid="{13459B3E-5738-4E8E-8A96-43E30AF11D16}">
      <formula1>$AL$18:$AL$21</formula1>
    </dataValidation>
    <dataValidation type="list" allowBlank="1" showInputMessage="1" showErrorMessage="1" sqref="B11" xr:uid="{C57693B4-46D4-4C7B-A96A-EC8A087EDE5C}">
      <formula1>$AJ$24:$AK$24</formula1>
    </dataValidation>
    <dataValidation type="list" allowBlank="1" showInputMessage="1" showErrorMessage="1" sqref="B10" xr:uid="{92D947FE-7D73-47F7-BE37-905D470E146D}">
      <formula1>$AJ$23:$AK$23</formula1>
    </dataValidation>
    <dataValidation type="list" allowBlank="1" showInputMessage="1" showErrorMessage="1" sqref="B7" xr:uid="{F18882F2-1FB3-44FA-8593-9943F7508CE9}">
      <formula1>$AJ$20:$AK$20</formula1>
    </dataValidation>
    <dataValidation type="list" allowBlank="1" showInputMessage="1" showErrorMessage="1" sqref="B9" xr:uid="{37965EA6-BD07-4C5C-9F20-7A175926726B}">
      <formula1>$AJ$22:$AK$22</formula1>
    </dataValidation>
    <dataValidation type="list" allowBlank="1" showInputMessage="1" showErrorMessage="1" sqref="B8" xr:uid="{9A028747-4BF5-4F3F-8EC9-DECFDB5FFFF9}">
      <formula1>$AJ$21:$AK$21</formula1>
    </dataValidation>
    <dataValidation type="list" allowBlank="1" showInputMessage="1" showErrorMessage="1" sqref="B6" xr:uid="{6EB5B27E-F320-4D0E-B091-7F9B4C3F5E7F}">
      <formula1>$AJ$19:$AK$19</formula1>
    </dataValidation>
    <dataValidation type="list" allowBlank="1" showInputMessage="1" showErrorMessage="1" sqref="B5" xr:uid="{6D98D8DE-BAEC-4A39-94B6-65638AEE59E7}">
      <formula1>$AJ$18:$AK$18</formula1>
    </dataValidation>
    <dataValidation type="list" allowBlank="1" showInputMessage="1" showErrorMessage="1" sqref="B12" xr:uid="{9CE95C4B-21EF-4897-AABD-5450ED457D3D}">
      <formula1>$AJ$25:$AK$25</formula1>
    </dataValidation>
    <dataValidation type="list" allowBlank="1" showInputMessage="1" showErrorMessage="1" sqref="F18:G25" xr:uid="{D1E831BF-DCD5-490E-8187-BA20D872F19B}">
      <formula1>$B$5:$B$12</formula1>
    </dataValidation>
    <dataValidation type="list" allowBlank="1" showInputMessage="1" showErrorMessage="1" sqref="AG5:AG12" xr:uid="{16BEADBD-B495-499C-AEC7-83F948EB127E}">
      <formula1>$AI$18:$AI$29</formula1>
    </dataValidation>
  </dataValidations>
  <pageMargins left="0.70866141732283472" right="0.70866141732283472" top="0.74803149606299213" bottom="0.74803149606299213" header="0.31496062992125984" footer="0.31496062992125984"/>
  <pageSetup paperSize="9" scale="4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EC0DC-FD88-4B4C-AB36-1292F198BF17}">
  <sheetPr codeName="工作表2">
    <pageSetUpPr fitToPage="1"/>
  </sheetPr>
  <dimension ref="A1:AL29"/>
  <sheetViews>
    <sheetView zoomScale="60" zoomScaleNormal="60" workbookViewId="0">
      <selection activeCell="G12" sqref="G12"/>
    </sheetView>
  </sheetViews>
  <sheetFormatPr defaultRowHeight="17"/>
  <cols>
    <col min="1" max="1" width="12.5" bestFit="1" customWidth="1"/>
    <col min="2" max="38" width="7.58203125" customWidth="1"/>
  </cols>
  <sheetData>
    <row r="1" spans="1:38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>
        <v>32</v>
      </c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8" ht="33.5">
      <c r="A2" s="419"/>
      <c r="B2" s="419"/>
      <c r="C2" s="1"/>
      <c r="D2" s="1"/>
      <c r="F2" s="1"/>
      <c r="G2" s="26">
        <v>2024</v>
      </c>
      <c r="H2" s="27" t="str">
        <f>"("&amp;YEAR(B3)-1911&amp;" 年 "&amp;")"</f>
        <v>(113 年 )</v>
      </c>
      <c r="I2" s="22"/>
      <c r="J2" s="23">
        <v>7</v>
      </c>
      <c r="K2" s="28" t="s">
        <v>33</v>
      </c>
      <c r="L2" s="29"/>
      <c r="M2" s="99" t="s">
        <v>220</v>
      </c>
      <c r="N2" s="25"/>
      <c r="O2" s="25"/>
      <c r="P2" s="100" t="s">
        <v>220</v>
      </c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8" ht="27.5">
      <c r="A3" s="19" t="s">
        <v>1</v>
      </c>
      <c r="B3" s="30">
        <f>DATE($G$2,$J$2,1)</f>
        <v>45474</v>
      </c>
      <c r="C3" s="30">
        <f>B3+1</f>
        <v>45475</v>
      </c>
      <c r="D3" s="30">
        <f t="shared" ref="D3:AB3" si="0">C3+1</f>
        <v>45476</v>
      </c>
      <c r="E3" s="30">
        <f t="shared" si="0"/>
        <v>45477</v>
      </c>
      <c r="F3" s="30">
        <f t="shared" si="0"/>
        <v>45478</v>
      </c>
      <c r="G3" s="30">
        <f t="shared" si="0"/>
        <v>45479</v>
      </c>
      <c r="H3" s="30">
        <f t="shared" si="0"/>
        <v>45480</v>
      </c>
      <c r="I3" s="30">
        <f t="shared" si="0"/>
        <v>45481</v>
      </c>
      <c r="J3" s="30">
        <f t="shared" si="0"/>
        <v>45482</v>
      </c>
      <c r="K3" s="30">
        <f t="shared" si="0"/>
        <v>45483</v>
      </c>
      <c r="L3" s="30">
        <f t="shared" si="0"/>
        <v>45484</v>
      </c>
      <c r="M3" s="30">
        <f t="shared" si="0"/>
        <v>45485</v>
      </c>
      <c r="N3" s="30">
        <f t="shared" si="0"/>
        <v>45486</v>
      </c>
      <c r="O3" s="30">
        <f t="shared" si="0"/>
        <v>45487</v>
      </c>
      <c r="P3" s="30">
        <f t="shared" si="0"/>
        <v>45488</v>
      </c>
      <c r="Q3" s="30">
        <f t="shared" si="0"/>
        <v>45489</v>
      </c>
      <c r="R3" s="30">
        <f t="shared" si="0"/>
        <v>45490</v>
      </c>
      <c r="S3" s="30">
        <f t="shared" si="0"/>
        <v>45491</v>
      </c>
      <c r="T3" s="30">
        <f t="shared" si="0"/>
        <v>45492</v>
      </c>
      <c r="U3" s="30">
        <f t="shared" si="0"/>
        <v>45493</v>
      </c>
      <c r="V3" s="30">
        <f t="shared" si="0"/>
        <v>45494</v>
      </c>
      <c r="W3" s="30">
        <f t="shared" si="0"/>
        <v>45495</v>
      </c>
      <c r="X3" s="30">
        <f t="shared" si="0"/>
        <v>45496</v>
      </c>
      <c r="Y3" s="30">
        <f t="shared" si="0"/>
        <v>45497</v>
      </c>
      <c r="Z3" s="30">
        <f t="shared" si="0"/>
        <v>45498</v>
      </c>
      <c r="AA3" s="30">
        <f t="shared" si="0"/>
        <v>45499</v>
      </c>
      <c r="AB3" s="30">
        <f t="shared" si="0"/>
        <v>45500</v>
      </c>
      <c r="AC3" s="30">
        <f>IFERROR(IF(MONTH(AB3+1)=$J$2,AB3+1,""),"")</f>
        <v>45501</v>
      </c>
      <c r="AD3" s="30">
        <f>IFERROR(IF(MONTH(AC3+1)=$J$2,AC3+1,""),"")</f>
        <v>45502</v>
      </c>
      <c r="AE3" s="30">
        <f>IFERROR(IF(MONTH(AD3+1)=$J$2,AD3+1,""),"")</f>
        <v>45503</v>
      </c>
      <c r="AF3" s="30">
        <f>IFERROR(IF(MONTH(AE3+1)=$J$2,AE3+1,""),"")</f>
        <v>45504</v>
      </c>
      <c r="AG3" s="3" t="s">
        <v>142</v>
      </c>
      <c r="AH3" s="3" t="s">
        <v>143</v>
      </c>
      <c r="AI3" s="3" t="s">
        <v>144</v>
      </c>
      <c r="AJ3" s="3" t="s">
        <v>145</v>
      </c>
      <c r="AK3" s="3" t="s">
        <v>146</v>
      </c>
      <c r="AL3" s="3" t="s">
        <v>147</v>
      </c>
    </row>
    <row r="4" spans="1:38" ht="27.5">
      <c r="A4" s="19" t="s">
        <v>148</v>
      </c>
      <c r="B4" s="31">
        <f t="shared" ref="B4:AF4" si="1">IFERROR(IF(WEEKDAY(B3,2)=7,"日",WEEKDAY(B3,2)),"")</f>
        <v>1</v>
      </c>
      <c r="C4" s="31">
        <f>IFERROR(IF(WEEKDAY(C3,2)=7,"日",WEEKDAY(C3,2)),"")</f>
        <v>2</v>
      </c>
      <c r="D4" s="31">
        <f t="shared" si="1"/>
        <v>3</v>
      </c>
      <c r="E4" s="31">
        <f t="shared" si="1"/>
        <v>4</v>
      </c>
      <c r="F4" s="31">
        <f t="shared" si="1"/>
        <v>5</v>
      </c>
      <c r="G4" s="31">
        <f t="shared" si="1"/>
        <v>6</v>
      </c>
      <c r="H4" s="31" t="str">
        <f t="shared" si="1"/>
        <v>日</v>
      </c>
      <c r="I4" s="31">
        <f t="shared" si="1"/>
        <v>1</v>
      </c>
      <c r="J4" s="31">
        <f t="shared" si="1"/>
        <v>2</v>
      </c>
      <c r="K4" s="31">
        <f t="shared" si="1"/>
        <v>3</v>
      </c>
      <c r="L4" s="31">
        <f t="shared" si="1"/>
        <v>4</v>
      </c>
      <c r="M4" s="31">
        <f t="shared" si="1"/>
        <v>5</v>
      </c>
      <c r="N4" s="31">
        <f t="shared" si="1"/>
        <v>6</v>
      </c>
      <c r="O4" s="31" t="str">
        <f t="shared" si="1"/>
        <v>日</v>
      </c>
      <c r="P4" s="31">
        <f t="shared" si="1"/>
        <v>1</v>
      </c>
      <c r="Q4" s="31">
        <f t="shared" si="1"/>
        <v>2</v>
      </c>
      <c r="R4" s="31">
        <f t="shared" si="1"/>
        <v>3</v>
      </c>
      <c r="S4" s="31">
        <f t="shared" si="1"/>
        <v>4</v>
      </c>
      <c r="T4" s="31">
        <f t="shared" si="1"/>
        <v>5</v>
      </c>
      <c r="U4" s="31">
        <f t="shared" si="1"/>
        <v>6</v>
      </c>
      <c r="V4" s="31" t="str">
        <f t="shared" si="1"/>
        <v>日</v>
      </c>
      <c r="W4" s="31">
        <f t="shared" si="1"/>
        <v>1</v>
      </c>
      <c r="X4" s="31">
        <f t="shared" si="1"/>
        <v>2</v>
      </c>
      <c r="Y4" s="31">
        <f t="shared" si="1"/>
        <v>3</v>
      </c>
      <c r="Z4" s="31">
        <f t="shared" si="1"/>
        <v>4</v>
      </c>
      <c r="AA4" s="31">
        <f t="shared" si="1"/>
        <v>5</v>
      </c>
      <c r="AB4" s="31">
        <f t="shared" si="1"/>
        <v>6</v>
      </c>
      <c r="AC4" s="31" t="str">
        <f t="shared" si="1"/>
        <v>日</v>
      </c>
      <c r="AD4" s="31">
        <f t="shared" si="1"/>
        <v>1</v>
      </c>
      <c r="AE4" s="31">
        <f t="shared" si="1"/>
        <v>2</v>
      </c>
      <c r="AF4" s="31">
        <f t="shared" si="1"/>
        <v>3</v>
      </c>
      <c r="AG4" s="420" t="s">
        <v>149</v>
      </c>
      <c r="AH4" s="421"/>
      <c r="AI4" s="421"/>
      <c r="AJ4" s="421"/>
      <c r="AK4" s="421"/>
      <c r="AL4" s="422"/>
    </row>
    <row r="5" spans="1:38" ht="21.5">
      <c r="A5" s="6" t="s">
        <v>9</v>
      </c>
      <c r="B5" s="33" t="s">
        <v>2</v>
      </c>
      <c r="C5" s="33" t="s">
        <v>2</v>
      </c>
      <c r="D5" s="88" t="s">
        <v>222</v>
      </c>
      <c r="E5" s="88" t="s">
        <v>223</v>
      </c>
      <c r="F5" s="88"/>
      <c r="G5" s="88" t="s">
        <v>150</v>
      </c>
      <c r="H5" s="33" t="s">
        <v>2</v>
      </c>
      <c r="I5" s="88"/>
      <c r="J5" s="33" t="s">
        <v>2</v>
      </c>
      <c r="K5" s="33" t="s">
        <v>2</v>
      </c>
      <c r="L5" s="88"/>
      <c r="M5" s="88"/>
      <c r="N5" s="88" t="s">
        <v>2</v>
      </c>
      <c r="O5" s="33" t="s">
        <v>2</v>
      </c>
      <c r="P5" s="88"/>
      <c r="Q5" s="88" t="s">
        <v>150</v>
      </c>
      <c r="R5" s="88"/>
      <c r="S5" s="33" t="s">
        <v>2</v>
      </c>
      <c r="T5" s="33" t="s">
        <v>2</v>
      </c>
      <c r="U5" s="88" t="s">
        <v>168</v>
      </c>
      <c r="V5" s="88" t="s">
        <v>168</v>
      </c>
      <c r="W5" s="88" t="s">
        <v>168</v>
      </c>
      <c r="X5" s="88" t="s">
        <v>168</v>
      </c>
      <c r="Y5" s="33" t="s">
        <v>2</v>
      </c>
      <c r="Z5" s="33" t="s">
        <v>2</v>
      </c>
      <c r="AA5" s="33" t="s">
        <v>225</v>
      </c>
      <c r="AB5" s="33" t="s">
        <v>224</v>
      </c>
      <c r="AC5" s="33" t="s">
        <v>2</v>
      </c>
      <c r="AD5" s="33" t="s">
        <v>226</v>
      </c>
      <c r="AE5" s="88"/>
      <c r="AF5" s="88" t="s">
        <v>150</v>
      </c>
      <c r="AG5" s="3">
        <f>(AH5*12)+(AI5*12)+(AK5*8)+(AL5*4)</f>
        <v>164</v>
      </c>
      <c r="AH5" s="3">
        <f>COUNTIF(B5:AF5,"D")</f>
        <v>5</v>
      </c>
      <c r="AI5" s="3">
        <f>COUNTIF(B5:AF5,"N")</f>
        <v>4</v>
      </c>
      <c r="AJ5" s="3">
        <f>COUNTIF(B5:AF5,"OFF")+COUNTIF(B5:AF5,"上課")</f>
        <v>15</v>
      </c>
      <c r="AK5" s="3">
        <f>COUNTIF(B5:AF5,"")-AL5+COUNTIF(B5:AF5,"h3")</f>
        <v>7</v>
      </c>
      <c r="AL5" s="3">
        <f>COUNTIFS($B$4:$AF$4,"6",B5:AF5,"")+COUNTIF(B5:AF5,"h3")</f>
        <v>0</v>
      </c>
    </row>
    <row r="6" spans="1:38" ht="21.5">
      <c r="A6" s="6" t="s">
        <v>151</v>
      </c>
      <c r="B6" s="88" t="s">
        <v>150</v>
      </c>
      <c r="C6" s="88"/>
      <c r="D6" s="88"/>
      <c r="E6" s="33" t="s">
        <v>2</v>
      </c>
      <c r="F6" s="33" t="s">
        <v>2</v>
      </c>
      <c r="G6" s="33"/>
      <c r="H6" s="33" t="s">
        <v>153</v>
      </c>
      <c r="I6" s="88" t="s">
        <v>168</v>
      </c>
      <c r="J6" s="88" t="s">
        <v>168</v>
      </c>
      <c r="K6" s="88" t="s">
        <v>168</v>
      </c>
      <c r="L6" s="33" t="s">
        <v>2</v>
      </c>
      <c r="M6" s="33" t="s">
        <v>2</v>
      </c>
      <c r="N6" s="33" t="s">
        <v>2</v>
      </c>
      <c r="O6" s="33" t="s">
        <v>2</v>
      </c>
      <c r="P6" s="33" t="s">
        <v>2</v>
      </c>
      <c r="Q6" s="33" t="s">
        <v>2</v>
      </c>
      <c r="R6" s="33" t="s">
        <v>2</v>
      </c>
      <c r="S6" s="33"/>
      <c r="T6" s="88"/>
      <c r="U6" s="33" t="s">
        <v>150</v>
      </c>
      <c r="V6" s="33" t="s">
        <v>2</v>
      </c>
      <c r="W6" s="33" t="s">
        <v>2</v>
      </c>
      <c r="X6" s="88"/>
      <c r="Y6" s="88" t="s">
        <v>150</v>
      </c>
      <c r="Z6" s="88"/>
      <c r="AA6" s="88" t="s">
        <v>150</v>
      </c>
      <c r="AB6" s="88"/>
      <c r="AC6" s="33" t="s">
        <v>2</v>
      </c>
      <c r="AD6" s="88"/>
      <c r="AE6" s="88" t="s">
        <v>169</v>
      </c>
      <c r="AF6" s="88" t="s">
        <v>169</v>
      </c>
      <c r="AG6" s="3">
        <f>(AH6*12)+(AI6*12)+(AK6*8)+(AL6*4)</f>
        <v>160</v>
      </c>
      <c r="AH6" s="3">
        <f t="shared" ref="AH6:AH12" si="2">COUNTIF(B6:AF6,"D")</f>
        <v>4</v>
      </c>
      <c r="AI6" s="3">
        <f t="shared" ref="AI6:AI12" si="3">COUNTIF(B6:AF6,"N")</f>
        <v>4</v>
      </c>
      <c r="AJ6" s="3">
        <f t="shared" ref="AJ6:AJ12" si="4">COUNTIF(B6:AF6,"OFF")+COUNTIF(B6:AF6,"上課")</f>
        <v>12</v>
      </c>
      <c r="AK6" s="3">
        <f t="shared" ref="AK6:AK12" si="5">COUNTIF(B6:AF6,"")-AL6+COUNTIF(B6:AF6,"h3")</f>
        <v>7</v>
      </c>
      <c r="AL6" s="3">
        <f t="shared" ref="AL6:AL12" si="6">COUNTIFS($B$4:$AF$4,"6",B6:AF6,"")+COUNTIF(B6:AF6,"h3")</f>
        <v>2</v>
      </c>
    </row>
    <row r="7" spans="1:38" ht="21.5">
      <c r="A7" s="6" t="s">
        <v>17</v>
      </c>
      <c r="B7" s="88"/>
      <c r="C7" s="33" t="s">
        <v>2</v>
      </c>
      <c r="D7" s="33" t="s">
        <v>2</v>
      </c>
      <c r="E7" s="88"/>
      <c r="F7" s="88" t="s">
        <v>150</v>
      </c>
      <c r="G7" s="88"/>
      <c r="H7" s="33" t="s">
        <v>2</v>
      </c>
      <c r="I7" s="33" t="s">
        <v>2</v>
      </c>
      <c r="J7" s="33" t="s">
        <v>2</v>
      </c>
      <c r="K7" s="88" t="s">
        <v>150</v>
      </c>
      <c r="L7" s="88"/>
      <c r="M7" s="88" t="s">
        <v>221</v>
      </c>
      <c r="N7" s="33"/>
      <c r="O7" s="33" t="s">
        <v>2</v>
      </c>
      <c r="P7" s="88" t="s">
        <v>220</v>
      </c>
      <c r="Q7" s="33" t="s">
        <v>2</v>
      </c>
      <c r="R7" s="88"/>
      <c r="S7" s="88" t="s">
        <v>150</v>
      </c>
      <c r="T7" s="88" t="s">
        <v>150</v>
      </c>
      <c r="U7" s="33" t="s">
        <v>2</v>
      </c>
      <c r="V7" s="33" t="s">
        <v>2</v>
      </c>
      <c r="W7" s="33" t="s">
        <v>2</v>
      </c>
      <c r="X7" s="33" t="s">
        <v>2</v>
      </c>
      <c r="Y7" s="33" t="s">
        <v>2</v>
      </c>
      <c r="Z7" s="88" t="s">
        <v>150</v>
      </c>
      <c r="AA7" s="88"/>
      <c r="AB7" s="88"/>
      <c r="AC7" s="33" t="s">
        <v>2</v>
      </c>
      <c r="AD7" s="88"/>
      <c r="AE7" s="88" t="s">
        <v>150</v>
      </c>
      <c r="AF7" s="88"/>
      <c r="AG7" s="3">
        <f t="shared" ref="AG7:AG12" si="7">(AH7*12)+(AI7*12)+(AK7*8)+(AL7*4)</f>
        <v>140</v>
      </c>
      <c r="AH7" s="3">
        <f t="shared" si="2"/>
        <v>6</v>
      </c>
      <c r="AI7" s="3">
        <f t="shared" si="3"/>
        <v>0</v>
      </c>
      <c r="AJ7" s="3">
        <f t="shared" si="4"/>
        <v>13</v>
      </c>
      <c r="AK7" s="3">
        <f t="shared" si="5"/>
        <v>7</v>
      </c>
      <c r="AL7" s="3">
        <f t="shared" si="6"/>
        <v>3</v>
      </c>
    </row>
    <row r="8" spans="1:38" ht="21.5">
      <c r="A8" s="6" t="s">
        <v>152</v>
      </c>
      <c r="B8" s="88"/>
      <c r="C8" s="88"/>
      <c r="D8" s="77" t="s">
        <v>7</v>
      </c>
      <c r="E8" s="33"/>
      <c r="F8" s="88" t="s">
        <v>168</v>
      </c>
      <c r="G8" s="33" t="s">
        <v>168</v>
      </c>
      <c r="H8" s="33" t="s">
        <v>2</v>
      </c>
      <c r="I8" s="88"/>
      <c r="J8" s="88"/>
      <c r="K8" s="88"/>
      <c r="L8" s="88" t="s">
        <v>168</v>
      </c>
      <c r="M8" s="88" t="s">
        <v>168</v>
      </c>
      <c r="N8" s="88" t="s">
        <v>2</v>
      </c>
      <c r="O8" s="33" t="s">
        <v>2</v>
      </c>
      <c r="P8" s="88" t="s">
        <v>150</v>
      </c>
      <c r="Q8" s="33" t="s">
        <v>2</v>
      </c>
      <c r="R8" s="33" t="s">
        <v>2</v>
      </c>
      <c r="S8" s="33" t="s">
        <v>2</v>
      </c>
      <c r="T8" s="33" t="s">
        <v>2</v>
      </c>
      <c r="U8" s="33" t="s">
        <v>2</v>
      </c>
      <c r="V8" s="33" t="s">
        <v>2</v>
      </c>
      <c r="W8" s="33" t="s">
        <v>2</v>
      </c>
      <c r="X8" s="88"/>
      <c r="Y8" s="88" t="s">
        <v>168</v>
      </c>
      <c r="Z8" s="33" t="s">
        <v>2</v>
      </c>
      <c r="AA8" s="88" t="s">
        <v>3</v>
      </c>
      <c r="AB8" s="88" t="s">
        <v>222</v>
      </c>
      <c r="AC8" s="33" t="s">
        <v>2</v>
      </c>
      <c r="AD8" s="88" t="s">
        <v>227</v>
      </c>
      <c r="AE8" s="88"/>
      <c r="AF8" s="33" t="s">
        <v>2</v>
      </c>
      <c r="AG8" s="3">
        <f t="shared" si="7"/>
        <v>160</v>
      </c>
      <c r="AH8" s="3">
        <f t="shared" si="2"/>
        <v>3</v>
      </c>
      <c r="AI8" s="3">
        <f t="shared" si="3"/>
        <v>5</v>
      </c>
      <c r="AJ8" s="3">
        <f t="shared" si="4"/>
        <v>15</v>
      </c>
      <c r="AK8" s="3">
        <f t="shared" si="5"/>
        <v>8</v>
      </c>
      <c r="AL8" s="3">
        <f t="shared" si="6"/>
        <v>0</v>
      </c>
    </row>
    <row r="9" spans="1:38" ht="21.5">
      <c r="A9" s="6" t="s">
        <v>154</v>
      </c>
      <c r="B9" s="33" t="s">
        <v>2</v>
      </c>
      <c r="C9" s="88" t="s">
        <v>150</v>
      </c>
      <c r="D9" s="88"/>
      <c r="E9" s="33" t="s">
        <v>2</v>
      </c>
      <c r="F9" s="33" t="s">
        <v>2</v>
      </c>
      <c r="G9" s="33" t="s">
        <v>2</v>
      </c>
      <c r="H9" s="33" t="s">
        <v>2</v>
      </c>
      <c r="I9" s="33" t="s">
        <v>2</v>
      </c>
      <c r="J9" s="33" t="s">
        <v>2</v>
      </c>
      <c r="K9" s="33" t="s">
        <v>2</v>
      </c>
      <c r="L9" s="88" t="s">
        <v>150</v>
      </c>
      <c r="M9" s="88"/>
      <c r="N9" s="88"/>
      <c r="O9" s="33" t="s">
        <v>2</v>
      </c>
      <c r="P9" s="88"/>
      <c r="Q9" s="90"/>
      <c r="R9" s="88" t="s">
        <v>168</v>
      </c>
      <c r="S9" s="33" t="s">
        <v>2</v>
      </c>
      <c r="T9" s="33" t="s">
        <v>2</v>
      </c>
      <c r="U9" s="90"/>
      <c r="V9" s="88" t="s">
        <v>170</v>
      </c>
      <c r="W9" s="90"/>
      <c r="X9" s="33" t="s">
        <v>2</v>
      </c>
      <c r="Y9" s="90"/>
      <c r="Z9" s="88" t="s">
        <v>168</v>
      </c>
      <c r="AA9" s="88" t="s">
        <v>168</v>
      </c>
      <c r="AB9" s="90" t="s">
        <v>168</v>
      </c>
      <c r="AC9" s="90" t="s">
        <v>168</v>
      </c>
      <c r="AD9" s="33" t="s">
        <v>2</v>
      </c>
      <c r="AE9" s="33" t="s">
        <v>2</v>
      </c>
      <c r="AF9" s="90"/>
      <c r="AG9" s="3">
        <f t="shared" si="7"/>
        <v>160</v>
      </c>
      <c r="AH9" s="3">
        <f t="shared" si="2"/>
        <v>3</v>
      </c>
      <c r="AI9" s="3">
        <f t="shared" si="3"/>
        <v>5</v>
      </c>
      <c r="AJ9" s="3">
        <f t="shared" si="4"/>
        <v>14</v>
      </c>
      <c r="AK9" s="3">
        <f t="shared" si="5"/>
        <v>7</v>
      </c>
      <c r="AL9" s="3">
        <f t="shared" si="6"/>
        <v>2</v>
      </c>
    </row>
    <row r="10" spans="1:38" ht="21.5">
      <c r="A10" s="6" t="s">
        <v>155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8"/>
      <c r="R10" s="88" t="s">
        <v>150</v>
      </c>
      <c r="S10" s="88" t="s">
        <v>168</v>
      </c>
      <c r="T10" s="88" t="s">
        <v>168</v>
      </c>
      <c r="U10" s="33" t="s">
        <v>2</v>
      </c>
      <c r="V10" s="33" t="s">
        <v>2</v>
      </c>
      <c r="W10" s="88"/>
      <c r="X10" s="33" t="s">
        <v>2</v>
      </c>
      <c r="Y10" s="33" t="s">
        <v>2</v>
      </c>
      <c r="Z10" s="33" t="s">
        <v>2</v>
      </c>
      <c r="AA10" s="33" t="s">
        <v>2</v>
      </c>
      <c r="AB10" s="33" t="s">
        <v>2</v>
      </c>
      <c r="AC10" s="33" t="s">
        <v>150</v>
      </c>
      <c r="AD10" s="88" t="s">
        <v>168</v>
      </c>
      <c r="AE10" s="88" t="s">
        <v>168</v>
      </c>
      <c r="AF10" s="88" t="s">
        <v>168</v>
      </c>
      <c r="AG10" s="3">
        <f t="shared" si="7"/>
        <v>212</v>
      </c>
      <c r="AH10" s="3">
        <f t="shared" si="2"/>
        <v>2</v>
      </c>
      <c r="AI10" s="3">
        <f t="shared" si="3"/>
        <v>5</v>
      </c>
      <c r="AJ10" s="3">
        <f t="shared" si="4"/>
        <v>7</v>
      </c>
      <c r="AK10" s="3">
        <f t="shared" si="5"/>
        <v>15</v>
      </c>
      <c r="AL10" s="3">
        <f t="shared" si="6"/>
        <v>2</v>
      </c>
    </row>
    <row r="11" spans="1:38" ht="21.5">
      <c r="A11" s="6" t="s">
        <v>156</v>
      </c>
      <c r="B11" s="88" t="s">
        <v>168</v>
      </c>
      <c r="C11" s="88" t="s">
        <v>168</v>
      </c>
      <c r="D11" s="88" t="s">
        <v>168</v>
      </c>
      <c r="E11" s="88" t="s">
        <v>168</v>
      </c>
      <c r="F11" s="33" t="s">
        <v>2</v>
      </c>
      <c r="G11" s="88" t="s">
        <v>171</v>
      </c>
      <c r="H11" s="88" t="s">
        <v>172</v>
      </c>
      <c r="I11" s="88" t="s">
        <v>150</v>
      </c>
      <c r="J11" s="88"/>
      <c r="K11" s="33" t="s">
        <v>2</v>
      </c>
      <c r="L11" s="33" t="s">
        <v>2</v>
      </c>
      <c r="M11" s="33" t="s">
        <v>2</v>
      </c>
      <c r="N11" s="88" t="s">
        <v>150</v>
      </c>
      <c r="O11" s="88" t="s">
        <v>170</v>
      </c>
      <c r="P11" s="33" t="s">
        <v>2</v>
      </c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3">
        <f t="shared" si="7"/>
        <v>212</v>
      </c>
      <c r="AH11" s="3">
        <f t="shared" si="2"/>
        <v>3</v>
      </c>
      <c r="AI11" s="3">
        <f t="shared" si="3"/>
        <v>4</v>
      </c>
      <c r="AJ11" s="3">
        <f t="shared" si="4"/>
        <v>5</v>
      </c>
      <c r="AK11" s="3">
        <f t="shared" si="5"/>
        <v>15</v>
      </c>
      <c r="AL11" s="3">
        <f t="shared" si="6"/>
        <v>2</v>
      </c>
    </row>
    <row r="12" spans="1:38" ht="21.5">
      <c r="A12" s="6" t="s">
        <v>157</v>
      </c>
      <c r="B12" s="33" t="s">
        <v>2</v>
      </c>
      <c r="C12" s="33" t="s">
        <v>2</v>
      </c>
      <c r="D12" s="33" t="s">
        <v>2</v>
      </c>
      <c r="E12" s="88" t="s">
        <v>150</v>
      </c>
      <c r="F12" s="88"/>
      <c r="G12" s="88" t="s">
        <v>171</v>
      </c>
      <c r="H12" s="88" t="s">
        <v>170</v>
      </c>
      <c r="I12" s="33" t="s">
        <v>2</v>
      </c>
      <c r="J12" s="88" t="s">
        <v>7</v>
      </c>
      <c r="K12" s="88"/>
      <c r="L12" s="33" t="s">
        <v>2</v>
      </c>
      <c r="M12" s="88" t="s">
        <v>150</v>
      </c>
      <c r="N12" s="88" t="s">
        <v>168</v>
      </c>
      <c r="O12" s="33" t="s">
        <v>168</v>
      </c>
      <c r="P12" s="88" t="s">
        <v>168</v>
      </c>
      <c r="Q12" s="88" t="s">
        <v>168</v>
      </c>
      <c r="R12" s="33" t="s">
        <v>2</v>
      </c>
      <c r="S12" s="88"/>
      <c r="T12" s="88"/>
      <c r="U12" s="33"/>
      <c r="V12" s="33" t="s">
        <v>2</v>
      </c>
      <c r="W12" s="88" t="s">
        <v>7</v>
      </c>
      <c r="X12" s="88" t="s">
        <v>150</v>
      </c>
      <c r="Y12" s="88"/>
      <c r="Z12" s="88"/>
      <c r="AA12" s="33" t="s">
        <v>2</v>
      </c>
      <c r="AB12" s="33" t="s">
        <v>2</v>
      </c>
      <c r="AC12" s="33" t="s">
        <v>2</v>
      </c>
      <c r="AD12" s="33" t="s">
        <v>2</v>
      </c>
      <c r="AE12" s="33" t="s">
        <v>2</v>
      </c>
      <c r="AF12" s="33" t="s">
        <v>2</v>
      </c>
      <c r="AG12" s="3">
        <f t="shared" si="7"/>
        <v>172</v>
      </c>
      <c r="AH12" s="3">
        <f t="shared" si="2"/>
        <v>6</v>
      </c>
      <c r="AI12" s="3">
        <f t="shared" si="3"/>
        <v>4</v>
      </c>
      <c r="AJ12" s="3">
        <f t="shared" si="4"/>
        <v>13</v>
      </c>
      <c r="AK12" s="3">
        <f t="shared" si="5"/>
        <v>6</v>
      </c>
      <c r="AL12" s="3">
        <f t="shared" si="6"/>
        <v>1</v>
      </c>
    </row>
    <row r="13" spans="1:38" ht="21.5">
      <c r="A13" s="93"/>
      <c r="B13" s="94">
        <v>3</v>
      </c>
      <c r="C13" s="94">
        <v>3</v>
      </c>
      <c r="D13" s="94">
        <v>3</v>
      </c>
      <c r="E13" s="94">
        <v>3</v>
      </c>
      <c r="F13" s="94">
        <v>3</v>
      </c>
      <c r="G13" s="94">
        <v>3</v>
      </c>
      <c r="H13" s="95">
        <v>4</v>
      </c>
      <c r="I13" s="94">
        <v>3</v>
      </c>
      <c r="J13" s="94">
        <v>3</v>
      </c>
      <c r="K13" s="94">
        <v>3</v>
      </c>
      <c r="L13" s="94">
        <v>3</v>
      </c>
      <c r="M13" s="94">
        <v>3</v>
      </c>
      <c r="N13" s="94">
        <v>3</v>
      </c>
      <c r="O13" s="95">
        <v>4</v>
      </c>
      <c r="P13" s="94">
        <v>3</v>
      </c>
      <c r="Q13" s="94">
        <v>3</v>
      </c>
      <c r="R13" s="94">
        <v>3</v>
      </c>
      <c r="S13" s="94">
        <v>3</v>
      </c>
      <c r="T13" s="94">
        <v>3</v>
      </c>
      <c r="U13" s="94">
        <v>3</v>
      </c>
      <c r="V13" s="95">
        <v>4</v>
      </c>
      <c r="W13" s="94">
        <v>3</v>
      </c>
      <c r="X13" s="94">
        <v>3</v>
      </c>
      <c r="Y13" s="94">
        <v>3</v>
      </c>
      <c r="Z13" s="94">
        <v>3</v>
      </c>
      <c r="AA13" s="94">
        <v>3</v>
      </c>
      <c r="AB13" s="94">
        <v>3</v>
      </c>
      <c r="AC13" s="95">
        <v>4</v>
      </c>
      <c r="AD13" s="94">
        <v>3</v>
      </c>
      <c r="AE13" s="94">
        <v>3</v>
      </c>
      <c r="AF13" s="94">
        <v>3</v>
      </c>
      <c r="AG13" s="12">
        <f>SUM(B13:AF13)</f>
        <v>97</v>
      </c>
      <c r="AH13" s="12"/>
      <c r="AI13" s="12"/>
      <c r="AJ13" s="12"/>
      <c r="AK13" s="12"/>
      <c r="AL13" s="12"/>
    </row>
    <row r="14" spans="1:38" ht="21.5">
      <c r="A14" s="93"/>
      <c r="B14" s="94"/>
      <c r="C14" s="94"/>
      <c r="D14" s="94"/>
      <c r="E14" s="94"/>
      <c r="F14" s="94"/>
      <c r="G14" s="94"/>
      <c r="H14" s="94"/>
      <c r="I14" s="95"/>
      <c r="J14" s="94"/>
      <c r="K14" s="94"/>
      <c r="L14" s="94"/>
      <c r="M14" s="94"/>
      <c r="N14" s="94"/>
      <c r="O14" s="95"/>
      <c r="P14" s="94">
        <f>SUM(B13:P13)</f>
        <v>47</v>
      </c>
      <c r="Q14" s="94"/>
      <c r="R14" s="94"/>
      <c r="S14" s="94"/>
      <c r="T14" s="94"/>
      <c r="U14" s="94"/>
      <c r="V14" s="95"/>
      <c r="W14" s="94"/>
      <c r="X14" s="94"/>
      <c r="Y14" s="94"/>
      <c r="Z14" s="94"/>
      <c r="AA14" s="94"/>
      <c r="AB14" s="94"/>
      <c r="AC14" s="95"/>
      <c r="AD14" s="95"/>
      <c r="AE14" s="95"/>
      <c r="AF14" s="95">
        <f>SUM(Q13:AF13)</f>
        <v>50</v>
      </c>
      <c r="AG14" s="12"/>
      <c r="AH14" s="12"/>
      <c r="AI14" s="12"/>
      <c r="AJ14" s="12"/>
      <c r="AK14" s="12"/>
      <c r="AL14" s="12"/>
    </row>
    <row r="15" spans="1:38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8" ht="32.5" thickBot="1">
      <c r="A16" s="4"/>
      <c r="B16" s="36">
        <v>1</v>
      </c>
      <c r="C16" s="423" t="s">
        <v>173</v>
      </c>
      <c r="D16" s="424"/>
      <c r="E16" s="425" t="s">
        <v>13</v>
      </c>
      <c r="F16" s="425"/>
      <c r="G16" s="14" t="s">
        <v>159</v>
      </c>
      <c r="J16" s="37">
        <f>J17+J18</f>
        <v>4</v>
      </c>
      <c r="K16" s="13" t="s">
        <v>160</v>
      </c>
      <c r="L16" s="13" t="s">
        <v>161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E16" s="38" t="s">
        <v>162</v>
      </c>
      <c r="AF16" s="9" t="s">
        <v>163</v>
      </c>
      <c r="AH16" t="s">
        <v>145</v>
      </c>
      <c r="AI16" s="39" t="s">
        <v>9</v>
      </c>
      <c r="AJ16" s="92" t="s">
        <v>164</v>
      </c>
      <c r="AK16" t="s">
        <v>165</v>
      </c>
    </row>
    <row r="17" spans="1:37" ht="32.5" thickBot="1">
      <c r="A17" s="4"/>
      <c r="B17" s="41">
        <v>2</v>
      </c>
      <c r="C17" s="424" t="s">
        <v>30</v>
      </c>
      <c r="D17" s="426"/>
      <c r="E17" s="425" t="s">
        <v>16</v>
      </c>
      <c r="F17" s="425"/>
      <c r="G17" s="42"/>
      <c r="H17" s="13" t="s">
        <v>166</v>
      </c>
      <c r="I17" s="13"/>
      <c r="J17" s="37">
        <v>2</v>
      </c>
      <c r="K17" s="4"/>
      <c r="L17" s="13" t="s">
        <v>167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3 ... 7</v>
      </c>
      <c r="T17" s="44"/>
      <c r="U17" s="45"/>
      <c r="W17" s="13"/>
      <c r="X17" s="8" t="s">
        <v>20</v>
      </c>
      <c r="Y17" s="20" t="s">
        <v>3</v>
      </c>
      <c r="Z17" s="20">
        <v>4</v>
      </c>
      <c r="AA17" s="20" t="s">
        <v>5</v>
      </c>
      <c r="AB17" s="20">
        <v>4</v>
      </c>
      <c r="AC17" s="20" t="s">
        <v>4</v>
      </c>
      <c r="AD17" s="8">
        <v>14</v>
      </c>
      <c r="AE17" s="46" t="s">
        <v>174</v>
      </c>
      <c r="AF17" s="47" t="s">
        <v>175</v>
      </c>
      <c r="AH17" t="s">
        <v>176</v>
      </c>
      <c r="AI17" s="92" t="s">
        <v>177</v>
      </c>
      <c r="AJ17" s="92" t="s">
        <v>178</v>
      </c>
      <c r="AK17" t="s">
        <v>179</v>
      </c>
    </row>
    <row r="18" spans="1:37" ht="32.5" thickBot="1">
      <c r="A18" s="4"/>
      <c r="B18" s="41">
        <v>3</v>
      </c>
      <c r="C18" s="424" t="s">
        <v>31</v>
      </c>
      <c r="D18" s="426"/>
      <c r="E18" s="425" t="s">
        <v>14</v>
      </c>
      <c r="F18" s="425"/>
      <c r="G18" s="42"/>
      <c r="H18" s="13" t="s">
        <v>180</v>
      </c>
      <c r="J18" s="37">
        <v>2</v>
      </c>
      <c r="L18" s="13" t="s">
        <v>181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3 ... 7</v>
      </c>
      <c r="T18" s="49"/>
      <c r="U18" s="45"/>
      <c r="X18" s="8" t="s">
        <v>21</v>
      </c>
      <c r="Y18" s="20" t="s">
        <v>3</v>
      </c>
      <c r="Z18" s="20">
        <v>4</v>
      </c>
      <c r="AA18" s="20" t="s">
        <v>5</v>
      </c>
      <c r="AB18" s="20">
        <v>4</v>
      </c>
      <c r="AC18" s="20" t="s">
        <v>4</v>
      </c>
      <c r="AD18" s="8">
        <v>14</v>
      </c>
      <c r="AE18" s="46" t="s">
        <v>182</v>
      </c>
      <c r="AF18" s="47" t="s">
        <v>183</v>
      </c>
      <c r="AH18" t="s">
        <v>184</v>
      </c>
      <c r="AI18" s="92" t="s">
        <v>17</v>
      </c>
      <c r="AJ18" s="92" t="s">
        <v>68</v>
      </c>
      <c r="AK18" t="s">
        <v>69</v>
      </c>
    </row>
    <row r="19" spans="1:37" ht="32.5" thickBot="1">
      <c r="A19" s="4"/>
      <c r="B19" s="41">
        <v>4</v>
      </c>
      <c r="C19" s="424" t="s">
        <v>30</v>
      </c>
      <c r="D19" s="426"/>
      <c r="E19" s="425" t="s">
        <v>13</v>
      </c>
      <c r="F19" s="425"/>
      <c r="L19" s="13" t="s">
        <v>185</v>
      </c>
      <c r="M19" s="13"/>
      <c r="N19" s="13"/>
      <c r="O19" s="13"/>
      <c r="P19" s="13"/>
      <c r="Q19" s="13"/>
      <c r="S19" s="50" t="str">
        <f>QUOTIENT(W20,COUNTA(B16:B23))&amp;" ... "&amp;MOD(W20,COUNTA(B16:B23))</f>
        <v>13 ... 7</v>
      </c>
      <c r="T19" s="51"/>
      <c r="U19" s="52"/>
      <c r="X19" s="8" t="s">
        <v>22</v>
      </c>
      <c r="Y19" s="20" t="s">
        <v>3</v>
      </c>
      <c r="Z19" s="20">
        <v>7</v>
      </c>
      <c r="AA19" s="82" t="s">
        <v>5</v>
      </c>
      <c r="AB19" s="20"/>
      <c r="AC19" s="20" t="s">
        <v>4</v>
      </c>
      <c r="AD19" s="8">
        <v>14</v>
      </c>
      <c r="AE19" s="46" t="s">
        <v>186</v>
      </c>
      <c r="AF19" s="47" t="s">
        <v>187</v>
      </c>
      <c r="AH19" t="s">
        <v>188</v>
      </c>
      <c r="AI19" s="92" t="s">
        <v>189</v>
      </c>
      <c r="AJ19" s="92" t="s">
        <v>190</v>
      </c>
      <c r="AK19" t="s">
        <v>191</v>
      </c>
    </row>
    <row r="20" spans="1:37" ht="32.5" thickBot="1">
      <c r="A20" s="4"/>
      <c r="B20" s="41">
        <v>5</v>
      </c>
      <c r="C20" s="424" t="s">
        <v>192</v>
      </c>
      <c r="D20" s="426"/>
      <c r="E20" s="425" t="s">
        <v>15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193</v>
      </c>
      <c r="O20" s="37">
        <f>COUNTIF(B4:AF4,"日")*((COUNTA(B16:B23))-J18)</f>
        <v>24</v>
      </c>
      <c r="P20" s="13" t="s">
        <v>194</v>
      </c>
      <c r="Q20" s="13" t="s">
        <v>195</v>
      </c>
      <c r="R20" s="37">
        <f>COUNTIF(B4:AF4,"6")*((COUNTA(B16:B23))-J16)</f>
        <v>16</v>
      </c>
      <c r="S20" s="13" t="s">
        <v>196</v>
      </c>
      <c r="T20" s="53">
        <f>O20+R20</f>
        <v>40</v>
      </c>
      <c r="U20" s="13" t="s">
        <v>32</v>
      </c>
      <c r="V20" s="13"/>
      <c r="W20" s="54">
        <f>T20+T21+T22</f>
        <v>111</v>
      </c>
      <c r="X20" s="8" t="s">
        <v>3</v>
      </c>
      <c r="Y20" s="20" t="s">
        <v>3</v>
      </c>
      <c r="Z20" s="20">
        <v>3</v>
      </c>
      <c r="AA20" s="20" t="s">
        <v>5</v>
      </c>
      <c r="AB20" s="98">
        <v>5</v>
      </c>
      <c r="AC20" s="20" t="s">
        <v>4</v>
      </c>
      <c r="AD20" s="8">
        <v>14</v>
      </c>
      <c r="AE20" s="46"/>
      <c r="AF20" s="55"/>
      <c r="AH20" t="s">
        <v>197</v>
      </c>
      <c r="AI20" s="92" t="s">
        <v>12</v>
      </c>
      <c r="AJ20" s="92" t="s">
        <v>81</v>
      </c>
    </row>
    <row r="21" spans="1:37" ht="32.5" thickBot="1">
      <c r="A21" s="4"/>
      <c r="B21" s="41">
        <v>6</v>
      </c>
      <c r="C21" s="424" t="s">
        <v>30</v>
      </c>
      <c r="D21" s="426"/>
      <c r="E21" s="425" t="s">
        <v>26</v>
      </c>
      <c r="F21" s="425"/>
      <c r="G21" s="42"/>
      <c r="H21" s="4"/>
      <c r="I21" s="4"/>
      <c r="J21" s="4"/>
      <c r="K21" s="4"/>
      <c r="N21" s="13" t="s">
        <v>82</v>
      </c>
      <c r="O21" s="13"/>
      <c r="S21" s="13"/>
      <c r="T21" s="37"/>
      <c r="U21" s="13"/>
      <c r="V21" s="13"/>
      <c r="W21" s="13"/>
      <c r="X21" s="8" t="s">
        <v>23</v>
      </c>
      <c r="Y21" s="20" t="s">
        <v>3</v>
      </c>
      <c r="Z21" s="20">
        <v>2</v>
      </c>
      <c r="AA21" s="20" t="s">
        <v>5</v>
      </c>
      <c r="AB21" s="20">
        <v>5</v>
      </c>
      <c r="AC21" s="20" t="s">
        <v>4</v>
      </c>
      <c r="AD21" s="8">
        <v>13</v>
      </c>
      <c r="AE21" s="46" t="s">
        <v>198</v>
      </c>
      <c r="AF21" s="47" t="s">
        <v>199</v>
      </c>
      <c r="AH21" t="s">
        <v>200</v>
      </c>
      <c r="AI21" s="92" t="s">
        <v>201</v>
      </c>
      <c r="AJ21" s="92" t="s">
        <v>202</v>
      </c>
    </row>
    <row r="22" spans="1:37" ht="32.5" thickBot="1">
      <c r="A22" s="4"/>
      <c r="B22" s="41">
        <v>7</v>
      </c>
      <c r="C22" s="424" t="s">
        <v>19</v>
      </c>
      <c r="D22" s="426"/>
      <c r="E22" s="425" t="s">
        <v>27</v>
      </c>
      <c r="F22" s="425"/>
      <c r="G22" s="42"/>
      <c r="N22" s="13" t="s">
        <v>88</v>
      </c>
      <c r="P22" s="13"/>
      <c r="T22" s="37">
        <f>42+29</f>
        <v>71</v>
      </c>
      <c r="U22" s="13"/>
      <c r="V22" s="13"/>
      <c r="W22" s="13"/>
      <c r="X22" s="8" t="s">
        <v>24</v>
      </c>
      <c r="Y22" s="20" t="s">
        <v>3</v>
      </c>
      <c r="Z22" s="98">
        <v>3</v>
      </c>
      <c r="AA22" s="20" t="s">
        <v>5</v>
      </c>
      <c r="AB22" s="20">
        <v>5</v>
      </c>
      <c r="AC22" s="20" t="s">
        <v>4</v>
      </c>
      <c r="AD22" s="8">
        <v>7</v>
      </c>
      <c r="AE22" s="56" t="s">
        <v>203</v>
      </c>
      <c r="AF22" s="47" t="s">
        <v>204</v>
      </c>
      <c r="AH22" t="s">
        <v>205</v>
      </c>
      <c r="AI22" s="92" t="s">
        <v>206</v>
      </c>
      <c r="AJ22" s="92" t="s">
        <v>207</v>
      </c>
    </row>
    <row r="23" spans="1:37" ht="32.5" thickBot="1">
      <c r="B23" s="96">
        <v>8</v>
      </c>
      <c r="C23" s="424" t="s">
        <v>30</v>
      </c>
      <c r="D23" s="426"/>
      <c r="E23" s="425" t="s">
        <v>17</v>
      </c>
      <c r="F23" s="425"/>
      <c r="G23" s="42"/>
      <c r="H23" s="13"/>
      <c r="I23" s="13"/>
      <c r="J23" s="13"/>
      <c r="K23" s="13"/>
      <c r="L23" s="13" t="s">
        <v>208</v>
      </c>
      <c r="M23" s="13"/>
      <c r="O23" s="13"/>
      <c r="P23" s="4"/>
      <c r="Q23" s="57"/>
      <c r="R23" s="17"/>
      <c r="S23" s="21"/>
      <c r="T23" s="53">
        <f>COUNTIF(B4:AF4,"6")*((COUNTA(B16:B23)-COUNTIF(B16:B23,""))-J16)</f>
        <v>16</v>
      </c>
      <c r="U23" s="14"/>
      <c r="V23" s="7"/>
      <c r="X23" s="8" t="s">
        <v>25</v>
      </c>
      <c r="Y23" s="20" t="s">
        <v>3</v>
      </c>
      <c r="Z23" s="20">
        <v>4</v>
      </c>
      <c r="AA23" s="20" t="s">
        <v>5</v>
      </c>
      <c r="AB23" s="20">
        <v>4</v>
      </c>
      <c r="AC23" s="20" t="s">
        <v>4</v>
      </c>
      <c r="AD23" s="8">
        <v>7</v>
      </c>
      <c r="AE23" s="46" t="s">
        <v>209</v>
      </c>
      <c r="AF23" s="47" t="s">
        <v>210</v>
      </c>
      <c r="AH23" t="s">
        <v>211</v>
      </c>
      <c r="AI23" s="92" t="s">
        <v>212</v>
      </c>
      <c r="AJ23" s="92" t="s">
        <v>213</v>
      </c>
    </row>
    <row r="24" spans="1:37" ht="31">
      <c r="X24" s="8" t="s">
        <v>11</v>
      </c>
      <c r="Y24" s="20" t="s">
        <v>3</v>
      </c>
      <c r="Z24" s="20">
        <v>4</v>
      </c>
      <c r="AA24" s="20" t="s">
        <v>5</v>
      </c>
      <c r="AB24" s="20">
        <v>4</v>
      </c>
      <c r="AC24" s="20" t="s">
        <v>4</v>
      </c>
      <c r="AD24" s="8">
        <v>14</v>
      </c>
      <c r="AH24" t="s">
        <v>214</v>
      </c>
    </row>
    <row r="25" spans="1:37">
      <c r="AD25">
        <f>SUM(AD17:AD24)</f>
        <v>97</v>
      </c>
      <c r="AH25" t="s">
        <v>215</v>
      </c>
    </row>
    <row r="26" spans="1:37" ht="27.5">
      <c r="L26" s="59" t="s">
        <v>216</v>
      </c>
      <c r="M26" s="59"/>
      <c r="N26" s="60"/>
      <c r="O26" s="60"/>
      <c r="R26" t="s">
        <v>219</v>
      </c>
      <c r="AH26" t="s">
        <v>217</v>
      </c>
    </row>
    <row r="28" spans="1:37">
      <c r="E28" t="s">
        <v>20</v>
      </c>
      <c r="F28" t="s">
        <v>21</v>
      </c>
      <c r="G28" t="s">
        <v>218</v>
      </c>
      <c r="H28" t="s">
        <v>3</v>
      </c>
      <c r="I28" t="s">
        <v>23</v>
      </c>
      <c r="J28" s="97" t="s">
        <v>24</v>
      </c>
      <c r="K28" t="s">
        <v>25</v>
      </c>
      <c r="L28" t="s">
        <v>11</v>
      </c>
      <c r="O28" t="s">
        <v>20</v>
      </c>
      <c r="P28" t="s">
        <v>21</v>
      </c>
      <c r="Q28" t="s">
        <v>218</v>
      </c>
      <c r="R28" t="s">
        <v>3</v>
      </c>
      <c r="S28" t="s">
        <v>23</v>
      </c>
      <c r="T28" t="s">
        <v>24</v>
      </c>
      <c r="U28" s="97" t="s">
        <v>25</v>
      </c>
      <c r="V28" t="s">
        <v>11</v>
      </c>
    </row>
    <row r="29" spans="1:37">
      <c r="E29">
        <v>7</v>
      </c>
      <c r="F29">
        <v>7</v>
      </c>
      <c r="G29">
        <v>7</v>
      </c>
      <c r="H29">
        <v>6</v>
      </c>
      <c r="I29">
        <v>6</v>
      </c>
      <c r="K29">
        <v>7</v>
      </c>
      <c r="L29">
        <v>7</v>
      </c>
      <c r="O29">
        <v>7</v>
      </c>
      <c r="P29">
        <v>7</v>
      </c>
      <c r="Q29">
        <v>7</v>
      </c>
      <c r="R29">
        <v>8</v>
      </c>
      <c r="S29">
        <v>7</v>
      </c>
      <c r="T29">
        <v>7</v>
      </c>
      <c r="V29">
        <v>7</v>
      </c>
    </row>
  </sheetData>
  <mergeCells count="19">
    <mergeCell ref="C18:D18"/>
    <mergeCell ref="E18:F18"/>
    <mergeCell ref="A1:B2"/>
    <mergeCell ref="AG4:AL4"/>
    <mergeCell ref="C16:D16"/>
    <mergeCell ref="E16:F16"/>
    <mergeCell ref="B15:C15"/>
    <mergeCell ref="C17:D17"/>
    <mergeCell ref="E17:F17"/>
    <mergeCell ref="C19:D19"/>
    <mergeCell ref="E19:F19"/>
    <mergeCell ref="C23:D23"/>
    <mergeCell ref="E23:F23"/>
    <mergeCell ref="C20:D20"/>
    <mergeCell ref="E20:F20"/>
    <mergeCell ref="C21:D21"/>
    <mergeCell ref="E21:F21"/>
    <mergeCell ref="C22:D22"/>
    <mergeCell ref="E22:F22"/>
  </mergeCells>
  <phoneticPr fontId="11" type="noConversion"/>
  <conditionalFormatting sqref="AG3">
    <cfRule type="expression" dxfId="2975" priority="169" stopIfTrue="1">
      <formula>WEEKDAY(AG$3)=7</formula>
    </cfRule>
    <cfRule type="expression" dxfId="2974" priority="170" stopIfTrue="1">
      <formula>WEEKDAY(AG$3)=1</formula>
    </cfRule>
    <cfRule type="expression" dxfId="2973" priority="171" stopIfTrue="1">
      <formula>WEEKDAY(AG$3)=7</formula>
    </cfRule>
    <cfRule type="expression" dxfId="2972" priority="172" stopIfTrue="1">
      <formula>WEEKDAY(AG$3)=1</formula>
    </cfRule>
  </conditionalFormatting>
  <conditionalFormatting sqref="B10:F10 I10:M10 W11:Z11 AD11:AF11 P10:AF10 B3:AF9 B11:T11 B12:AF14">
    <cfRule type="expression" dxfId="2971" priority="167">
      <formula>WEEKDAY(B$3,2)=7</formula>
    </cfRule>
    <cfRule type="expression" dxfId="2970" priority="168">
      <formula>WEEKDAY(B$3,2)=6</formula>
    </cfRule>
  </conditionalFormatting>
  <conditionalFormatting sqref="U6:V6 B5:AF5">
    <cfRule type="expression" dxfId="2969" priority="166">
      <formula>SEARCH("X", $A$5) &gt; 0</formula>
    </cfRule>
  </conditionalFormatting>
  <conditionalFormatting sqref="B6:T6 W6:AF6 U12:V14">
    <cfRule type="expression" dxfId="2968" priority="165">
      <formula>SEARCH("X", $A$6) &gt; 0</formula>
    </cfRule>
  </conditionalFormatting>
  <conditionalFormatting sqref="B7:AF7">
    <cfRule type="expression" dxfId="2967" priority="164">
      <formula>SEARCH("X", $A$7) &gt; 0</formula>
    </cfRule>
  </conditionalFormatting>
  <conditionalFormatting sqref="B8:AF8 V9">
    <cfRule type="expression" dxfId="2966" priority="163">
      <formula>SEARCH("X", $A$8) &gt; 0</formula>
    </cfRule>
  </conditionalFormatting>
  <conditionalFormatting sqref="B9:AF9">
    <cfRule type="expression" dxfId="2965" priority="162">
      <formula>SEARCH("X", $A$9) &gt; 0</formula>
    </cfRule>
  </conditionalFormatting>
  <conditionalFormatting sqref="B10:F10 I10:M10 P10:AF10">
    <cfRule type="expression" dxfId="2964" priority="161">
      <formula>SEARCH("X", $A$10) &gt; 0</formula>
    </cfRule>
  </conditionalFormatting>
  <conditionalFormatting sqref="B11:T11 W11:Z11 AD11:AF11">
    <cfRule type="expression" dxfId="2963" priority="160">
      <formula>SEARCH("X", $A$11) &gt; 0</formula>
    </cfRule>
  </conditionalFormatting>
  <conditionalFormatting sqref="B12:T14 Q13:U14 W12:AF14">
    <cfRule type="expression" dxfId="2962" priority="159">
      <formula>SEARCH("X", $A$12) &gt; 0</formula>
    </cfRule>
  </conditionalFormatting>
  <conditionalFormatting sqref="G6:H6">
    <cfRule type="expression" dxfId="2961" priority="158">
      <formula>SEARCH("X", $A$12) &gt; 0</formula>
    </cfRule>
  </conditionalFormatting>
  <conditionalFormatting sqref="X10">
    <cfRule type="expression" dxfId="2960" priority="157">
      <formula>SEARCH("X", $A$12) &gt; 0</formula>
    </cfRule>
  </conditionalFormatting>
  <conditionalFormatting sqref="X10:Y10">
    <cfRule type="expression" dxfId="2959" priority="156">
      <formula>SEARCH("X", $A$12) &gt; 0</formula>
    </cfRule>
  </conditionalFormatting>
  <conditionalFormatting sqref="X10:Z10">
    <cfRule type="expression" dxfId="2958" priority="155">
      <formula>SEARCH("X", $A$12) &gt; 0</formula>
    </cfRule>
  </conditionalFormatting>
  <conditionalFormatting sqref="X10:AA10">
    <cfRule type="expression" dxfId="2957" priority="154">
      <formula>SEARCH("X", $A$12) &gt; 0</formula>
    </cfRule>
  </conditionalFormatting>
  <conditionalFormatting sqref="X10:AB10">
    <cfRule type="expression" dxfId="2956" priority="153">
      <formula>SEARCH("X", $A$12) &gt; 0</formula>
    </cfRule>
  </conditionalFormatting>
  <conditionalFormatting sqref="L12">
    <cfRule type="expression" dxfId="2955" priority="152">
      <formula>SEARCH("X", $A$6) &gt; 0</formula>
    </cfRule>
  </conditionalFormatting>
  <conditionalFormatting sqref="B6">
    <cfRule type="expression" dxfId="2954" priority="151">
      <formula>SEARCH("X", $A$5) &gt; 0</formula>
    </cfRule>
  </conditionalFormatting>
  <conditionalFormatting sqref="Y6">
    <cfRule type="expression" dxfId="2953" priority="150">
      <formula>SEARCH("X", $A$5) &gt; 0</formula>
    </cfRule>
  </conditionalFormatting>
  <conditionalFormatting sqref="AA6">
    <cfRule type="expression" dxfId="2952" priority="149">
      <formula>SEARCH("X", $A$5) &gt; 0</formula>
    </cfRule>
  </conditionalFormatting>
  <conditionalFormatting sqref="AE7">
    <cfRule type="expression" dxfId="2951" priority="148">
      <formula>SEARCH("X", $A$5) &gt; 0</formula>
    </cfRule>
  </conditionalFormatting>
  <conditionalFormatting sqref="F7">
    <cfRule type="expression" dxfId="2950" priority="147">
      <formula>SEARCH("X", $A$5) &gt; 0</formula>
    </cfRule>
  </conditionalFormatting>
  <conditionalFormatting sqref="K7">
    <cfRule type="expression" dxfId="2949" priority="146">
      <formula>SEARCH("X", $A$5) &gt; 0</formula>
    </cfRule>
  </conditionalFormatting>
  <conditionalFormatting sqref="S7">
    <cfRule type="expression" dxfId="2948" priority="145">
      <formula>SEARCH("X", $A$5) &gt; 0</formula>
    </cfRule>
  </conditionalFormatting>
  <conditionalFormatting sqref="T7">
    <cfRule type="expression" dxfId="2947" priority="144">
      <formula>SEARCH("X", $A$5) &gt; 0</formula>
    </cfRule>
  </conditionalFormatting>
  <conditionalFormatting sqref="Z7">
    <cfRule type="expression" dxfId="2946" priority="143">
      <formula>SEARCH("X", $A$5) &gt; 0</formula>
    </cfRule>
  </conditionalFormatting>
  <conditionalFormatting sqref="P8">
    <cfRule type="expression" dxfId="2945" priority="142">
      <formula>SEARCH("X", $A$5) &gt; 0</formula>
    </cfRule>
  </conditionalFormatting>
  <conditionalFormatting sqref="AD8">
    <cfRule type="expression" dxfId="2944" priority="141">
      <formula>SEARCH("X", $A$5) &gt; 0</formula>
    </cfRule>
  </conditionalFormatting>
  <conditionalFormatting sqref="L8">
    <cfRule type="expression" dxfId="2943" priority="140">
      <formula>SEARCH("X", $A$5) &gt; 0</formula>
    </cfRule>
  </conditionalFormatting>
  <conditionalFormatting sqref="C9">
    <cfRule type="expression" dxfId="2942" priority="139">
      <formula>SEARCH("X", $A$8) &gt; 0</formula>
    </cfRule>
  </conditionalFormatting>
  <conditionalFormatting sqref="C9">
    <cfRule type="expression" dxfId="2941" priority="138">
      <formula>SEARCH("X", $A$5) &gt; 0</formula>
    </cfRule>
  </conditionalFormatting>
  <conditionalFormatting sqref="L9">
    <cfRule type="expression" dxfId="2940" priority="137">
      <formula>SEARCH("X", $A$8) &gt; 0</formula>
    </cfRule>
  </conditionalFormatting>
  <conditionalFormatting sqref="L9">
    <cfRule type="expression" dxfId="2939" priority="136">
      <formula>SEARCH("X", $A$5) &gt; 0</formula>
    </cfRule>
  </conditionalFormatting>
  <conditionalFormatting sqref="L9">
    <cfRule type="expression" dxfId="2938" priority="135">
      <formula>SEARCH("X", $A$8) &gt; 0</formula>
    </cfRule>
  </conditionalFormatting>
  <conditionalFormatting sqref="L9">
    <cfRule type="expression" dxfId="2937" priority="134">
      <formula>SEARCH("X", $A$5) &gt; 0</formula>
    </cfRule>
  </conditionalFormatting>
  <conditionalFormatting sqref="W10">
    <cfRule type="expression" dxfId="2936" priority="133">
      <formula>SEARCH("X", $A$9) &gt; 0</formula>
    </cfRule>
  </conditionalFormatting>
  <conditionalFormatting sqref="W10">
    <cfRule type="expression" dxfId="2935" priority="132">
      <formula>SEARCH("X", $A$8) &gt; 0</formula>
    </cfRule>
  </conditionalFormatting>
  <conditionalFormatting sqref="W10">
    <cfRule type="expression" dxfId="2934" priority="131">
      <formula>SEARCH("X", $A$5) &gt; 0</formula>
    </cfRule>
  </conditionalFormatting>
  <conditionalFormatting sqref="R10">
    <cfRule type="expression" dxfId="2933" priority="130">
      <formula>SEARCH("X", $A$9) &gt; 0</formula>
    </cfRule>
  </conditionalFormatting>
  <conditionalFormatting sqref="R10">
    <cfRule type="expression" dxfId="2932" priority="129">
      <formula>SEARCH("X", $A$8) &gt; 0</formula>
    </cfRule>
  </conditionalFormatting>
  <conditionalFormatting sqref="R10">
    <cfRule type="expression" dxfId="2931" priority="128">
      <formula>SEARCH("X", $A$5) &gt; 0</formula>
    </cfRule>
  </conditionalFormatting>
  <conditionalFormatting sqref="I11">
    <cfRule type="expression" dxfId="2930" priority="127">
      <formula>SEARCH("X", $A$9) &gt; 0</formula>
    </cfRule>
  </conditionalFormatting>
  <conditionalFormatting sqref="I11">
    <cfRule type="expression" dxfId="2929" priority="126">
      <formula>SEARCH("X", $A$8) &gt; 0</formula>
    </cfRule>
  </conditionalFormatting>
  <conditionalFormatting sqref="I11">
    <cfRule type="expression" dxfId="2928" priority="125">
      <formula>SEARCH("X", $A$5) &gt; 0</formula>
    </cfRule>
  </conditionalFormatting>
  <conditionalFormatting sqref="J11">
    <cfRule type="expression" dxfId="2927" priority="124">
      <formula>SEARCH("X", $A$9) &gt; 0</formula>
    </cfRule>
  </conditionalFormatting>
  <conditionalFormatting sqref="J11">
    <cfRule type="expression" dxfId="2926" priority="123">
      <formula>SEARCH("X", $A$8) &gt; 0</formula>
    </cfRule>
  </conditionalFormatting>
  <conditionalFormatting sqref="J11">
    <cfRule type="expression" dxfId="2925" priority="122">
      <formula>SEARCH("X", $A$5) &gt; 0</formula>
    </cfRule>
  </conditionalFormatting>
  <conditionalFormatting sqref="N11">
    <cfRule type="expression" dxfId="2924" priority="121">
      <formula>SEARCH("X", $A$9) &gt; 0</formula>
    </cfRule>
  </conditionalFormatting>
  <conditionalFormatting sqref="N11">
    <cfRule type="expression" dxfId="2923" priority="120">
      <formula>SEARCH("X", $A$8) &gt; 0</formula>
    </cfRule>
  </conditionalFormatting>
  <conditionalFormatting sqref="N11">
    <cfRule type="expression" dxfId="2922" priority="119">
      <formula>SEARCH("X", $A$5) &gt; 0</formula>
    </cfRule>
  </conditionalFormatting>
  <conditionalFormatting sqref="E12">
    <cfRule type="expression" dxfId="2921" priority="118">
      <formula>SEARCH("X", $A$9) &gt; 0</formula>
    </cfRule>
  </conditionalFormatting>
  <conditionalFormatting sqref="E12">
    <cfRule type="expression" dxfId="2920" priority="117">
      <formula>SEARCH("X", $A$8) &gt; 0</formula>
    </cfRule>
  </conditionalFormatting>
  <conditionalFormatting sqref="E12">
    <cfRule type="expression" dxfId="2919" priority="116">
      <formula>SEARCH("X", $A$5) &gt; 0</formula>
    </cfRule>
  </conditionalFormatting>
  <conditionalFormatting sqref="M12">
    <cfRule type="expression" dxfId="2918" priority="115">
      <formula>SEARCH("X", $A$9) &gt; 0</formula>
    </cfRule>
  </conditionalFormatting>
  <conditionalFormatting sqref="M12">
    <cfRule type="expression" dxfId="2917" priority="114">
      <formula>SEARCH("X", $A$8) &gt; 0</formula>
    </cfRule>
  </conditionalFormatting>
  <conditionalFormatting sqref="M12">
    <cfRule type="expression" dxfId="2916" priority="113">
      <formula>SEARCH("X", $A$5) &gt; 0</formula>
    </cfRule>
  </conditionalFormatting>
  <conditionalFormatting sqref="X12">
    <cfRule type="expression" dxfId="2915" priority="112">
      <formula>SEARCH("X", $A$9) &gt; 0</formula>
    </cfRule>
  </conditionalFormatting>
  <conditionalFormatting sqref="X12">
    <cfRule type="expression" dxfId="2914" priority="111">
      <formula>SEARCH("X", $A$8) &gt; 0</formula>
    </cfRule>
  </conditionalFormatting>
  <conditionalFormatting sqref="X12">
    <cfRule type="expression" dxfId="2913" priority="110">
      <formula>SEARCH("X", $A$5) &gt; 0</formula>
    </cfRule>
  </conditionalFormatting>
  <conditionalFormatting sqref="I6">
    <cfRule type="expression" dxfId="2912" priority="109">
      <formula>SEARCH("X", $A$5) &gt; 0</formula>
    </cfRule>
  </conditionalFormatting>
  <conditionalFormatting sqref="J6">
    <cfRule type="expression" dxfId="2911" priority="108">
      <formula>SEARCH("X", $A$5) &gt; 0</formula>
    </cfRule>
  </conditionalFormatting>
  <conditionalFormatting sqref="K6">
    <cfRule type="expression" dxfId="2910" priority="107">
      <formula>SEARCH("X", $A$5) &gt; 0</formula>
    </cfRule>
  </conditionalFormatting>
  <conditionalFormatting sqref="G7">
    <cfRule type="expression" dxfId="2909" priority="106">
      <formula>SEARCH("X", $A$5) &gt; 0</formula>
    </cfRule>
  </conditionalFormatting>
  <conditionalFormatting sqref="F8">
    <cfRule type="expression" dxfId="2908" priority="105">
      <formula>SEARCH("X", $A$6) &gt; 0</formula>
    </cfRule>
  </conditionalFormatting>
  <conditionalFormatting sqref="F8">
    <cfRule type="expression" dxfId="2907" priority="104">
      <formula>SEARCH("X", $A$5) &gt; 0</formula>
    </cfRule>
  </conditionalFormatting>
  <conditionalFormatting sqref="L8">
    <cfRule type="expression" dxfId="2906" priority="103">
      <formula>SEARCH("X", $A$6) &gt; 0</formula>
    </cfRule>
  </conditionalFormatting>
  <conditionalFormatting sqref="L8">
    <cfRule type="expression" dxfId="2905" priority="102">
      <formula>SEARCH("X", $A$5) &gt; 0</formula>
    </cfRule>
  </conditionalFormatting>
  <conditionalFormatting sqref="M8">
    <cfRule type="expression" dxfId="2904" priority="101">
      <formula>SEARCH("X", $A$6) &gt; 0</formula>
    </cfRule>
  </conditionalFormatting>
  <conditionalFormatting sqref="M8">
    <cfRule type="expression" dxfId="2903" priority="100">
      <formula>SEARCH("X", $A$5) &gt; 0</formula>
    </cfRule>
  </conditionalFormatting>
  <conditionalFormatting sqref="Y8">
    <cfRule type="expression" dxfId="2902" priority="99">
      <formula>SEARCH("X", $A$6) &gt; 0</formula>
    </cfRule>
  </conditionalFormatting>
  <conditionalFormatting sqref="Y8">
    <cfRule type="expression" dxfId="2901" priority="98">
      <formula>SEARCH("X", $A$5) &gt; 0</formula>
    </cfRule>
  </conditionalFormatting>
  <conditionalFormatting sqref="R9">
    <cfRule type="expression" dxfId="2900" priority="97">
      <formula>SEARCH("X", $A$6) &gt; 0</formula>
    </cfRule>
  </conditionalFormatting>
  <conditionalFormatting sqref="R9">
    <cfRule type="expression" dxfId="2899" priority="96">
      <formula>SEARCH("X", $A$5) &gt; 0</formula>
    </cfRule>
  </conditionalFormatting>
  <conditionalFormatting sqref="B11">
    <cfRule type="expression" dxfId="2898" priority="95">
      <formula>SEARCH("X", $A$6) &gt; 0</formula>
    </cfRule>
  </conditionalFormatting>
  <conditionalFormatting sqref="B11">
    <cfRule type="expression" dxfId="2897" priority="94">
      <formula>SEARCH("X", $A$5) &gt; 0</formula>
    </cfRule>
  </conditionalFormatting>
  <conditionalFormatting sqref="C11">
    <cfRule type="expression" dxfId="2896" priority="93">
      <formula>SEARCH("X", $A$6) &gt; 0</formula>
    </cfRule>
  </conditionalFormatting>
  <conditionalFormatting sqref="C11">
    <cfRule type="expression" dxfId="2895" priority="92">
      <formula>SEARCH("X", $A$5) &gt; 0</formula>
    </cfRule>
  </conditionalFormatting>
  <conditionalFormatting sqref="D11">
    <cfRule type="expression" dxfId="2894" priority="91">
      <formula>SEARCH("X", $A$6) &gt; 0</formula>
    </cfRule>
  </conditionalFormatting>
  <conditionalFormatting sqref="D11">
    <cfRule type="expression" dxfId="2893" priority="90">
      <formula>SEARCH("X", $A$5) &gt; 0</formula>
    </cfRule>
  </conditionalFormatting>
  <conditionalFormatting sqref="E11">
    <cfRule type="expression" dxfId="2892" priority="89">
      <formula>SEARCH("X", $A$6) &gt; 0</formula>
    </cfRule>
  </conditionalFormatting>
  <conditionalFormatting sqref="E11">
    <cfRule type="expression" dxfId="2891" priority="88">
      <formula>SEARCH("X", $A$5) &gt; 0</formula>
    </cfRule>
  </conditionalFormatting>
  <conditionalFormatting sqref="Z9">
    <cfRule type="expression" dxfId="2890" priority="87">
      <formula>SEARCH("X", $A$6) &gt; 0</formula>
    </cfRule>
  </conditionalFormatting>
  <conditionalFormatting sqref="Z9">
    <cfRule type="expression" dxfId="2889" priority="86">
      <formula>SEARCH("X", $A$5) &gt; 0</formula>
    </cfRule>
  </conditionalFormatting>
  <conditionalFormatting sqref="AA9">
    <cfRule type="expression" dxfId="2888" priority="85">
      <formula>SEARCH("X", $A$6) &gt; 0</formula>
    </cfRule>
  </conditionalFormatting>
  <conditionalFormatting sqref="AA9">
    <cfRule type="expression" dxfId="2887" priority="84">
      <formula>SEARCH("X", $A$5) &gt; 0</formula>
    </cfRule>
  </conditionalFormatting>
  <conditionalFormatting sqref="AD10">
    <cfRule type="expression" dxfId="2886" priority="83">
      <formula>SEARCH("X", $A$6) &gt; 0</formula>
    </cfRule>
  </conditionalFormatting>
  <conditionalFormatting sqref="AD10">
    <cfRule type="expression" dxfId="2885" priority="82">
      <formula>SEARCH("X", $A$5) &gt; 0</formula>
    </cfRule>
  </conditionalFormatting>
  <conditionalFormatting sqref="AE10">
    <cfRule type="expression" dxfId="2884" priority="81">
      <formula>SEARCH("X", $A$6) &gt; 0</formula>
    </cfRule>
  </conditionalFormatting>
  <conditionalFormatting sqref="AE10">
    <cfRule type="expression" dxfId="2883" priority="80">
      <formula>SEARCH("X", $A$5) &gt; 0</formula>
    </cfRule>
  </conditionalFormatting>
  <conditionalFormatting sqref="AF10">
    <cfRule type="expression" dxfId="2882" priority="79">
      <formula>SEARCH("X", $A$6) &gt; 0</formula>
    </cfRule>
  </conditionalFormatting>
  <conditionalFormatting sqref="AF10">
    <cfRule type="expression" dxfId="2881" priority="78">
      <formula>SEARCH("X", $A$5) &gt; 0</formula>
    </cfRule>
  </conditionalFormatting>
  <conditionalFormatting sqref="S10">
    <cfRule type="expression" dxfId="2880" priority="77">
      <formula>SEARCH("X", $A$6) &gt; 0</formula>
    </cfRule>
  </conditionalFormatting>
  <conditionalFormatting sqref="S10">
    <cfRule type="expression" dxfId="2879" priority="76">
      <formula>SEARCH("X", $A$5) &gt; 0</formula>
    </cfRule>
  </conditionalFormatting>
  <conditionalFormatting sqref="T10">
    <cfRule type="expression" dxfId="2878" priority="75">
      <formula>SEARCH("X", $A$6) &gt; 0</formula>
    </cfRule>
  </conditionalFormatting>
  <conditionalFormatting sqref="T10">
    <cfRule type="expression" dxfId="2877" priority="74">
      <formula>SEARCH("X", $A$5) &gt; 0</formula>
    </cfRule>
  </conditionalFormatting>
  <conditionalFormatting sqref="P12">
    <cfRule type="expression" dxfId="2876" priority="73">
      <formula>SEARCH("X", $A$6) &gt; 0</formula>
    </cfRule>
  </conditionalFormatting>
  <conditionalFormatting sqref="P12">
    <cfRule type="expression" dxfId="2875" priority="72">
      <formula>SEARCH("X", $A$5) &gt; 0</formula>
    </cfRule>
  </conditionalFormatting>
  <conditionalFormatting sqref="Q12">
    <cfRule type="expression" dxfId="2874" priority="71">
      <formula>SEARCH("X", $A$6) &gt; 0</formula>
    </cfRule>
  </conditionalFormatting>
  <conditionalFormatting sqref="Q12">
    <cfRule type="expression" dxfId="2873" priority="70">
      <formula>SEARCH("X", $A$5) &gt; 0</formula>
    </cfRule>
  </conditionalFormatting>
  <conditionalFormatting sqref="B5">
    <cfRule type="expression" dxfId="2872" priority="69">
      <formula>SEARCH("X", $A$6) &gt; 0</formula>
    </cfRule>
  </conditionalFormatting>
  <conditionalFormatting sqref="C5">
    <cfRule type="expression" dxfId="2871" priority="68">
      <formula>SEARCH("X", $A$6) &gt; 0</formula>
    </cfRule>
  </conditionalFormatting>
  <conditionalFormatting sqref="H5">
    <cfRule type="expression" dxfId="2870" priority="67">
      <formula>SEARCH("X", $A$6) &gt; 0</formula>
    </cfRule>
  </conditionalFormatting>
  <conditionalFormatting sqref="J5">
    <cfRule type="expression" dxfId="2869" priority="66">
      <formula>SEARCH("X", $A$6) &gt; 0</formula>
    </cfRule>
  </conditionalFormatting>
  <conditionalFormatting sqref="K5">
    <cfRule type="expression" dxfId="2868" priority="65">
      <formula>SEARCH("X", $A$6) &gt; 0</formula>
    </cfRule>
  </conditionalFormatting>
  <conditionalFormatting sqref="O5">
    <cfRule type="expression" dxfId="2867" priority="64">
      <formula>SEARCH("X", $A$6) &gt; 0</formula>
    </cfRule>
  </conditionalFormatting>
  <conditionalFormatting sqref="S5">
    <cfRule type="expression" dxfId="2866" priority="63">
      <formula>SEARCH("X", $A$6) &gt; 0</formula>
    </cfRule>
  </conditionalFormatting>
  <conditionalFormatting sqref="T5">
    <cfRule type="expression" dxfId="2865" priority="62">
      <formula>SEARCH("X", $A$6) &gt; 0</formula>
    </cfRule>
  </conditionalFormatting>
  <conditionalFormatting sqref="AD5">
    <cfRule type="expression" dxfId="2864" priority="61">
      <formula>SEARCH("X", $A$6) &gt; 0</formula>
    </cfRule>
  </conditionalFormatting>
  <conditionalFormatting sqref="AC5">
    <cfRule type="expression" dxfId="2863" priority="60">
      <formula>SEARCH("X", $A$6) &gt; 0</formula>
    </cfRule>
  </conditionalFormatting>
  <conditionalFormatting sqref="AB5">
    <cfRule type="expression" dxfId="2862" priority="59">
      <formula>SEARCH("X", $A$6) &gt; 0</formula>
    </cfRule>
  </conditionalFormatting>
  <conditionalFormatting sqref="AA5">
    <cfRule type="expression" dxfId="2861" priority="58">
      <formula>SEARCH("X", $A$6) &gt; 0</formula>
    </cfRule>
  </conditionalFormatting>
  <conditionalFormatting sqref="Z5">
    <cfRule type="expression" dxfId="2860" priority="57">
      <formula>SEARCH("X", $A$6) &gt; 0</formula>
    </cfRule>
  </conditionalFormatting>
  <conditionalFormatting sqref="Y5">
    <cfRule type="expression" dxfId="2859" priority="56">
      <formula>SEARCH("X", $A$6) &gt; 0</formula>
    </cfRule>
  </conditionalFormatting>
  <conditionalFormatting sqref="V6">
    <cfRule type="expression" dxfId="2858" priority="55">
      <formula>SEARCH("X", $A$6) &gt; 0</formula>
    </cfRule>
  </conditionalFormatting>
  <conditionalFormatting sqref="C7">
    <cfRule type="expression" dxfId="2857" priority="54">
      <formula>SEARCH("X", $A$6) &gt; 0</formula>
    </cfRule>
  </conditionalFormatting>
  <conditionalFormatting sqref="D7">
    <cfRule type="expression" dxfId="2856" priority="53">
      <formula>SEARCH("X", $A$6) &gt; 0</formula>
    </cfRule>
  </conditionalFormatting>
  <conditionalFormatting sqref="H7">
    <cfRule type="expression" dxfId="2855" priority="52">
      <formula>SEARCH("X", $A$6) &gt; 0</formula>
    </cfRule>
  </conditionalFormatting>
  <conditionalFormatting sqref="I7">
    <cfRule type="expression" dxfId="2854" priority="51">
      <formula>SEARCH("X", $A$6) &gt; 0</formula>
    </cfRule>
  </conditionalFormatting>
  <conditionalFormatting sqref="J7">
    <cfRule type="expression" dxfId="2853" priority="50">
      <formula>SEARCH("X", $A$6) &gt; 0</formula>
    </cfRule>
  </conditionalFormatting>
  <conditionalFormatting sqref="O7">
    <cfRule type="expression" dxfId="2852" priority="49">
      <formula>SEARCH("X", $A$6) &gt; 0</formula>
    </cfRule>
  </conditionalFormatting>
  <conditionalFormatting sqref="Q7">
    <cfRule type="expression" dxfId="2851" priority="48">
      <formula>SEARCH("X", $A$6) &gt; 0</formula>
    </cfRule>
  </conditionalFormatting>
  <conditionalFormatting sqref="U7">
    <cfRule type="expression" dxfId="2850" priority="47">
      <formula>SEARCH("X", $A$6) &gt; 0</formula>
    </cfRule>
  </conditionalFormatting>
  <conditionalFormatting sqref="V7">
    <cfRule type="expression" dxfId="2849" priority="46">
      <formula>SEARCH("X", $A$6) &gt; 0</formula>
    </cfRule>
  </conditionalFormatting>
  <conditionalFormatting sqref="W7">
    <cfRule type="expression" dxfId="2848" priority="45">
      <formula>SEARCH("X", $A$6) &gt; 0</formula>
    </cfRule>
  </conditionalFormatting>
  <conditionalFormatting sqref="X7">
    <cfRule type="expression" dxfId="2847" priority="44">
      <formula>SEARCH("X", $A$6) &gt; 0</formula>
    </cfRule>
  </conditionalFormatting>
  <conditionalFormatting sqref="Y7">
    <cfRule type="expression" dxfId="2846" priority="43">
      <formula>SEARCH("X", $A$6) &gt; 0</formula>
    </cfRule>
  </conditionalFormatting>
  <conditionalFormatting sqref="AC7">
    <cfRule type="expression" dxfId="2845" priority="42">
      <formula>SEARCH("X", $A$6) &gt; 0</formula>
    </cfRule>
  </conditionalFormatting>
  <conditionalFormatting sqref="D8">
    <cfRule type="expression" dxfId="2844" priority="41">
      <formula>SEARCH("X", $A$6) &gt; 0</formula>
    </cfRule>
  </conditionalFormatting>
  <conditionalFormatting sqref="E8">
    <cfRule type="expression" dxfId="2843" priority="40">
      <formula>SEARCH("X", $A$6) &gt; 0</formula>
    </cfRule>
  </conditionalFormatting>
  <conditionalFormatting sqref="H8">
    <cfRule type="expression" dxfId="2842" priority="39">
      <formula>SEARCH("X", $A$6) &gt; 0</formula>
    </cfRule>
  </conditionalFormatting>
  <conditionalFormatting sqref="O8">
    <cfRule type="expression" dxfId="2841" priority="38">
      <formula>SEARCH("X", $A$6) &gt; 0</formula>
    </cfRule>
  </conditionalFormatting>
  <conditionalFormatting sqref="Q8">
    <cfRule type="expression" dxfId="2840" priority="37">
      <formula>SEARCH("X", $A$6) &gt; 0</formula>
    </cfRule>
  </conditionalFormatting>
  <conditionalFormatting sqref="R8">
    <cfRule type="expression" dxfId="2839" priority="36">
      <formula>SEARCH("X", $A$6) &gt; 0</formula>
    </cfRule>
  </conditionalFormatting>
  <conditionalFormatting sqref="S8">
    <cfRule type="expression" dxfId="2838" priority="35">
      <formula>SEARCH("X", $A$6) &gt; 0</formula>
    </cfRule>
  </conditionalFormatting>
  <conditionalFormatting sqref="T8">
    <cfRule type="expression" dxfId="2837" priority="34">
      <formula>SEARCH("X", $A$6) &gt; 0</formula>
    </cfRule>
  </conditionalFormatting>
  <conditionalFormatting sqref="U8">
    <cfRule type="expression" dxfId="2836" priority="33">
      <formula>SEARCH("X", $A$6) &gt; 0</formula>
    </cfRule>
  </conditionalFormatting>
  <conditionalFormatting sqref="V8">
    <cfRule type="expression" dxfId="2835" priority="32">
      <formula>SEARCH("X", $A$6) &gt; 0</formula>
    </cfRule>
  </conditionalFormatting>
  <conditionalFormatting sqref="W8">
    <cfRule type="expression" dxfId="2834" priority="31">
      <formula>SEARCH("X", $A$6) &gt; 0</formula>
    </cfRule>
  </conditionalFormatting>
  <conditionalFormatting sqref="Z8">
    <cfRule type="expression" dxfId="2833" priority="30">
      <formula>SEARCH("X", $A$6) &gt; 0</formula>
    </cfRule>
  </conditionalFormatting>
  <conditionalFormatting sqref="AC8">
    <cfRule type="expression" dxfId="2832" priority="29">
      <formula>SEARCH("X", $A$6) &gt; 0</formula>
    </cfRule>
  </conditionalFormatting>
  <conditionalFormatting sqref="AF8">
    <cfRule type="expression" dxfId="2831" priority="28">
      <formula>SEARCH("X", $A$6) &gt; 0</formula>
    </cfRule>
  </conditionalFormatting>
  <conditionalFormatting sqref="B9">
    <cfRule type="expression" dxfId="2830" priority="27">
      <formula>SEARCH("X", $A$6) &gt; 0</formula>
    </cfRule>
  </conditionalFormatting>
  <conditionalFormatting sqref="E9">
    <cfRule type="expression" dxfId="2829" priority="26">
      <formula>SEARCH("X", $A$6) &gt; 0</formula>
    </cfRule>
  </conditionalFormatting>
  <conditionalFormatting sqref="F9">
    <cfRule type="expression" dxfId="2828" priority="25">
      <formula>SEARCH("X", $A$6) &gt; 0</formula>
    </cfRule>
  </conditionalFormatting>
  <conditionalFormatting sqref="G9">
    <cfRule type="expression" dxfId="2827" priority="24">
      <formula>SEARCH("X", $A$6) &gt; 0</formula>
    </cfRule>
  </conditionalFormatting>
  <conditionalFormatting sqref="H9">
    <cfRule type="expression" dxfId="2826" priority="23">
      <formula>SEARCH("X", $A$6) &gt; 0</formula>
    </cfRule>
  </conditionalFormatting>
  <conditionalFormatting sqref="I9">
    <cfRule type="expression" dxfId="2825" priority="22">
      <formula>SEARCH("X", $A$6) &gt; 0</formula>
    </cfRule>
  </conditionalFormatting>
  <conditionalFormatting sqref="J9">
    <cfRule type="expression" dxfId="2824" priority="21">
      <formula>SEARCH("X", $A$6) &gt; 0</formula>
    </cfRule>
  </conditionalFormatting>
  <conditionalFormatting sqref="K9">
    <cfRule type="expression" dxfId="2823" priority="20">
      <formula>SEARCH("X", $A$6) &gt; 0</formula>
    </cfRule>
  </conditionalFormatting>
  <conditionalFormatting sqref="O9">
    <cfRule type="expression" dxfId="2822" priority="19">
      <formula>SEARCH("X", $A$6) &gt; 0</formula>
    </cfRule>
  </conditionalFormatting>
  <conditionalFormatting sqref="S9">
    <cfRule type="expression" dxfId="2821" priority="18">
      <formula>SEARCH("X", $A$6) &gt; 0</formula>
    </cfRule>
  </conditionalFormatting>
  <conditionalFormatting sqref="T9">
    <cfRule type="expression" dxfId="2820" priority="17">
      <formula>SEARCH("X", $A$6) &gt; 0</formula>
    </cfRule>
  </conditionalFormatting>
  <conditionalFormatting sqref="X9">
    <cfRule type="expression" dxfId="2819" priority="16">
      <formula>SEARCH("X", $A$6) &gt; 0</formula>
    </cfRule>
  </conditionalFormatting>
  <conditionalFormatting sqref="AD9">
    <cfRule type="expression" dxfId="2818" priority="15">
      <formula>SEARCH("X", $A$6) &gt; 0</formula>
    </cfRule>
  </conditionalFormatting>
  <conditionalFormatting sqref="AE9">
    <cfRule type="expression" dxfId="2817" priority="14">
      <formula>SEARCH("X", $A$6) &gt; 0</formula>
    </cfRule>
  </conditionalFormatting>
  <conditionalFormatting sqref="F11">
    <cfRule type="expression" dxfId="2816" priority="13">
      <formula>SEARCH("X", $A$6) &gt; 0</formula>
    </cfRule>
  </conditionalFormatting>
  <conditionalFormatting sqref="K11">
    <cfRule type="expression" dxfId="2815" priority="12">
      <formula>SEARCH("X", $A$6) &gt; 0</formula>
    </cfRule>
  </conditionalFormatting>
  <conditionalFormatting sqref="L11">
    <cfRule type="expression" dxfId="2814" priority="11">
      <formula>SEARCH("X", $A$6) &gt; 0</formula>
    </cfRule>
  </conditionalFormatting>
  <conditionalFormatting sqref="M11">
    <cfRule type="expression" dxfId="2813" priority="10">
      <formula>SEARCH("X", $A$6) &gt; 0</formula>
    </cfRule>
  </conditionalFormatting>
  <conditionalFormatting sqref="P11">
    <cfRule type="expression" dxfId="2812" priority="9">
      <formula>SEARCH("X", $A$6) &gt; 0</formula>
    </cfRule>
  </conditionalFormatting>
  <conditionalFormatting sqref="B12">
    <cfRule type="expression" dxfId="2811" priority="8">
      <formula>SEARCH("X", $A$6) &gt; 0</formula>
    </cfRule>
  </conditionalFormatting>
  <conditionalFormatting sqref="C12">
    <cfRule type="expression" dxfId="2810" priority="7">
      <formula>SEARCH("X", $A$6) &gt; 0</formula>
    </cfRule>
  </conditionalFormatting>
  <conditionalFormatting sqref="D12">
    <cfRule type="expression" dxfId="2809" priority="6">
      <formula>SEARCH("X", $A$6) &gt; 0</formula>
    </cfRule>
  </conditionalFormatting>
  <conditionalFormatting sqref="I12">
    <cfRule type="expression" dxfId="2808" priority="5">
      <formula>SEARCH("X", $A$6) &gt; 0</formula>
    </cfRule>
  </conditionalFormatting>
  <conditionalFormatting sqref="R12">
    <cfRule type="expression" dxfId="2807" priority="4">
      <formula>SEARCH("X", $A$6) &gt; 0</formula>
    </cfRule>
  </conditionalFormatting>
  <conditionalFormatting sqref="AC12">
    <cfRule type="expression" dxfId="2806" priority="3">
      <formula>SEARCH("X", $A$6) &gt; 0</formula>
    </cfRule>
  </conditionalFormatting>
  <conditionalFormatting sqref="AB12">
    <cfRule type="expression" dxfId="2805" priority="2">
      <formula>SEARCH("X", $A$6) &gt; 0</formula>
    </cfRule>
  </conditionalFormatting>
  <conditionalFormatting sqref="AA12">
    <cfRule type="expression" dxfId="2804" priority="1">
      <formula>SEARCH("X", $A$6) &gt; 0</formula>
    </cfRule>
  </conditionalFormatting>
  <dataValidations count="11">
    <dataValidation type="list" allowBlank="1" showInputMessage="1" showErrorMessage="1" sqref="A10" xr:uid="{528CD7A4-EB29-4D7D-A887-4A1BDC10938B}">
      <formula1>$AI$21:$AJ$21</formula1>
    </dataValidation>
    <dataValidation type="list" allowBlank="1" showInputMessage="1" showErrorMessage="1" sqref="A9" xr:uid="{F8F0F381-D355-4715-80FC-309E38CC5FE4}">
      <formula1>$AI$20:$AJ$20</formula1>
    </dataValidation>
    <dataValidation type="list" allowBlank="1" showInputMessage="1" showErrorMessage="1" sqref="A6" xr:uid="{FD09D10A-BE7E-4968-934B-63474CB50DE5}">
      <formula1>$AI$17:$AJ$17</formula1>
    </dataValidation>
    <dataValidation type="list" allowBlank="1" showInputMessage="1" showErrorMessage="1" sqref="A8" xr:uid="{075FCD60-BB2A-43CF-9CA3-AF01FF3090A1}">
      <formula1>$AI$19:$AJ$19</formula1>
    </dataValidation>
    <dataValidation type="list" allowBlank="1" showInputMessage="1" showErrorMessage="1" sqref="A7" xr:uid="{1A1D1D12-48B1-4780-BF86-A214874BF007}">
      <formula1>$AI$18:$AJ$18</formula1>
    </dataValidation>
    <dataValidation type="list" allowBlank="1" showInputMessage="1" showErrorMessage="1" sqref="A5" xr:uid="{E833C284-F75B-4E27-BC79-78DB4ADBAF3F}">
      <formula1>$AI$16:$AJ$16</formula1>
    </dataValidation>
    <dataValidation type="list" allowBlank="1" showInputMessage="1" showErrorMessage="1" sqref="A11" xr:uid="{80EA136D-2E4B-4869-A20A-90A8AB53F3A6}">
      <formula1>$AI$22:$AJ$22</formula1>
    </dataValidation>
    <dataValidation type="list" allowBlank="1" showInputMessage="1" showErrorMessage="1" sqref="E16:F23" xr:uid="{27A09EC5-CDE9-4876-9835-AF9A04907A3B}">
      <formula1>$A$5:$A$12</formula1>
    </dataValidation>
    <dataValidation type="list" allowBlank="1" showInputMessage="1" sqref="B5:AF14" xr:uid="{0878EC8C-86DC-4772-A8FD-455E42233568}">
      <formula1>$AH$16:$AH$26</formula1>
    </dataValidation>
    <dataValidation type="list" allowBlank="1" showInputMessage="1" showErrorMessage="1" sqref="A12:A14" xr:uid="{F5E99BE9-2064-4A5D-AEBF-5243F01CA010}">
      <formula1>$AI$23:$AJ$23</formula1>
    </dataValidation>
    <dataValidation type="list" allowBlank="1" showInputMessage="1" showErrorMessage="1" sqref="C16:D23" xr:uid="{6CED9677-7ABC-4996-959D-0EF03BCA7ABF}">
      <formula1>$AK$16:$AK$19</formula1>
    </dataValidation>
  </dataValidations>
  <pageMargins left="0.7" right="0.7" top="0.75" bottom="0.75" header="0.3" footer="0.3"/>
  <pageSetup paperSize="9" scale="4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9F085-463E-4EA5-B577-25A5ACA5DDAE}">
  <sheetPr codeName="工作表3">
    <pageSetUpPr fitToPage="1"/>
  </sheetPr>
  <dimension ref="A1:AL27"/>
  <sheetViews>
    <sheetView zoomScale="60" zoomScaleNormal="60" workbookViewId="0">
      <selection activeCell="AB24" sqref="AB24"/>
    </sheetView>
  </sheetViews>
  <sheetFormatPr defaultRowHeight="17"/>
  <cols>
    <col min="1" max="1" width="12.5" bestFit="1" customWidth="1"/>
    <col min="2" max="38" width="7.58203125" customWidth="1"/>
  </cols>
  <sheetData>
    <row r="1" spans="1:38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8" ht="33.5">
      <c r="A2" s="419"/>
      <c r="B2" s="419"/>
      <c r="C2" s="1"/>
      <c r="D2" s="1"/>
      <c r="F2" s="1"/>
      <c r="G2" s="26">
        <v>2024</v>
      </c>
      <c r="H2" s="27" t="str">
        <f>"("&amp;YEAR(B3)-1911&amp;" 年 "&amp;")"</f>
        <v>(113 年 )</v>
      </c>
      <c r="I2" s="22"/>
      <c r="J2" s="23">
        <v>8</v>
      </c>
      <c r="K2" s="28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8" ht="27.5">
      <c r="A3" s="19" t="s">
        <v>1</v>
      </c>
      <c r="B3" s="30">
        <f>DATE($G$2,$J$2,1)</f>
        <v>45505</v>
      </c>
      <c r="C3" s="30">
        <f>B3+1</f>
        <v>45506</v>
      </c>
      <c r="D3" s="30">
        <f t="shared" ref="D3:AB3" si="0">C3+1</f>
        <v>45507</v>
      </c>
      <c r="E3" s="30">
        <f t="shared" si="0"/>
        <v>45508</v>
      </c>
      <c r="F3" s="30">
        <f t="shared" si="0"/>
        <v>45509</v>
      </c>
      <c r="G3" s="30">
        <f t="shared" si="0"/>
        <v>45510</v>
      </c>
      <c r="H3" s="30">
        <f t="shared" si="0"/>
        <v>45511</v>
      </c>
      <c r="I3" s="30">
        <f t="shared" si="0"/>
        <v>45512</v>
      </c>
      <c r="J3" s="30">
        <f t="shared" si="0"/>
        <v>45513</v>
      </c>
      <c r="K3" s="30">
        <f t="shared" si="0"/>
        <v>45514</v>
      </c>
      <c r="L3" s="30">
        <f t="shared" si="0"/>
        <v>45515</v>
      </c>
      <c r="M3" s="30">
        <f t="shared" si="0"/>
        <v>45516</v>
      </c>
      <c r="N3" s="30">
        <f t="shared" si="0"/>
        <v>45517</v>
      </c>
      <c r="O3" s="30">
        <f t="shared" si="0"/>
        <v>45518</v>
      </c>
      <c r="P3" s="30">
        <f t="shared" si="0"/>
        <v>45519</v>
      </c>
      <c r="Q3" s="30">
        <f t="shared" si="0"/>
        <v>45520</v>
      </c>
      <c r="R3" s="30">
        <f t="shared" si="0"/>
        <v>45521</v>
      </c>
      <c r="S3" s="30">
        <f t="shared" si="0"/>
        <v>45522</v>
      </c>
      <c r="T3" s="30">
        <f t="shared" si="0"/>
        <v>45523</v>
      </c>
      <c r="U3" s="30">
        <f t="shared" si="0"/>
        <v>45524</v>
      </c>
      <c r="V3" s="30">
        <f t="shared" si="0"/>
        <v>45525</v>
      </c>
      <c r="W3" s="30">
        <f t="shared" si="0"/>
        <v>45526</v>
      </c>
      <c r="X3" s="30">
        <f t="shared" si="0"/>
        <v>45527</v>
      </c>
      <c r="Y3" s="30">
        <f t="shared" si="0"/>
        <v>45528</v>
      </c>
      <c r="Z3" s="30">
        <f t="shared" si="0"/>
        <v>45529</v>
      </c>
      <c r="AA3" s="30">
        <f t="shared" si="0"/>
        <v>45530</v>
      </c>
      <c r="AB3" s="30">
        <f t="shared" si="0"/>
        <v>45531</v>
      </c>
      <c r="AC3" s="30">
        <f>IFERROR(IF(MONTH(AB3+1)=$J$2,AB3+1,""),"")</f>
        <v>45532</v>
      </c>
      <c r="AD3" s="30">
        <f>IFERROR(IF(MONTH(AC3+1)=$J$2,AC3+1,""),"")</f>
        <v>45533</v>
      </c>
      <c r="AE3" s="30">
        <f>IFERROR(IF(MONTH(AD3+1)=$J$2,AD3+1,""),"")</f>
        <v>45534</v>
      </c>
      <c r="AF3" s="30">
        <f>IFERROR(IF(MONTH(AE3+1)=$J$2,AE3+1,""),"")</f>
        <v>45535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</row>
    <row r="4" spans="1:38" ht="27.5">
      <c r="A4" s="19" t="s">
        <v>41</v>
      </c>
      <c r="B4" s="31">
        <f t="shared" ref="B4:AF4" si="1">IFERROR(IF(WEEKDAY(B3,2)=7,"日",WEEKDAY(B3,2)),"")</f>
        <v>4</v>
      </c>
      <c r="C4" s="31">
        <f>IFERROR(IF(WEEKDAY(C3,2)=7,"日",WEEKDAY(C3,2)),"")</f>
        <v>5</v>
      </c>
      <c r="D4" s="31">
        <f t="shared" si="1"/>
        <v>6</v>
      </c>
      <c r="E4" s="31" t="str">
        <f t="shared" si="1"/>
        <v>日</v>
      </c>
      <c r="F4" s="31">
        <f t="shared" si="1"/>
        <v>1</v>
      </c>
      <c r="G4" s="31">
        <f t="shared" si="1"/>
        <v>2</v>
      </c>
      <c r="H4" s="31">
        <f t="shared" si="1"/>
        <v>3</v>
      </c>
      <c r="I4" s="31">
        <f t="shared" si="1"/>
        <v>4</v>
      </c>
      <c r="J4" s="31">
        <f t="shared" si="1"/>
        <v>5</v>
      </c>
      <c r="K4" s="31">
        <f t="shared" si="1"/>
        <v>6</v>
      </c>
      <c r="L4" s="31" t="str">
        <f t="shared" si="1"/>
        <v>日</v>
      </c>
      <c r="M4" s="31">
        <f t="shared" si="1"/>
        <v>1</v>
      </c>
      <c r="N4" s="31">
        <f t="shared" si="1"/>
        <v>2</v>
      </c>
      <c r="O4" s="31">
        <f t="shared" si="1"/>
        <v>3</v>
      </c>
      <c r="P4" s="31">
        <f t="shared" si="1"/>
        <v>4</v>
      </c>
      <c r="Q4" s="31">
        <f t="shared" si="1"/>
        <v>5</v>
      </c>
      <c r="R4" s="31">
        <f t="shared" si="1"/>
        <v>6</v>
      </c>
      <c r="S4" s="31" t="str">
        <f t="shared" si="1"/>
        <v>日</v>
      </c>
      <c r="T4" s="31">
        <f t="shared" si="1"/>
        <v>1</v>
      </c>
      <c r="U4" s="31">
        <f t="shared" si="1"/>
        <v>2</v>
      </c>
      <c r="V4" s="31">
        <f t="shared" si="1"/>
        <v>3</v>
      </c>
      <c r="W4" s="31">
        <f t="shared" si="1"/>
        <v>4</v>
      </c>
      <c r="X4" s="31">
        <f t="shared" si="1"/>
        <v>5</v>
      </c>
      <c r="Y4" s="31">
        <f t="shared" si="1"/>
        <v>6</v>
      </c>
      <c r="Z4" s="31" t="str">
        <f t="shared" si="1"/>
        <v>日</v>
      </c>
      <c r="AA4" s="31">
        <f t="shared" si="1"/>
        <v>1</v>
      </c>
      <c r="AB4" s="31">
        <f t="shared" si="1"/>
        <v>2</v>
      </c>
      <c r="AC4" s="31">
        <f t="shared" si="1"/>
        <v>3</v>
      </c>
      <c r="AD4" s="31">
        <f t="shared" si="1"/>
        <v>4</v>
      </c>
      <c r="AE4" s="31">
        <f t="shared" si="1"/>
        <v>5</v>
      </c>
      <c r="AF4" s="31">
        <f t="shared" si="1"/>
        <v>6</v>
      </c>
      <c r="AG4" s="420" t="s">
        <v>42</v>
      </c>
      <c r="AH4" s="421"/>
      <c r="AI4" s="421"/>
      <c r="AJ4" s="421"/>
      <c r="AK4" s="421"/>
      <c r="AL4" s="422"/>
    </row>
    <row r="5" spans="1:38" ht="21.5">
      <c r="A5" s="6" t="s">
        <v>9</v>
      </c>
      <c r="B5" s="88" t="s">
        <v>5</v>
      </c>
      <c r="C5" s="88" t="s">
        <v>239</v>
      </c>
      <c r="D5" s="88" t="s">
        <v>240</v>
      </c>
      <c r="E5" s="88" t="s">
        <v>241</v>
      </c>
      <c r="F5" s="33" t="s">
        <v>230</v>
      </c>
      <c r="G5" s="33" t="s">
        <v>230</v>
      </c>
      <c r="H5" s="33" t="s">
        <v>230</v>
      </c>
      <c r="I5" s="33"/>
      <c r="J5" s="33"/>
      <c r="K5" s="33" t="s">
        <v>230</v>
      </c>
      <c r="L5" s="33" t="s">
        <v>230</v>
      </c>
      <c r="M5" s="33"/>
      <c r="N5" s="88"/>
      <c r="O5" s="88" t="s">
        <v>243</v>
      </c>
      <c r="P5" s="88" t="s">
        <v>244</v>
      </c>
      <c r="Q5" s="88" t="s">
        <v>243</v>
      </c>
      <c r="R5" s="88" t="s">
        <v>240</v>
      </c>
      <c r="S5" s="88" t="s">
        <v>240</v>
      </c>
      <c r="T5" s="88"/>
      <c r="U5" s="88"/>
      <c r="V5" s="88" t="s">
        <v>240</v>
      </c>
      <c r="W5" s="88" t="s">
        <v>240</v>
      </c>
      <c r="X5" s="88" t="s">
        <v>240</v>
      </c>
      <c r="Y5" s="88"/>
      <c r="Z5" s="88" t="s">
        <v>242</v>
      </c>
      <c r="AA5" s="88"/>
      <c r="AB5" s="88" t="s">
        <v>242</v>
      </c>
      <c r="AC5" s="88" t="s">
        <v>240</v>
      </c>
      <c r="AD5" s="88" t="s">
        <v>240</v>
      </c>
      <c r="AE5" s="88"/>
      <c r="AF5" s="88" t="s">
        <v>228</v>
      </c>
      <c r="AG5" s="3">
        <f>(AH5*12)+(AI5*12)+(AK5*8)+(AL5*4)</f>
        <v>164</v>
      </c>
      <c r="AH5" s="3">
        <f>COUNTIF(B5:AF5,"D")</f>
        <v>3</v>
      </c>
      <c r="AI5" s="3">
        <f>COUNTIF(B5:AF5,"N")</f>
        <v>5</v>
      </c>
      <c r="AJ5" s="3">
        <f>COUNTIF(B5:AF5,"OFF")+COUNTIF(B5:AF5,"上課")</f>
        <v>14</v>
      </c>
      <c r="AK5" s="3">
        <f>COUNTIF(B5:AF5,"")-AL5+COUNTIF(B5:AF5,"h3")</f>
        <v>8</v>
      </c>
      <c r="AL5" s="3">
        <f>COUNTIFS($B$4:$AF$4,"6",B5:AF5,"")+COUNTIF(B5:AF5,"h3")</f>
        <v>1</v>
      </c>
    </row>
    <row r="6" spans="1:38" ht="21.5">
      <c r="A6" s="6" t="s">
        <v>45</v>
      </c>
      <c r="B6" s="88"/>
      <c r="C6" s="88" t="s">
        <v>242</v>
      </c>
      <c r="D6" s="88"/>
      <c r="E6" s="88" t="s">
        <v>240</v>
      </c>
      <c r="F6" s="88" t="s">
        <v>229</v>
      </c>
      <c r="G6" s="88" t="s">
        <v>229</v>
      </c>
      <c r="H6" s="88" t="s">
        <v>2</v>
      </c>
      <c r="I6" s="88"/>
      <c r="J6" s="88" t="s">
        <v>240</v>
      </c>
      <c r="K6" s="88"/>
      <c r="L6" s="88" t="s">
        <v>228</v>
      </c>
      <c r="M6" s="88" t="s">
        <v>243</v>
      </c>
      <c r="N6" s="88" t="s">
        <v>243</v>
      </c>
      <c r="O6" s="88" t="s">
        <v>240</v>
      </c>
      <c r="P6" s="88" t="s">
        <v>240</v>
      </c>
      <c r="Q6" s="88" t="s">
        <v>240</v>
      </c>
      <c r="R6" s="88" t="s">
        <v>240</v>
      </c>
      <c r="S6" s="88" t="s">
        <v>240</v>
      </c>
      <c r="T6" s="88" t="s">
        <v>240</v>
      </c>
      <c r="V6" s="88" t="s">
        <v>243</v>
      </c>
      <c r="W6" s="88" t="s">
        <v>243</v>
      </c>
      <c r="X6" s="88" t="s">
        <v>243</v>
      </c>
      <c r="Y6" s="88" t="s">
        <v>240</v>
      </c>
      <c r="Z6" s="88" t="s">
        <v>240</v>
      </c>
      <c r="AA6" s="88"/>
      <c r="AB6" s="88"/>
      <c r="AC6" s="88" t="s">
        <v>229</v>
      </c>
      <c r="AD6" s="88" t="s">
        <v>229</v>
      </c>
      <c r="AE6" s="88" t="s">
        <v>240</v>
      </c>
      <c r="AF6" s="88" t="s">
        <v>240</v>
      </c>
      <c r="AG6" s="3">
        <f>(AH6*12)+(AI6*12)+(AK6*8)+(AL6*4)</f>
        <v>132</v>
      </c>
      <c r="AH6" s="3">
        <f t="shared" ref="AH6:AH12" si="2">COUNTIF(B6:AF6,"D")</f>
        <v>2</v>
      </c>
      <c r="AI6" s="3">
        <f t="shared" ref="AI6:AI12" si="3">COUNTIF(B6:AF6,"N")</f>
        <v>5</v>
      </c>
      <c r="AJ6" s="3">
        <f t="shared" ref="AJ6:AJ12" si="4">COUNTIF(B6:AF6,"OFF")+COUNTIF(B6:AF6,"上課")</f>
        <v>13</v>
      </c>
      <c r="AK6" s="3">
        <f t="shared" ref="AK6:AK12" si="5">COUNTIF(B6:AF6,"")-AL6+COUNTIF(B6:AF6,"h3")</f>
        <v>5</v>
      </c>
      <c r="AL6" s="3">
        <f t="shared" ref="AL6:AL12" si="6">COUNTIFS($B$4:$AF$4,"6",B6:AF6,"")+COUNTIF(B6:AF6,"h3")</f>
        <v>2</v>
      </c>
    </row>
    <row r="7" spans="1:38" ht="21.5">
      <c r="A7" s="6" t="s">
        <v>17</v>
      </c>
      <c r="B7" s="88" t="s">
        <v>242</v>
      </c>
      <c r="C7" s="88"/>
      <c r="D7" s="88"/>
      <c r="E7" s="88" t="s">
        <v>240</v>
      </c>
      <c r="F7" s="33" t="s">
        <v>242</v>
      </c>
      <c r="G7" s="88" t="s">
        <v>220</v>
      </c>
      <c r="H7" s="88" t="s">
        <v>240</v>
      </c>
      <c r="I7" s="33" t="s">
        <v>242</v>
      </c>
      <c r="J7" s="88"/>
      <c r="K7" s="33" t="s">
        <v>230</v>
      </c>
      <c r="L7" s="33" t="s">
        <v>230</v>
      </c>
      <c r="M7" s="33" t="s">
        <v>230</v>
      </c>
      <c r="N7" s="33" t="s">
        <v>230</v>
      </c>
      <c r="O7" s="88" t="s">
        <v>240</v>
      </c>
      <c r="P7" s="88"/>
      <c r="Q7" s="88" t="s">
        <v>220</v>
      </c>
      <c r="R7" s="88" t="s">
        <v>228</v>
      </c>
      <c r="S7" s="88" t="s">
        <v>228</v>
      </c>
      <c r="T7" s="88" t="s">
        <v>220</v>
      </c>
      <c r="U7" s="88" t="s">
        <v>10</v>
      </c>
      <c r="V7" s="88" t="s">
        <v>240</v>
      </c>
      <c r="W7" s="88" t="s">
        <v>242</v>
      </c>
      <c r="X7" s="88"/>
      <c r="Y7" s="88" t="s">
        <v>240</v>
      </c>
      <c r="Z7" s="88" t="s">
        <v>240</v>
      </c>
      <c r="AA7" s="88" t="s">
        <v>242</v>
      </c>
      <c r="AB7" s="88"/>
      <c r="AC7" s="88"/>
      <c r="AD7" s="88" t="s">
        <v>242</v>
      </c>
      <c r="AE7" s="88"/>
      <c r="AF7" s="88" t="s">
        <v>245</v>
      </c>
      <c r="AG7" s="3">
        <f t="shared" ref="AG7:AG12" si="7">(AH7*12)+(AI7*12)+(AK7*8)+(AL7*4)</f>
        <v>156</v>
      </c>
      <c r="AH7" s="3">
        <f t="shared" si="2"/>
        <v>8</v>
      </c>
      <c r="AI7" s="3">
        <f t="shared" si="3"/>
        <v>0</v>
      </c>
      <c r="AJ7" s="3">
        <f t="shared" si="4"/>
        <v>12</v>
      </c>
      <c r="AK7" s="3">
        <f t="shared" si="5"/>
        <v>7</v>
      </c>
      <c r="AL7" s="3">
        <f t="shared" si="6"/>
        <v>1</v>
      </c>
    </row>
    <row r="8" spans="1:38" ht="21.5">
      <c r="A8" s="6" t="s">
        <v>46</v>
      </c>
      <c r="B8" s="88" t="s">
        <v>240</v>
      </c>
      <c r="C8" s="33" t="s">
        <v>230</v>
      </c>
      <c r="D8" s="33" t="s">
        <v>230</v>
      </c>
      <c r="E8" s="33" t="s">
        <v>230</v>
      </c>
      <c r="F8" s="33" t="s">
        <v>230</v>
      </c>
      <c r="G8" s="88" t="s">
        <v>240</v>
      </c>
      <c r="H8" s="88" t="s">
        <v>243</v>
      </c>
      <c r="I8" s="88" t="s">
        <v>243</v>
      </c>
      <c r="J8" s="88" t="s">
        <v>240</v>
      </c>
      <c r="K8" s="88" t="s">
        <v>240</v>
      </c>
      <c r="L8" s="33" t="s">
        <v>240</v>
      </c>
      <c r="M8" s="33"/>
      <c r="N8" s="88" t="s">
        <v>242</v>
      </c>
      <c r="O8" s="88"/>
      <c r="P8" s="88"/>
      <c r="Q8" s="88" t="s">
        <v>242</v>
      </c>
      <c r="R8" s="88" t="s">
        <v>240</v>
      </c>
      <c r="S8" s="88" t="s">
        <v>240</v>
      </c>
      <c r="T8" s="88" t="s">
        <v>240</v>
      </c>
      <c r="U8" s="88" t="s">
        <v>240</v>
      </c>
      <c r="V8" s="88"/>
      <c r="W8" s="88"/>
      <c r="X8" s="88" t="s">
        <v>240</v>
      </c>
      <c r="Y8" s="88" t="s">
        <v>6</v>
      </c>
      <c r="Z8" s="88" t="s">
        <v>6</v>
      </c>
      <c r="AA8" s="88" t="s">
        <v>240</v>
      </c>
      <c r="AB8" s="88" t="s">
        <v>240</v>
      </c>
      <c r="AC8" s="88" t="s">
        <v>242</v>
      </c>
      <c r="AD8" s="88"/>
      <c r="AE8" s="88" t="s">
        <v>242</v>
      </c>
      <c r="AF8" s="88"/>
      <c r="AG8" s="3">
        <f t="shared" si="7"/>
        <v>148</v>
      </c>
      <c r="AH8" s="3">
        <f t="shared" si="2"/>
        <v>4</v>
      </c>
      <c r="AI8" s="3">
        <f t="shared" si="3"/>
        <v>4</v>
      </c>
      <c r="AJ8" s="3">
        <f t="shared" si="4"/>
        <v>16</v>
      </c>
      <c r="AK8" s="3">
        <f t="shared" si="5"/>
        <v>6</v>
      </c>
      <c r="AL8" s="3">
        <f t="shared" si="6"/>
        <v>1</v>
      </c>
    </row>
    <row r="9" spans="1:38" ht="21.5">
      <c r="A9" s="6" t="s">
        <v>12</v>
      </c>
      <c r="B9" s="88" t="s">
        <v>240</v>
      </c>
      <c r="C9" s="88" t="s">
        <v>240</v>
      </c>
      <c r="D9" s="88" t="s">
        <v>6</v>
      </c>
      <c r="E9" s="88" t="s">
        <v>6</v>
      </c>
      <c r="F9" s="88" t="s">
        <v>243</v>
      </c>
      <c r="G9" s="88" t="s">
        <v>239</v>
      </c>
      <c r="H9" s="88" t="s">
        <v>240</v>
      </c>
      <c r="I9" s="88" t="s">
        <v>240</v>
      </c>
      <c r="J9" s="88" t="s">
        <v>3</v>
      </c>
      <c r="K9" s="62"/>
      <c r="L9" s="62" t="s">
        <v>240</v>
      </c>
      <c r="M9" s="88" t="s">
        <v>240</v>
      </c>
      <c r="N9" s="88" t="s">
        <v>240</v>
      </c>
      <c r="O9" s="88" t="s">
        <v>2</v>
      </c>
      <c r="P9" s="88" t="s">
        <v>242</v>
      </c>
      <c r="Q9" s="88"/>
      <c r="R9" s="88"/>
      <c r="S9" s="88" t="s">
        <v>240</v>
      </c>
      <c r="T9" s="88"/>
      <c r="U9" s="88" t="s">
        <v>3</v>
      </c>
      <c r="V9" s="88"/>
      <c r="W9" s="88" t="s">
        <v>240</v>
      </c>
      <c r="X9" s="88" t="s">
        <v>2</v>
      </c>
      <c r="Y9" s="88" t="s">
        <v>240</v>
      </c>
      <c r="Z9" s="88" t="s">
        <v>240</v>
      </c>
      <c r="AA9" s="88" t="s">
        <v>240</v>
      </c>
      <c r="AB9" s="88" t="s">
        <v>240</v>
      </c>
      <c r="AC9" s="88" t="s">
        <v>240</v>
      </c>
      <c r="AD9" s="33" t="s">
        <v>2</v>
      </c>
      <c r="AE9" s="33" t="s">
        <v>2</v>
      </c>
      <c r="AF9" s="33" t="s">
        <v>2</v>
      </c>
      <c r="AG9" s="3">
        <f t="shared" si="7"/>
        <v>116</v>
      </c>
      <c r="AH9" s="3">
        <f t="shared" si="2"/>
        <v>3</v>
      </c>
      <c r="AI9" s="3">
        <f t="shared" si="3"/>
        <v>4</v>
      </c>
      <c r="AJ9" s="3">
        <f t="shared" si="4"/>
        <v>19</v>
      </c>
      <c r="AK9" s="3">
        <f t="shared" si="5"/>
        <v>3</v>
      </c>
      <c r="AL9" s="3">
        <f t="shared" si="6"/>
        <v>2</v>
      </c>
    </row>
    <row r="10" spans="1:38" ht="21.5">
      <c r="A10" s="6" t="s">
        <v>49</v>
      </c>
      <c r="B10" s="88" t="s">
        <v>240</v>
      </c>
      <c r="C10" s="88" t="s">
        <v>240</v>
      </c>
      <c r="D10" s="88" t="s">
        <v>240</v>
      </c>
      <c r="E10" s="88" t="s">
        <v>242</v>
      </c>
      <c r="F10" s="88"/>
      <c r="G10" s="88" t="s">
        <v>242</v>
      </c>
      <c r="H10" s="88"/>
      <c r="I10" s="88" t="s">
        <v>240</v>
      </c>
      <c r="J10" s="88" t="s">
        <v>240</v>
      </c>
      <c r="K10" s="33" t="s">
        <v>2</v>
      </c>
      <c r="L10" s="88" t="s">
        <v>240</v>
      </c>
      <c r="M10" s="88" t="s">
        <v>240</v>
      </c>
      <c r="N10" s="88" t="s">
        <v>240</v>
      </c>
      <c r="O10" s="88" t="s">
        <v>242</v>
      </c>
      <c r="P10" s="88" t="s">
        <v>2</v>
      </c>
      <c r="Q10" s="88" t="s">
        <v>240</v>
      </c>
      <c r="R10" s="88" t="s">
        <v>231</v>
      </c>
      <c r="S10" s="88" t="s">
        <v>231</v>
      </c>
      <c r="T10" s="88" t="s">
        <v>5</v>
      </c>
      <c r="U10" s="88" t="s">
        <v>2</v>
      </c>
      <c r="V10" s="88" t="s">
        <v>240</v>
      </c>
      <c r="W10" s="88" t="s">
        <v>240</v>
      </c>
      <c r="X10" s="88" t="s">
        <v>240</v>
      </c>
      <c r="Y10" s="88" t="s">
        <v>247</v>
      </c>
      <c r="Z10" s="88" t="s">
        <v>240</v>
      </c>
      <c r="AA10" s="88" t="s">
        <v>6</v>
      </c>
      <c r="AB10" s="88" t="s">
        <v>240</v>
      </c>
      <c r="AC10" s="88"/>
      <c r="AD10" s="88"/>
      <c r="AE10" s="88" t="s">
        <v>2</v>
      </c>
      <c r="AF10" s="88"/>
      <c r="AG10" s="3">
        <f t="shared" si="7"/>
        <v>120</v>
      </c>
      <c r="AH10" s="3">
        <f t="shared" si="2"/>
        <v>3</v>
      </c>
      <c r="AI10" s="3">
        <f t="shared" si="3"/>
        <v>4</v>
      </c>
      <c r="AJ10" s="3">
        <f t="shared" si="4"/>
        <v>19</v>
      </c>
      <c r="AK10" s="3">
        <f t="shared" si="5"/>
        <v>4</v>
      </c>
      <c r="AL10" s="3">
        <f t="shared" si="6"/>
        <v>1</v>
      </c>
    </row>
    <row r="11" spans="1:38" ht="21.5">
      <c r="A11" s="6" t="s">
        <v>50</v>
      </c>
      <c r="B11" s="88"/>
      <c r="C11" s="88"/>
      <c r="D11" s="88" t="s">
        <v>7</v>
      </c>
      <c r="E11" s="88" t="s">
        <v>232</v>
      </c>
      <c r="F11" s="88" t="s">
        <v>240</v>
      </c>
      <c r="G11" s="88" t="s">
        <v>240</v>
      </c>
      <c r="H11" s="88" t="s">
        <v>242</v>
      </c>
      <c r="I11" s="33" t="s">
        <v>10</v>
      </c>
      <c r="J11" s="33" t="s">
        <v>10</v>
      </c>
      <c r="K11" s="88" t="s">
        <v>7</v>
      </c>
      <c r="L11" s="88" t="s">
        <v>2</v>
      </c>
      <c r="M11" s="88" t="s">
        <v>7</v>
      </c>
      <c r="N11" s="88" t="s">
        <v>2</v>
      </c>
      <c r="O11" s="88" t="s">
        <v>245</v>
      </c>
      <c r="P11" s="88" t="s">
        <v>240</v>
      </c>
      <c r="Q11" s="88" t="s">
        <v>240</v>
      </c>
      <c r="R11" s="88" t="s">
        <v>240</v>
      </c>
      <c r="S11" s="88" t="s">
        <v>232</v>
      </c>
      <c r="T11" s="88" t="s">
        <v>240</v>
      </c>
      <c r="U11" s="88" t="s">
        <v>240</v>
      </c>
      <c r="V11" s="88" t="s">
        <v>242</v>
      </c>
      <c r="W11" s="88"/>
      <c r="X11" s="88" t="s">
        <v>7</v>
      </c>
      <c r="Y11" s="88"/>
      <c r="Z11" s="88" t="s">
        <v>240</v>
      </c>
      <c r="AA11" s="88" t="s">
        <v>2</v>
      </c>
      <c r="AB11" s="88" t="s">
        <v>2</v>
      </c>
      <c r="AC11" s="88" t="s">
        <v>240</v>
      </c>
      <c r="AD11" s="88" t="s">
        <v>240</v>
      </c>
      <c r="AE11" s="33" t="s">
        <v>2</v>
      </c>
      <c r="AF11" s="33" t="s">
        <v>2</v>
      </c>
      <c r="AG11" s="3">
        <f t="shared" si="7"/>
        <v>100</v>
      </c>
      <c r="AH11" s="3">
        <f t="shared" si="2"/>
        <v>6</v>
      </c>
      <c r="AI11" s="3">
        <f t="shared" si="3"/>
        <v>0</v>
      </c>
      <c r="AJ11" s="3">
        <f t="shared" si="4"/>
        <v>21</v>
      </c>
      <c r="AK11" s="3">
        <f t="shared" si="5"/>
        <v>3</v>
      </c>
      <c r="AL11" s="3">
        <f t="shared" si="6"/>
        <v>1</v>
      </c>
    </row>
    <row r="12" spans="1:38" ht="21.5">
      <c r="A12" s="6" t="s">
        <v>51</v>
      </c>
      <c r="B12" s="33" t="s">
        <v>2</v>
      </c>
      <c r="C12" s="33" t="s">
        <v>2</v>
      </c>
      <c r="D12" s="33" t="s">
        <v>2</v>
      </c>
      <c r="E12" s="88" t="s">
        <v>240</v>
      </c>
      <c r="F12" s="88"/>
      <c r="G12" s="88"/>
      <c r="H12" s="88"/>
      <c r="I12" s="88" t="s">
        <v>240</v>
      </c>
      <c r="J12" s="88" t="s">
        <v>6</v>
      </c>
      <c r="K12" s="88" t="s">
        <v>6</v>
      </c>
      <c r="L12" s="88" t="s">
        <v>6</v>
      </c>
      <c r="M12" s="88" t="s">
        <v>2</v>
      </c>
      <c r="N12" s="88"/>
      <c r="O12" s="88"/>
      <c r="P12" s="88" t="s">
        <v>240</v>
      </c>
      <c r="Q12" s="88"/>
      <c r="R12" s="88"/>
      <c r="S12" s="88" t="s">
        <v>240</v>
      </c>
      <c r="T12" s="88" t="s">
        <v>242</v>
      </c>
      <c r="U12" s="88" t="s">
        <v>6</v>
      </c>
      <c r="V12" s="88" t="s">
        <v>240</v>
      </c>
      <c r="W12" s="88" t="s">
        <v>240</v>
      </c>
      <c r="X12" s="88"/>
      <c r="Y12" s="88" t="s">
        <v>246</v>
      </c>
      <c r="Z12" s="88" t="s">
        <v>240</v>
      </c>
      <c r="AA12" s="88" t="s">
        <v>2</v>
      </c>
      <c r="AB12" s="88" t="s">
        <v>6</v>
      </c>
      <c r="AC12" s="88" t="s">
        <v>243</v>
      </c>
      <c r="AD12" s="88" t="s">
        <v>239</v>
      </c>
      <c r="AE12" s="88" t="s">
        <v>239</v>
      </c>
      <c r="AF12" s="88" t="s">
        <v>231</v>
      </c>
      <c r="AG12" s="3">
        <f t="shared" si="7"/>
        <v>192</v>
      </c>
      <c r="AH12" s="3">
        <f t="shared" si="2"/>
        <v>2</v>
      </c>
      <c r="AI12" s="3">
        <f t="shared" si="3"/>
        <v>9</v>
      </c>
      <c r="AJ12" s="3">
        <f t="shared" si="4"/>
        <v>12</v>
      </c>
      <c r="AK12" s="3">
        <f t="shared" si="5"/>
        <v>7</v>
      </c>
      <c r="AL12" s="3">
        <f t="shared" si="6"/>
        <v>1</v>
      </c>
    </row>
    <row r="13" spans="1:38" ht="21.5">
      <c r="A13" s="93"/>
      <c r="B13" s="94">
        <v>4</v>
      </c>
      <c r="C13" s="94">
        <v>4</v>
      </c>
      <c r="D13" s="94">
        <v>4</v>
      </c>
      <c r="E13" s="94">
        <v>6</v>
      </c>
      <c r="F13" s="94">
        <v>4</v>
      </c>
      <c r="G13" s="94">
        <v>4</v>
      </c>
      <c r="H13" s="95">
        <v>4</v>
      </c>
      <c r="I13" s="94">
        <v>4</v>
      </c>
      <c r="J13" s="94">
        <v>4</v>
      </c>
      <c r="K13" s="94">
        <v>4</v>
      </c>
      <c r="L13" s="94">
        <v>6</v>
      </c>
      <c r="M13" s="94">
        <v>4</v>
      </c>
      <c r="N13" s="94">
        <v>4</v>
      </c>
      <c r="O13" s="95">
        <v>4</v>
      </c>
      <c r="P13" s="94">
        <v>4</v>
      </c>
      <c r="Q13" s="94">
        <v>4</v>
      </c>
      <c r="R13" s="94">
        <v>4</v>
      </c>
      <c r="S13" s="94">
        <v>6</v>
      </c>
      <c r="T13" s="94">
        <v>4</v>
      </c>
      <c r="U13" s="94">
        <v>4</v>
      </c>
      <c r="V13" s="95">
        <v>4</v>
      </c>
      <c r="W13" s="94">
        <v>4</v>
      </c>
      <c r="X13" s="94">
        <v>4</v>
      </c>
      <c r="Y13" s="94">
        <v>4</v>
      </c>
      <c r="Z13" s="94">
        <v>6</v>
      </c>
      <c r="AA13" s="94">
        <v>4</v>
      </c>
      <c r="AB13" s="94">
        <v>4</v>
      </c>
      <c r="AC13" s="95">
        <v>4</v>
      </c>
      <c r="AD13" s="94">
        <v>4</v>
      </c>
      <c r="AE13" s="94">
        <v>4</v>
      </c>
      <c r="AF13" s="94">
        <v>4</v>
      </c>
      <c r="AG13" s="12">
        <f>SUM(B13:AF13)</f>
        <v>132</v>
      </c>
      <c r="AH13" s="12"/>
      <c r="AI13" s="12"/>
      <c r="AJ13" s="12"/>
      <c r="AK13" s="12"/>
      <c r="AL13" s="12"/>
    </row>
    <row r="14" spans="1:38" ht="21.5">
      <c r="A14" s="93"/>
      <c r="B14" s="94"/>
      <c r="C14" s="94"/>
      <c r="D14" s="94"/>
      <c r="E14" s="94"/>
      <c r="F14" s="94"/>
      <c r="G14" s="94"/>
      <c r="H14" s="94"/>
      <c r="I14" s="95"/>
      <c r="J14" s="94"/>
      <c r="K14" s="94"/>
      <c r="L14" s="94"/>
      <c r="M14" s="94"/>
      <c r="N14" s="94"/>
      <c r="O14" s="95"/>
      <c r="P14" s="94">
        <f>SUM(B13:P13)</f>
        <v>64</v>
      </c>
      <c r="Q14" s="94"/>
      <c r="R14" s="94"/>
      <c r="S14" s="94"/>
      <c r="T14" s="94"/>
      <c r="U14" s="94"/>
      <c r="V14" s="95"/>
      <c r="W14" s="94"/>
      <c r="X14" s="94"/>
      <c r="Y14" s="94"/>
      <c r="Z14" s="94"/>
      <c r="AA14" s="94"/>
      <c r="AB14" s="94"/>
      <c r="AC14" s="95"/>
      <c r="AD14" s="95"/>
      <c r="AE14" s="95"/>
      <c r="AF14" s="95">
        <f>SUM(Q13:AF13)</f>
        <v>68</v>
      </c>
      <c r="AG14" s="12"/>
      <c r="AH14" s="12"/>
      <c r="AI14" s="12"/>
      <c r="AJ14" s="12"/>
      <c r="AK14" s="12"/>
      <c r="AL14" s="12"/>
    </row>
    <row r="15" spans="1:38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8" ht="32.5" thickBot="1">
      <c r="A16" s="4"/>
      <c r="B16" s="36">
        <v>1</v>
      </c>
      <c r="C16" s="423" t="s">
        <v>173</v>
      </c>
      <c r="D16" s="424"/>
      <c r="E16" s="425" t="s">
        <v>16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E16" s="38" t="s">
        <v>55</v>
      </c>
      <c r="AF16" s="103" t="s">
        <v>56</v>
      </c>
      <c r="AG16" s="105" t="s">
        <v>237</v>
      </c>
      <c r="AH16" t="s">
        <v>4</v>
      </c>
      <c r="AI16" s="39" t="s">
        <v>9</v>
      </c>
      <c r="AJ16" s="92" t="s">
        <v>57</v>
      </c>
    </row>
    <row r="17" spans="1:37" ht="32.5" thickBot="1">
      <c r="A17" s="4"/>
      <c r="B17" s="41">
        <v>2</v>
      </c>
      <c r="C17" s="424" t="s">
        <v>30</v>
      </c>
      <c r="D17" s="426"/>
      <c r="E17" s="425" t="s">
        <v>235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3 ... 7</v>
      </c>
      <c r="T17" s="44"/>
      <c r="U17" s="45"/>
      <c r="W17" s="13"/>
      <c r="X17" s="8" t="s">
        <v>20</v>
      </c>
      <c r="Y17" s="20" t="s">
        <v>3</v>
      </c>
      <c r="Z17" s="20">
        <v>3</v>
      </c>
      <c r="AA17" s="20" t="s">
        <v>5</v>
      </c>
      <c r="AB17" s="20">
        <v>5</v>
      </c>
      <c r="AC17" s="20" t="s">
        <v>4</v>
      </c>
      <c r="AD17" s="8">
        <v>16</v>
      </c>
      <c r="AE17" s="46" t="s">
        <v>61</v>
      </c>
      <c r="AF17" s="104" t="s">
        <v>62</v>
      </c>
      <c r="AG17" s="106">
        <v>3</v>
      </c>
      <c r="AH17" t="s">
        <v>3</v>
      </c>
      <c r="AI17" s="92" t="s">
        <v>45</v>
      </c>
      <c r="AJ17" s="92" t="s">
        <v>63</v>
      </c>
      <c r="AK17" t="s">
        <v>58</v>
      </c>
    </row>
    <row r="18" spans="1:37" ht="32.5" thickBot="1">
      <c r="A18" s="4"/>
      <c r="B18" s="41">
        <v>3</v>
      </c>
      <c r="C18" s="424" t="s">
        <v>31</v>
      </c>
      <c r="D18" s="426"/>
      <c r="E18" s="425" t="s">
        <v>17</v>
      </c>
      <c r="F18" s="425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3 ... 7</v>
      </c>
      <c r="T18" s="49"/>
      <c r="U18" s="45"/>
      <c r="X18" s="8" t="s">
        <v>21</v>
      </c>
      <c r="Y18" s="20" t="s">
        <v>3</v>
      </c>
      <c r="Z18" s="20">
        <v>2</v>
      </c>
      <c r="AA18" s="20" t="s">
        <v>5</v>
      </c>
      <c r="AB18" s="20">
        <v>5</v>
      </c>
      <c r="AC18" s="20" t="s">
        <v>4</v>
      </c>
      <c r="AD18" s="8">
        <v>16</v>
      </c>
      <c r="AE18" s="46" t="s">
        <v>67</v>
      </c>
      <c r="AF18" s="104" t="s">
        <v>56</v>
      </c>
      <c r="AG18" s="106">
        <v>3</v>
      </c>
      <c r="AH18" t="s">
        <v>5</v>
      </c>
      <c r="AI18" s="92" t="s">
        <v>17</v>
      </c>
      <c r="AJ18" s="92" t="s">
        <v>68</v>
      </c>
      <c r="AK18" t="s">
        <v>64</v>
      </c>
    </row>
    <row r="19" spans="1:37" ht="32.5" thickBot="1">
      <c r="A19" s="4"/>
      <c r="B19" s="41">
        <v>4</v>
      </c>
      <c r="C19" s="424" t="s">
        <v>30</v>
      </c>
      <c r="D19" s="426"/>
      <c r="E19" s="425" t="s">
        <v>13</v>
      </c>
      <c r="F19" s="425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16 ... 4</v>
      </c>
      <c r="T19" s="51"/>
      <c r="U19" s="52"/>
      <c r="X19" s="8" t="s">
        <v>22</v>
      </c>
      <c r="Y19" s="20" t="s">
        <v>3</v>
      </c>
      <c r="Z19" s="98">
        <v>8</v>
      </c>
      <c r="AA19" s="82" t="s">
        <v>5</v>
      </c>
      <c r="AB19" s="20"/>
      <c r="AC19" s="20" t="s">
        <v>4</v>
      </c>
      <c r="AD19" s="8">
        <v>16</v>
      </c>
      <c r="AE19" s="46" t="s">
        <v>71</v>
      </c>
      <c r="AF19" s="104" t="s">
        <v>72</v>
      </c>
      <c r="AG19" s="106">
        <v>3</v>
      </c>
      <c r="AH19" t="s">
        <v>40</v>
      </c>
      <c r="AI19" s="92" t="s">
        <v>46</v>
      </c>
      <c r="AJ19" s="92" t="s">
        <v>73</v>
      </c>
      <c r="AK19" t="s">
        <v>69</v>
      </c>
    </row>
    <row r="20" spans="1:37" ht="32.5" thickBot="1">
      <c r="A20" s="4"/>
      <c r="B20" s="41">
        <v>5</v>
      </c>
      <c r="C20" s="424" t="s">
        <v>192</v>
      </c>
      <c r="D20" s="426"/>
      <c r="E20" s="425" t="s">
        <v>236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24</v>
      </c>
      <c r="P20" s="13" t="s">
        <v>77</v>
      </c>
      <c r="Q20" s="13" t="s">
        <v>78</v>
      </c>
      <c r="R20" s="37">
        <f>COUNTIF(B4:AF4,"6")*((COUNTA(B16:B23))-J16)</f>
        <v>20</v>
      </c>
      <c r="S20" s="13" t="s">
        <v>79</v>
      </c>
      <c r="T20" s="53">
        <f>O20+R20</f>
        <v>44</v>
      </c>
      <c r="U20" s="13" t="s">
        <v>32</v>
      </c>
      <c r="V20" s="13"/>
      <c r="W20" s="54">
        <f>T20+T22</f>
        <v>132</v>
      </c>
      <c r="X20" s="8" t="s">
        <v>3</v>
      </c>
      <c r="Y20" s="20" t="s">
        <v>3</v>
      </c>
      <c r="Z20" s="20">
        <v>4</v>
      </c>
      <c r="AA20" s="20" t="s">
        <v>5</v>
      </c>
      <c r="AB20" s="73">
        <v>4</v>
      </c>
      <c r="AC20" s="20" t="s">
        <v>4</v>
      </c>
      <c r="AD20" s="8">
        <v>16</v>
      </c>
      <c r="AE20" s="46"/>
      <c r="AF20" s="55"/>
      <c r="AG20" s="107">
        <v>3</v>
      </c>
      <c r="AH20" t="s">
        <v>80</v>
      </c>
      <c r="AI20" s="92" t="s">
        <v>12</v>
      </c>
      <c r="AJ20" s="92" t="s">
        <v>81</v>
      </c>
      <c r="AK20" t="s">
        <v>74</v>
      </c>
    </row>
    <row r="21" spans="1:37" ht="34" thickBot="1">
      <c r="A21" s="4"/>
      <c r="B21" s="41">
        <v>6</v>
      </c>
      <c r="C21" s="424" t="s">
        <v>30</v>
      </c>
      <c r="D21" s="426"/>
      <c r="E21" s="425" t="s">
        <v>26</v>
      </c>
      <c r="F21" s="425"/>
      <c r="G21" s="42"/>
      <c r="H21" s="4"/>
      <c r="I21" s="4"/>
      <c r="J21" s="4"/>
      <c r="K21" s="4"/>
      <c r="N21" s="13" t="s">
        <v>82</v>
      </c>
      <c r="O21" s="13"/>
      <c r="Q21" s="101"/>
      <c r="R21" s="102" t="s">
        <v>233</v>
      </c>
      <c r="S21" s="13"/>
      <c r="T21" s="37">
        <f>((COUNTA(B16:B23))-J18)*Q21</f>
        <v>0</v>
      </c>
      <c r="U21" s="13"/>
      <c r="V21" s="13"/>
      <c r="W21" s="13"/>
      <c r="X21" s="8" t="s">
        <v>23</v>
      </c>
      <c r="Y21" s="20" t="s">
        <v>3</v>
      </c>
      <c r="Z21" s="20">
        <v>4</v>
      </c>
      <c r="AA21" s="20" t="s">
        <v>5</v>
      </c>
      <c r="AB21" s="20">
        <v>4</v>
      </c>
      <c r="AC21" s="20" t="s">
        <v>4</v>
      </c>
      <c r="AD21" s="8">
        <v>17</v>
      </c>
      <c r="AE21" s="46" t="s">
        <v>83</v>
      </c>
      <c r="AF21" s="104" t="s">
        <v>84</v>
      </c>
      <c r="AG21" s="106">
        <v>2</v>
      </c>
      <c r="AH21" t="s">
        <v>85</v>
      </c>
      <c r="AI21" s="92" t="s">
        <v>49</v>
      </c>
      <c r="AJ21" s="92" t="s">
        <v>86</v>
      </c>
    </row>
    <row r="22" spans="1:37" ht="32.5" thickBot="1">
      <c r="A22" s="4"/>
      <c r="B22" s="41">
        <v>7</v>
      </c>
      <c r="C22" s="424" t="s">
        <v>19</v>
      </c>
      <c r="D22" s="426"/>
      <c r="E22" s="425" t="s">
        <v>27</v>
      </c>
      <c r="F22" s="425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88</v>
      </c>
      <c r="U22" s="13"/>
      <c r="V22" s="13"/>
      <c r="W22" s="13"/>
      <c r="X22" s="8" t="s">
        <v>24</v>
      </c>
      <c r="Y22" s="20" t="s">
        <v>3</v>
      </c>
      <c r="Z22" s="73">
        <v>4</v>
      </c>
      <c r="AA22" s="20" t="s">
        <v>5</v>
      </c>
      <c r="AB22" s="20">
        <v>3</v>
      </c>
      <c r="AC22" s="20" t="s">
        <v>4</v>
      </c>
      <c r="AD22" s="8">
        <v>17</v>
      </c>
      <c r="AE22" s="56" t="s">
        <v>89</v>
      </c>
      <c r="AF22" s="104" t="s">
        <v>90</v>
      </c>
      <c r="AG22" s="106">
        <v>2</v>
      </c>
      <c r="AH22" t="s">
        <v>205</v>
      </c>
      <c r="AI22" s="92" t="s">
        <v>50</v>
      </c>
      <c r="AJ22" s="92" t="s">
        <v>92</v>
      </c>
    </row>
    <row r="23" spans="1:37" ht="32.5" thickBot="1">
      <c r="B23" s="41">
        <v>8</v>
      </c>
      <c r="C23" s="424" t="s">
        <v>30</v>
      </c>
      <c r="D23" s="426"/>
      <c r="E23" s="425" t="s">
        <v>17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2 ... 4</v>
      </c>
      <c r="U23" s="431"/>
      <c r="V23" s="432"/>
      <c r="X23" s="8" t="s">
        <v>25</v>
      </c>
      <c r="Y23" s="20" t="s">
        <v>3</v>
      </c>
      <c r="Z23" s="20">
        <v>3</v>
      </c>
      <c r="AA23" s="20" t="s">
        <v>5</v>
      </c>
      <c r="AB23" s="98">
        <v>5</v>
      </c>
      <c r="AC23" s="20" t="s">
        <v>4</v>
      </c>
      <c r="AD23" s="8">
        <v>17</v>
      </c>
      <c r="AE23" s="46" t="s">
        <v>94</v>
      </c>
      <c r="AF23" s="104" t="s">
        <v>95</v>
      </c>
      <c r="AG23" s="106">
        <v>2</v>
      </c>
      <c r="AH23" t="s">
        <v>211</v>
      </c>
      <c r="AI23" s="92" t="s">
        <v>51</v>
      </c>
      <c r="AJ23" s="92" t="s">
        <v>98</v>
      </c>
    </row>
    <row r="24" spans="1:37" ht="31">
      <c r="X24" s="8" t="s">
        <v>11</v>
      </c>
      <c r="Y24" s="20" t="s">
        <v>3</v>
      </c>
      <c r="Z24" s="20">
        <v>4</v>
      </c>
      <c r="AA24" s="20" t="s">
        <v>5</v>
      </c>
      <c r="AB24" s="20">
        <v>4</v>
      </c>
      <c r="AC24" s="20" t="s">
        <v>4</v>
      </c>
      <c r="AD24" s="8">
        <v>17</v>
      </c>
      <c r="AG24" s="108">
        <v>2</v>
      </c>
      <c r="AH24" t="s">
        <v>214</v>
      </c>
    </row>
    <row r="25" spans="1:37">
      <c r="AD25">
        <f>SUM(AD17:AD24)</f>
        <v>132</v>
      </c>
      <c r="AH25" t="s">
        <v>215</v>
      </c>
    </row>
    <row r="26" spans="1:37" ht="27.75" customHeight="1">
      <c r="L26" s="59" t="s">
        <v>216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7" ht="27.5">
      <c r="X27" s="110"/>
      <c r="Y27" s="429" t="s">
        <v>238</v>
      </c>
      <c r="Z27" s="429"/>
      <c r="AA27" s="429"/>
      <c r="AB27" s="429"/>
      <c r="AC27" s="429"/>
    </row>
  </sheetData>
  <mergeCells count="22">
    <mergeCell ref="Y27:AC27"/>
    <mergeCell ref="E21:F21"/>
    <mergeCell ref="T23:V23"/>
    <mergeCell ref="A1:B2"/>
    <mergeCell ref="AG4:AL4"/>
    <mergeCell ref="B15:C15"/>
    <mergeCell ref="C16:D16"/>
    <mergeCell ref="E16:F16"/>
    <mergeCell ref="C17:D17"/>
    <mergeCell ref="E17:F17"/>
    <mergeCell ref="C18:D18"/>
    <mergeCell ref="C22:D22"/>
    <mergeCell ref="E22:F22"/>
    <mergeCell ref="C23:D23"/>
    <mergeCell ref="E23:F23"/>
    <mergeCell ref="E18:F18"/>
    <mergeCell ref="Y26:AC26"/>
    <mergeCell ref="C19:D19"/>
    <mergeCell ref="E19:F19"/>
    <mergeCell ref="C20:D20"/>
    <mergeCell ref="E20:F20"/>
    <mergeCell ref="C21:D21"/>
  </mergeCells>
  <phoneticPr fontId="11" type="noConversion"/>
  <conditionalFormatting sqref="AG3">
    <cfRule type="expression" dxfId="2803" priority="190" stopIfTrue="1">
      <formula>WEEKDAY(AG$3)=7</formula>
    </cfRule>
    <cfRule type="expression" dxfId="2802" priority="191" stopIfTrue="1">
      <formula>WEEKDAY(AG$3)=1</formula>
    </cfRule>
    <cfRule type="expression" dxfId="2801" priority="192" stopIfTrue="1">
      <formula>WEEKDAY(AG$3)=7</formula>
    </cfRule>
    <cfRule type="expression" dxfId="2800" priority="193" stopIfTrue="1">
      <formula>WEEKDAY(AG$3)=1</formula>
    </cfRule>
  </conditionalFormatting>
  <conditionalFormatting sqref="B13:AF14 B3:AF5 B6:T6 V6:AF6 U7">
    <cfRule type="expression" dxfId="2799" priority="188">
      <formula>WEEKDAY(B$3,2)=7</formula>
    </cfRule>
    <cfRule type="expression" dxfId="2798" priority="189">
      <formula>WEEKDAY(B$3,2)=6</formula>
    </cfRule>
  </conditionalFormatting>
  <conditionalFormatting sqref="U13:V14 B6:T6 V6:AF6 U7">
    <cfRule type="expression" dxfId="2797" priority="186">
      <formula>SEARCH("X", $A$6) &gt; 0</formula>
    </cfRule>
  </conditionalFormatting>
  <conditionalFormatting sqref="B13:U14 W13:AF14">
    <cfRule type="expression" dxfId="2796" priority="180">
      <formula>SEARCH("X", $A$12) &gt; 0</formula>
    </cfRule>
  </conditionalFormatting>
  <conditionalFormatting sqref="B11:Q11 S11:AF11 B12:AF12 B8:AF10 B7:T7 V7:AF7">
    <cfRule type="expression" dxfId="2795" priority="20">
      <formula>WEEKDAY(B$3,2)=7</formula>
    </cfRule>
    <cfRule type="expression" dxfId="2794" priority="21">
      <formula>WEEKDAY(B$3,2)=6</formula>
    </cfRule>
  </conditionalFormatting>
  <conditionalFormatting sqref="B5:AF5">
    <cfRule type="expression" dxfId="2793" priority="19">
      <formula>SEARCH("X", $A$5) &gt; 0</formula>
    </cfRule>
  </conditionalFormatting>
  <conditionalFormatting sqref="B7:Q7 S7:T7 V7:AF7">
    <cfRule type="expression" dxfId="2792" priority="17">
      <formula>SEARCH("X", $A$7) &gt; 0</formula>
    </cfRule>
  </conditionalFormatting>
  <conditionalFormatting sqref="B8:AF8">
    <cfRule type="expression" dxfId="2791" priority="16">
      <formula>SEARCH("X", $A$8) &gt; 0</formula>
    </cfRule>
  </conditionalFormatting>
  <conditionalFormatting sqref="B9:AF9">
    <cfRule type="expression" dxfId="2790" priority="15">
      <formula>SEARCH("X", $A$9) &gt; 0</formula>
    </cfRule>
  </conditionalFormatting>
  <conditionalFormatting sqref="B10:AF10">
    <cfRule type="expression" dxfId="2789" priority="14">
      <formula>SEARCH("X", $A$10) &gt; 0</formula>
    </cfRule>
  </conditionalFormatting>
  <conditionalFormatting sqref="B11:Q11 S11:AF11 R7">
    <cfRule type="expression" dxfId="2788" priority="13">
      <formula>SEARCH("X", $A$11) &gt; 0</formula>
    </cfRule>
  </conditionalFormatting>
  <conditionalFormatting sqref="B12:AF12">
    <cfRule type="expression" dxfId="2787" priority="12">
      <formula>SEARCH("X", $A$12) &gt; 0</formula>
    </cfRule>
  </conditionalFormatting>
  <conditionalFormatting sqref="F7:H7">
    <cfRule type="expression" dxfId="2786" priority="11">
      <formula>SEARCH("X", $A$12) &gt; 0</formula>
    </cfRule>
  </conditionalFormatting>
  <conditionalFormatting sqref="I7">
    <cfRule type="expression" dxfId="2785" priority="10">
      <formula>SEARCH("X", $A$12) &gt; 0</formula>
    </cfRule>
  </conditionalFormatting>
  <conditionalFormatting sqref="R11">
    <cfRule type="expression" dxfId="2784" priority="8">
      <formula>WEEKDAY(R$3,2)=7</formula>
    </cfRule>
    <cfRule type="expression" dxfId="2783" priority="9">
      <formula>WEEKDAY(R$3,2)=6</formula>
    </cfRule>
  </conditionalFormatting>
  <conditionalFormatting sqref="R11">
    <cfRule type="expression" dxfId="2782" priority="7">
      <formula>SEARCH("X", $A$8) &gt; 0</formula>
    </cfRule>
  </conditionalFormatting>
  <conditionalFormatting sqref="C8:F8">
    <cfRule type="expression" dxfId="2781" priority="6">
      <formula>SEARCH("X", $A$7) &gt; 0</formula>
    </cfRule>
  </conditionalFormatting>
  <conditionalFormatting sqref="F5:I5">
    <cfRule type="expression" dxfId="2780" priority="5">
      <formula>SEARCH("X", $A$8) &gt; 0</formula>
    </cfRule>
  </conditionalFormatting>
  <conditionalFormatting sqref="F5:I5">
    <cfRule type="expression" dxfId="2779" priority="4">
      <formula>SEARCH("X", $A$7) &gt; 0</formula>
    </cfRule>
  </conditionalFormatting>
  <conditionalFormatting sqref="J5:M5">
    <cfRule type="expression" dxfId="2778" priority="3">
      <formula>SEARCH("X", $A$8) &gt; 0</formula>
    </cfRule>
  </conditionalFormatting>
  <conditionalFormatting sqref="J5:M5">
    <cfRule type="expression" dxfId="2777" priority="2">
      <formula>SEARCH("X", $A$7) &gt; 0</formula>
    </cfRule>
  </conditionalFormatting>
  <conditionalFormatting sqref="U12">
    <cfRule type="expression" dxfId="2776" priority="1">
      <formula>SEARCH("X", $A$11) &gt; 0</formula>
    </cfRule>
  </conditionalFormatting>
  <dataValidations count="12">
    <dataValidation type="list" allowBlank="1" showInputMessage="1" showErrorMessage="1" sqref="A12:A14" xr:uid="{F7F8263A-29DB-41E7-9D5C-0A0A0A9000A0}">
      <formula1>$AI$23:$AJ$23</formula1>
    </dataValidation>
    <dataValidation type="list" allowBlank="1" showInputMessage="1" sqref="B13:AF14" xr:uid="{D6E7A7C1-C3FD-4CCC-B790-57298C27427B}">
      <formula1>$AH$16:$AH$26</formula1>
    </dataValidation>
    <dataValidation type="list" allowBlank="1" showInputMessage="1" showErrorMessage="1" sqref="E16:F23" xr:uid="{3ACD89F3-B9A1-4429-B691-ABAAFAE48C48}">
      <formula1>$A$5:$A$12</formula1>
    </dataValidation>
    <dataValidation type="list" allowBlank="1" showInputMessage="1" showErrorMessage="1" sqref="A11" xr:uid="{2FF554A6-548B-4339-B88A-F6A1EDF44265}">
      <formula1>$AI$22:$AJ$22</formula1>
    </dataValidation>
    <dataValidation type="list" allowBlank="1" showInputMessage="1" showErrorMessage="1" sqref="A5" xr:uid="{522A362B-66B9-4DA9-8404-B772304B7F18}">
      <formula1>$AI$16:$AJ$16</formula1>
    </dataValidation>
    <dataValidation type="list" allowBlank="1" showInputMessage="1" showErrorMessage="1" sqref="A7" xr:uid="{FCAC1F5F-D0B8-4F3F-8454-21A9E3B2DED9}">
      <formula1>$AI$18:$AJ$18</formula1>
    </dataValidation>
    <dataValidation type="list" allowBlank="1" showInputMessage="1" showErrorMessage="1" sqref="A8" xr:uid="{AA1E0081-9C27-4E2B-954B-DBAB49E9EF7D}">
      <formula1>$AI$19:$AJ$19</formula1>
    </dataValidation>
    <dataValidation type="list" allowBlank="1" showInputMessage="1" showErrorMessage="1" sqref="A6" xr:uid="{7499AFFC-8AD2-4696-B949-DBB3004ED1FD}">
      <formula1>$AI$17:$AJ$17</formula1>
    </dataValidation>
    <dataValidation type="list" allowBlank="1" showInputMessage="1" showErrorMessage="1" sqref="A9" xr:uid="{27556EEF-4F38-4C8D-8B95-3E6593951FBE}">
      <formula1>$AI$20:$AJ$20</formula1>
    </dataValidation>
    <dataValidation type="list" allowBlank="1" showInputMessage="1" showErrorMessage="1" sqref="A10" xr:uid="{B7F55DD5-F5AE-4FD7-991E-A090CAA20B68}">
      <formula1>$AI$21:$AJ$21</formula1>
    </dataValidation>
    <dataValidation type="list" allowBlank="1" showInputMessage="1" sqref="B5:T12 V5:AF12 U7:U12 U5" xr:uid="{A5FD8807-0294-4758-8BC4-389B7C9EBED0}">
      <formula1>$AH$14:$AH$24</formula1>
    </dataValidation>
    <dataValidation type="list" allowBlank="1" showInputMessage="1" showErrorMessage="1" sqref="C16:D23" xr:uid="{32940C26-A79C-488B-AB68-7DFDC5EFEB4A}">
      <formula1>$AK$17:$AK$20</formula1>
    </dataValidation>
  </dataValidations>
  <pageMargins left="0.7" right="0.7" top="0.75" bottom="0.75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3881-D4F9-4158-84F0-F1198185E5A3}">
  <sheetPr codeName="工作表4">
    <pageSetUpPr fitToPage="1"/>
  </sheetPr>
  <dimension ref="A1:AN28"/>
  <sheetViews>
    <sheetView zoomScale="50" zoomScaleNormal="50" workbookViewId="0">
      <selection activeCell="AF26" sqref="AF26"/>
    </sheetView>
  </sheetViews>
  <sheetFormatPr defaultRowHeight="17"/>
  <cols>
    <col min="1" max="1" width="12.5" bestFit="1" customWidth="1"/>
    <col min="2" max="2" width="11.08203125" bestFit="1" customWidth="1"/>
    <col min="3" max="38" width="7.58203125" customWidth="1"/>
  </cols>
  <sheetData>
    <row r="1" spans="1:40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40" ht="33.5">
      <c r="A2" s="419"/>
      <c r="B2" s="419"/>
      <c r="C2" s="1"/>
      <c r="D2" s="1"/>
      <c r="F2" s="1"/>
      <c r="G2" s="26">
        <v>2024</v>
      </c>
      <c r="H2" s="27" t="str">
        <f>"("&amp;YEAR(B3)-1911&amp;" 年 "&amp;")"</f>
        <v>(113 年 )</v>
      </c>
      <c r="I2" s="22"/>
      <c r="J2" s="23">
        <v>9</v>
      </c>
      <c r="K2" s="28" t="s">
        <v>33</v>
      </c>
      <c r="L2" s="29"/>
      <c r="M2" s="99"/>
      <c r="N2" s="25"/>
      <c r="O2" s="25"/>
      <c r="P2" s="100"/>
      <c r="Q2" s="25"/>
      <c r="R2" s="116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40" ht="27.5">
      <c r="A3" s="19" t="s">
        <v>1</v>
      </c>
      <c r="B3" s="30">
        <f>DATE($G$2,$J$2,1)</f>
        <v>45536</v>
      </c>
      <c r="C3" s="30">
        <f>B3+1</f>
        <v>45537</v>
      </c>
      <c r="D3" s="30">
        <f t="shared" ref="D3:AB3" si="0">C3+1</f>
        <v>45538</v>
      </c>
      <c r="E3" s="30">
        <f t="shared" si="0"/>
        <v>45539</v>
      </c>
      <c r="F3" s="30">
        <f t="shared" si="0"/>
        <v>45540</v>
      </c>
      <c r="G3" s="30">
        <f t="shared" si="0"/>
        <v>45541</v>
      </c>
      <c r="H3" s="30">
        <f t="shared" si="0"/>
        <v>45542</v>
      </c>
      <c r="I3" s="30">
        <f t="shared" si="0"/>
        <v>45543</v>
      </c>
      <c r="J3" s="30">
        <f t="shared" si="0"/>
        <v>45544</v>
      </c>
      <c r="K3" s="30">
        <f t="shared" si="0"/>
        <v>45545</v>
      </c>
      <c r="L3" s="30">
        <f t="shared" si="0"/>
        <v>45546</v>
      </c>
      <c r="M3" s="30">
        <f t="shared" si="0"/>
        <v>45547</v>
      </c>
      <c r="N3" s="30">
        <f t="shared" si="0"/>
        <v>45548</v>
      </c>
      <c r="O3" s="30">
        <f t="shared" si="0"/>
        <v>45549</v>
      </c>
      <c r="P3" s="30">
        <f t="shared" si="0"/>
        <v>45550</v>
      </c>
      <c r="Q3" s="30">
        <f t="shared" si="0"/>
        <v>45551</v>
      </c>
      <c r="R3" s="30">
        <f t="shared" si="0"/>
        <v>45552</v>
      </c>
      <c r="S3" s="30">
        <f t="shared" si="0"/>
        <v>45553</v>
      </c>
      <c r="T3" s="30">
        <f t="shared" si="0"/>
        <v>45554</v>
      </c>
      <c r="U3" s="30">
        <f t="shared" si="0"/>
        <v>45555</v>
      </c>
      <c r="V3" s="30">
        <f t="shared" si="0"/>
        <v>45556</v>
      </c>
      <c r="W3" s="30">
        <f t="shared" si="0"/>
        <v>45557</v>
      </c>
      <c r="X3" s="30">
        <f t="shared" si="0"/>
        <v>45558</v>
      </c>
      <c r="Y3" s="30">
        <f t="shared" si="0"/>
        <v>45559</v>
      </c>
      <c r="Z3" s="30">
        <f t="shared" si="0"/>
        <v>45560</v>
      </c>
      <c r="AA3" s="30">
        <f t="shared" si="0"/>
        <v>45561</v>
      </c>
      <c r="AB3" s="30">
        <f t="shared" si="0"/>
        <v>45562</v>
      </c>
      <c r="AC3" s="30">
        <f>IFERROR(IF(MONTH(AB3+1)=$J$2,AB3+1,""),"")</f>
        <v>45563</v>
      </c>
      <c r="AD3" s="30">
        <f>IFERROR(IF(MONTH(AC3+1)=$J$2,AC3+1,""),"")</f>
        <v>45564</v>
      </c>
      <c r="AE3" s="30">
        <f>IFERROR(IF(MONTH(AD3+1)=$J$2,AD3+1,""),"")</f>
        <v>45565</v>
      </c>
      <c r="AF3" s="30" t="str">
        <f>IFERROR(IF(MONTH(AE3+1)=$J$2,AE3+1,""),"")</f>
        <v/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40" ht="27.5">
      <c r="A4" s="19" t="s">
        <v>41</v>
      </c>
      <c r="B4" s="31" t="str">
        <f t="shared" ref="B4:AF4" si="1">IFERROR(IF(WEEKDAY(B3,2)=7,"日",WEEKDAY(B3,2)),"")</f>
        <v>日</v>
      </c>
      <c r="C4" s="31">
        <f>IFERROR(IF(WEEKDAY(C3,2)=7,"日",WEEKDAY(C3,2)),"")</f>
        <v>1</v>
      </c>
      <c r="D4" s="31">
        <f t="shared" si="1"/>
        <v>2</v>
      </c>
      <c r="E4" s="31">
        <f t="shared" si="1"/>
        <v>3</v>
      </c>
      <c r="F4" s="31">
        <f t="shared" si="1"/>
        <v>4</v>
      </c>
      <c r="G4" s="31">
        <f t="shared" si="1"/>
        <v>5</v>
      </c>
      <c r="H4" s="31">
        <f t="shared" si="1"/>
        <v>6</v>
      </c>
      <c r="I4" s="31" t="str">
        <f t="shared" si="1"/>
        <v>日</v>
      </c>
      <c r="J4" s="31">
        <f t="shared" si="1"/>
        <v>1</v>
      </c>
      <c r="K4" s="31">
        <f t="shared" si="1"/>
        <v>2</v>
      </c>
      <c r="L4" s="31">
        <f t="shared" si="1"/>
        <v>3</v>
      </c>
      <c r="M4" s="31">
        <f t="shared" si="1"/>
        <v>4</v>
      </c>
      <c r="N4" s="31">
        <f t="shared" si="1"/>
        <v>5</v>
      </c>
      <c r="O4" s="31">
        <f t="shared" si="1"/>
        <v>6</v>
      </c>
      <c r="P4" s="31" t="str">
        <f t="shared" si="1"/>
        <v>日</v>
      </c>
      <c r="Q4" s="31">
        <f t="shared" si="1"/>
        <v>1</v>
      </c>
      <c r="R4" s="112">
        <f t="shared" si="1"/>
        <v>2</v>
      </c>
      <c r="S4" s="31">
        <f t="shared" si="1"/>
        <v>3</v>
      </c>
      <c r="T4" s="31">
        <f t="shared" si="1"/>
        <v>4</v>
      </c>
      <c r="U4" s="31">
        <f t="shared" si="1"/>
        <v>5</v>
      </c>
      <c r="V4" s="31">
        <f t="shared" si="1"/>
        <v>6</v>
      </c>
      <c r="W4" s="31" t="str">
        <f t="shared" si="1"/>
        <v>日</v>
      </c>
      <c r="X4" s="31">
        <f t="shared" si="1"/>
        <v>1</v>
      </c>
      <c r="Y4" s="31">
        <f t="shared" si="1"/>
        <v>2</v>
      </c>
      <c r="Z4" s="31">
        <f t="shared" si="1"/>
        <v>3</v>
      </c>
      <c r="AA4" s="31">
        <f t="shared" si="1"/>
        <v>4</v>
      </c>
      <c r="AB4" s="31">
        <f t="shared" si="1"/>
        <v>5</v>
      </c>
      <c r="AC4" s="31">
        <f t="shared" si="1"/>
        <v>6</v>
      </c>
      <c r="AD4" s="31" t="str">
        <f t="shared" si="1"/>
        <v>日</v>
      </c>
      <c r="AE4" s="31">
        <f t="shared" si="1"/>
        <v>1</v>
      </c>
      <c r="AF4" s="31" t="str">
        <f t="shared" si="1"/>
        <v/>
      </c>
      <c r="AG4" s="420" t="s">
        <v>42</v>
      </c>
      <c r="AH4" s="421"/>
      <c r="AI4" s="421"/>
      <c r="AJ4" s="421"/>
      <c r="AK4" s="421"/>
      <c r="AL4" s="422"/>
    </row>
    <row r="5" spans="1:40" ht="21.5">
      <c r="A5" s="6" t="s">
        <v>9</v>
      </c>
      <c r="B5" s="88" t="s">
        <v>6</v>
      </c>
      <c r="C5" s="88" t="s">
        <v>6</v>
      </c>
      <c r="D5" s="88" t="s">
        <v>2</v>
      </c>
      <c r="E5" s="88" t="s">
        <v>7</v>
      </c>
      <c r="F5" s="88" t="s">
        <v>6</v>
      </c>
      <c r="G5" s="88" t="s">
        <v>6</v>
      </c>
      <c r="H5" s="88" t="s">
        <v>6</v>
      </c>
      <c r="I5" s="88" t="s">
        <v>2</v>
      </c>
      <c r="J5" s="88" t="s">
        <v>2</v>
      </c>
      <c r="K5" s="88" t="s">
        <v>2</v>
      </c>
      <c r="L5" s="88"/>
      <c r="M5" s="88" t="s">
        <v>7</v>
      </c>
      <c r="N5" s="88"/>
      <c r="O5" s="88" t="s">
        <v>2</v>
      </c>
      <c r="P5" s="88" t="s">
        <v>2</v>
      </c>
      <c r="Q5" s="88" t="s">
        <v>2</v>
      </c>
      <c r="R5" s="113" t="s">
        <v>2</v>
      </c>
      <c r="S5" s="33" t="s">
        <v>2</v>
      </c>
      <c r="T5" s="33" t="s">
        <v>2</v>
      </c>
      <c r="U5" s="33" t="s">
        <v>2</v>
      </c>
      <c r="V5" s="33" t="s">
        <v>2</v>
      </c>
      <c r="W5" s="33" t="s">
        <v>2</v>
      </c>
      <c r="X5" s="33" t="s">
        <v>2</v>
      </c>
      <c r="Y5" s="33" t="s">
        <v>2</v>
      </c>
      <c r="Z5" s="33"/>
      <c r="AA5" s="88" t="s">
        <v>7</v>
      </c>
      <c r="AB5" s="88"/>
      <c r="AC5" s="88"/>
      <c r="AD5" s="88" t="s">
        <v>2</v>
      </c>
      <c r="AE5" s="88" t="s">
        <v>2</v>
      </c>
      <c r="AF5" s="88"/>
      <c r="AG5" s="3">
        <f>(AH5*12)+(AI5*12)+(AK5*8)+(AL5*4)</f>
        <v>140</v>
      </c>
      <c r="AH5" s="3">
        <f>COUNTIF(B5:AF5,"D")</f>
        <v>3</v>
      </c>
      <c r="AI5" s="3">
        <f>COUNTIF(B5:AF5,"N")</f>
        <v>5</v>
      </c>
      <c r="AJ5" s="3">
        <f>COUNTIF(B5:AF5,"OFF")+COUNTIF(B5:AF5,"上課")</f>
        <v>17</v>
      </c>
      <c r="AK5" s="3">
        <f>COUNTIF(B5:AF5,"")-AL5+COUNTIF(B5:AF5,"h3")</f>
        <v>5</v>
      </c>
      <c r="AL5" s="3">
        <f>COUNTIFS($B$4:$AF$4,"6",B5:AF5,"")+COUNTIF(B5:AF5,"h3")</f>
        <v>1</v>
      </c>
      <c r="AM5" s="3">
        <f t="array" ref="AM5">SUMPRODUCT(($B$4:$AF$4=6)*(B5:AF5="off"))</f>
        <v>2</v>
      </c>
      <c r="AN5">
        <f>AH5+AI5+AJ5+AK5+AL5</f>
        <v>31</v>
      </c>
    </row>
    <row r="6" spans="1:40" ht="21.5">
      <c r="A6" s="6" t="s">
        <v>45</v>
      </c>
      <c r="B6" s="88" t="s">
        <v>2</v>
      </c>
      <c r="C6" s="33" t="s">
        <v>2</v>
      </c>
      <c r="D6" s="33" t="s">
        <v>2</v>
      </c>
      <c r="E6" s="33" t="s">
        <v>2</v>
      </c>
      <c r="F6" s="33" t="s">
        <v>2</v>
      </c>
      <c r="G6" s="33" t="s">
        <v>2</v>
      </c>
      <c r="H6" s="88"/>
      <c r="I6" s="88" t="s">
        <v>2</v>
      </c>
      <c r="J6" s="33" t="s">
        <v>2</v>
      </c>
      <c r="K6" s="33" t="s">
        <v>2</v>
      </c>
      <c r="L6" s="33" t="s">
        <v>2</v>
      </c>
      <c r="M6" s="33" t="s">
        <v>2</v>
      </c>
      <c r="N6" s="33" t="s">
        <v>6</v>
      </c>
      <c r="O6" s="88" t="s">
        <v>6</v>
      </c>
      <c r="P6" s="88" t="s">
        <v>6</v>
      </c>
      <c r="Q6" s="88" t="s">
        <v>6</v>
      </c>
      <c r="R6" s="111" t="s">
        <v>2</v>
      </c>
      <c r="S6" s="88"/>
      <c r="T6" s="88"/>
      <c r="U6" s="33" t="s">
        <v>2</v>
      </c>
      <c r="V6" s="88"/>
      <c r="W6" s="88" t="s">
        <v>2</v>
      </c>
      <c r="X6" s="88"/>
      <c r="Y6" s="88"/>
      <c r="Z6" s="33" t="s">
        <v>2</v>
      </c>
      <c r="AA6" s="33" t="s">
        <v>2</v>
      </c>
      <c r="AB6" s="33" t="s">
        <v>6</v>
      </c>
      <c r="AC6" s="88" t="s">
        <v>2</v>
      </c>
      <c r="AD6" s="88" t="s">
        <v>7</v>
      </c>
      <c r="AE6" s="88"/>
      <c r="AF6" s="88"/>
      <c r="AG6" s="3">
        <f>(AH6*12)+(AI6*12)+(AK6*8)+(AL6*4)</f>
        <v>128</v>
      </c>
      <c r="AH6" s="3">
        <f t="shared" ref="AH6:AH12" si="2">COUNTIF(B6:AF6,"D")</f>
        <v>1</v>
      </c>
      <c r="AI6" s="3">
        <f t="shared" ref="AI6:AI12" si="3">COUNTIF(B6:AF6,"N")</f>
        <v>5</v>
      </c>
      <c r="AJ6" s="3">
        <f t="shared" ref="AJ6:AJ12" si="4">COUNTIF(B6:AF6,"OFF")+COUNTIF(B6:AF6,"上課")</f>
        <v>17</v>
      </c>
      <c r="AK6" s="3">
        <f t="shared" ref="AK6:AK12" si="5">COUNTIF(B6:AF6,"")-AL6+COUNTIF(B6:AF6,"h3")</f>
        <v>6</v>
      </c>
      <c r="AL6" s="3">
        <f t="shared" ref="AL6:AL12" si="6">COUNTIFS($B$4:$AF$4,"6",B6:AF6,"")+COUNTIF(B6:AF6,"h3")</f>
        <v>2</v>
      </c>
      <c r="AM6" s="3">
        <f t="array" ref="AM6">SUMPRODUCT(($B$4:$AF$4=6)*(B6:AF6="off"))</f>
        <v>1</v>
      </c>
      <c r="AN6">
        <f t="shared" ref="AN6:AN12" si="7">AH6+AI6+AJ6+AK6+AL6</f>
        <v>31</v>
      </c>
    </row>
    <row r="7" spans="1:40" ht="21.5">
      <c r="A7" s="6" t="s">
        <v>17</v>
      </c>
      <c r="B7" s="88" t="s">
        <v>2</v>
      </c>
      <c r="C7" s="88" t="s">
        <v>7</v>
      </c>
      <c r="D7" s="88"/>
      <c r="E7" s="88"/>
      <c r="F7" s="88"/>
      <c r="G7" s="33" t="s">
        <v>2</v>
      </c>
      <c r="H7" s="33" t="s">
        <v>2</v>
      </c>
      <c r="I7" s="33" t="s">
        <v>2</v>
      </c>
      <c r="J7" s="33" t="s">
        <v>2</v>
      </c>
      <c r="K7" s="33" t="s">
        <v>2</v>
      </c>
      <c r="L7" s="33" t="s">
        <v>2</v>
      </c>
      <c r="M7" s="33" t="s">
        <v>2</v>
      </c>
      <c r="N7" s="88" t="s">
        <v>2</v>
      </c>
      <c r="O7" s="88" t="s">
        <v>7</v>
      </c>
      <c r="P7" s="88" t="s">
        <v>2</v>
      </c>
      <c r="Q7" s="88"/>
      <c r="R7" s="111" t="s">
        <v>6</v>
      </c>
      <c r="S7" s="88" t="s">
        <v>2</v>
      </c>
      <c r="T7" s="88" t="s">
        <v>7</v>
      </c>
      <c r="U7" s="88"/>
      <c r="V7" s="88"/>
      <c r="W7" s="88" t="s">
        <v>2</v>
      </c>
      <c r="X7" s="88" t="s">
        <v>7</v>
      </c>
      <c r="Y7" s="88"/>
      <c r="Z7" s="88" t="s">
        <v>7</v>
      </c>
      <c r="AA7" s="88"/>
      <c r="AB7" s="88" t="s">
        <v>7</v>
      </c>
      <c r="AC7" s="88" t="s">
        <v>2</v>
      </c>
      <c r="AD7" s="88" t="s">
        <v>2</v>
      </c>
      <c r="AE7" s="88"/>
      <c r="AF7" s="88"/>
      <c r="AG7" s="3">
        <f t="shared" ref="AG7:AG12" si="8">(AH7*12)+(AI7*12)+(AK7*8)+(AL7*4)</f>
        <v>160</v>
      </c>
      <c r="AH7" s="3">
        <f t="shared" si="2"/>
        <v>6</v>
      </c>
      <c r="AI7" s="3">
        <f t="shared" si="3"/>
        <v>1</v>
      </c>
      <c r="AJ7" s="3">
        <f t="shared" si="4"/>
        <v>14</v>
      </c>
      <c r="AK7" s="3">
        <f t="shared" si="5"/>
        <v>9</v>
      </c>
      <c r="AL7" s="3">
        <f t="shared" si="6"/>
        <v>1</v>
      </c>
      <c r="AM7" s="3">
        <f t="array" ref="AM7">SUMPRODUCT(($B$4:$AF$4=6)*(B7:AF7="off"))</f>
        <v>2</v>
      </c>
      <c r="AN7">
        <f t="shared" si="7"/>
        <v>31</v>
      </c>
    </row>
    <row r="8" spans="1:40" ht="21.5">
      <c r="A8" s="6" t="s">
        <v>46</v>
      </c>
      <c r="B8" s="88" t="s">
        <v>2</v>
      </c>
      <c r="C8" s="88"/>
      <c r="D8" s="88" t="s">
        <v>6</v>
      </c>
      <c r="E8" s="88" t="s">
        <v>6</v>
      </c>
      <c r="F8" s="88" t="s">
        <v>2</v>
      </c>
      <c r="G8" s="88" t="s">
        <v>7</v>
      </c>
      <c r="H8" s="88"/>
      <c r="I8" s="88" t="s">
        <v>2</v>
      </c>
      <c r="J8" s="88"/>
      <c r="K8" s="88" t="s">
        <v>7</v>
      </c>
      <c r="L8" s="83"/>
      <c r="M8" s="83" t="s">
        <v>2</v>
      </c>
      <c r="N8" s="88"/>
      <c r="O8" s="88" t="s">
        <v>2</v>
      </c>
      <c r="P8" s="88" t="s">
        <v>2</v>
      </c>
      <c r="Q8" s="88" t="s">
        <v>2</v>
      </c>
      <c r="R8" s="111" t="s">
        <v>7</v>
      </c>
      <c r="S8" s="88" t="s">
        <v>2</v>
      </c>
      <c r="T8" s="88" t="s">
        <v>2</v>
      </c>
      <c r="U8" s="88" t="s">
        <v>6</v>
      </c>
      <c r="V8" s="88" t="s">
        <v>6</v>
      </c>
      <c r="W8" s="88" t="s">
        <v>6</v>
      </c>
      <c r="X8" s="88" t="s">
        <v>2</v>
      </c>
      <c r="Y8" s="88" t="s">
        <v>2</v>
      </c>
      <c r="Z8" s="88" t="s">
        <v>2</v>
      </c>
      <c r="AA8" s="88" t="s">
        <v>2</v>
      </c>
      <c r="AB8" s="88" t="s">
        <v>2</v>
      </c>
      <c r="AC8" s="88" t="s">
        <v>2</v>
      </c>
      <c r="AD8" s="88" t="s">
        <v>2</v>
      </c>
      <c r="AE8" s="88" t="s">
        <v>2</v>
      </c>
      <c r="AF8" s="88"/>
      <c r="AG8" s="3">
        <f t="shared" si="8"/>
        <v>140</v>
      </c>
      <c r="AH8" s="3">
        <f t="shared" si="2"/>
        <v>3</v>
      </c>
      <c r="AI8" s="3">
        <f t="shared" si="3"/>
        <v>5</v>
      </c>
      <c r="AJ8" s="3">
        <f t="shared" si="4"/>
        <v>17</v>
      </c>
      <c r="AK8" s="3">
        <f t="shared" si="5"/>
        <v>5</v>
      </c>
      <c r="AL8" s="3">
        <f t="shared" si="6"/>
        <v>1</v>
      </c>
      <c r="AM8" s="3">
        <f t="array" ref="AM8">SUMPRODUCT(($B$4:$AF$4=6)*(B8:AF8="off"))</f>
        <v>2</v>
      </c>
      <c r="AN8">
        <f t="shared" si="7"/>
        <v>31</v>
      </c>
    </row>
    <row r="9" spans="1:40" ht="21.5">
      <c r="A9" s="6" t="s">
        <v>12</v>
      </c>
      <c r="B9" s="88" t="s">
        <v>7</v>
      </c>
      <c r="C9" s="33"/>
      <c r="D9" s="83"/>
      <c r="E9" s="88"/>
      <c r="F9" s="88" t="s">
        <v>2</v>
      </c>
      <c r="G9" s="88"/>
      <c r="H9" s="88" t="s">
        <v>2</v>
      </c>
      <c r="I9" s="88" t="s">
        <v>2</v>
      </c>
      <c r="J9" s="88" t="s">
        <v>2</v>
      </c>
      <c r="K9" s="136" t="s">
        <v>10</v>
      </c>
      <c r="L9" s="136" t="s">
        <v>10</v>
      </c>
      <c r="M9" s="88" t="s">
        <v>2</v>
      </c>
      <c r="N9" s="88" t="s">
        <v>2</v>
      </c>
      <c r="O9" s="88" t="s">
        <v>2</v>
      </c>
      <c r="P9" s="88" t="s">
        <v>7</v>
      </c>
      <c r="Q9" s="88"/>
      <c r="R9" s="111" t="s">
        <v>2</v>
      </c>
      <c r="S9" s="33" t="s">
        <v>2</v>
      </c>
      <c r="T9" s="33" t="s">
        <v>2</v>
      </c>
      <c r="U9" s="88" t="s">
        <v>2</v>
      </c>
      <c r="V9" s="88" t="s">
        <v>2</v>
      </c>
      <c r="W9" s="88" t="s">
        <v>2</v>
      </c>
      <c r="X9" s="88" t="s">
        <v>6</v>
      </c>
      <c r="Y9" s="88" t="s">
        <v>6</v>
      </c>
      <c r="Z9" s="88" t="s">
        <v>2</v>
      </c>
      <c r="AA9" s="88" t="s">
        <v>2</v>
      </c>
      <c r="AB9" s="88" t="s">
        <v>2</v>
      </c>
      <c r="AC9" s="88" t="s">
        <v>6</v>
      </c>
      <c r="AD9" s="88" t="s">
        <v>6</v>
      </c>
      <c r="AE9" s="88" t="s">
        <v>6</v>
      </c>
      <c r="AF9" s="88"/>
      <c r="AG9" s="3">
        <f t="shared" si="8"/>
        <v>132</v>
      </c>
      <c r="AH9" s="3">
        <f t="shared" si="2"/>
        <v>2</v>
      </c>
      <c r="AI9" s="3">
        <f t="shared" si="3"/>
        <v>5</v>
      </c>
      <c r="AJ9" s="3">
        <f t="shared" si="4"/>
        <v>18</v>
      </c>
      <c r="AK9" s="3">
        <f t="shared" si="5"/>
        <v>6</v>
      </c>
      <c r="AL9" s="3">
        <f t="shared" si="6"/>
        <v>0</v>
      </c>
      <c r="AM9" s="3">
        <f t="array" ref="AM9">SUMPRODUCT(($B$4:$AF$4=6)*(B9:AF9="off"))</f>
        <v>3</v>
      </c>
      <c r="AN9">
        <f t="shared" si="7"/>
        <v>31</v>
      </c>
    </row>
    <row r="10" spans="1:40" ht="21.5">
      <c r="A10" s="6" t="s">
        <v>49</v>
      </c>
      <c r="B10" s="88" t="s">
        <v>2</v>
      </c>
      <c r="C10" s="33" t="s">
        <v>2</v>
      </c>
      <c r="D10" s="88" t="s">
        <v>7</v>
      </c>
      <c r="E10" s="33" t="s">
        <v>2</v>
      </c>
      <c r="F10" s="33" t="s">
        <v>2</v>
      </c>
      <c r="G10" s="33" t="s">
        <v>2</v>
      </c>
      <c r="H10" s="33" t="s">
        <v>2</v>
      </c>
      <c r="I10" s="88" t="s">
        <v>7</v>
      </c>
      <c r="J10" s="88"/>
      <c r="K10" s="83"/>
      <c r="L10" s="88" t="s">
        <v>6</v>
      </c>
      <c r="M10" s="88" t="s">
        <v>6</v>
      </c>
      <c r="N10" s="33" t="s">
        <v>2</v>
      </c>
      <c r="O10" s="33" t="s">
        <v>2</v>
      </c>
      <c r="P10" s="88" t="s">
        <v>2</v>
      </c>
      <c r="Q10" s="33" t="s">
        <v>2</v>
      </c>
      <c r="R10" s="111" t="s">
        <v>2</v>
      </c>
      <c r="S10" s="88" t="s">
        <v>6</v>
      </c>
      <c r="T10" s="88" t="s">
        <v>6</v>
      </c>
      <c r="U10" s="88" t="s">
        <v>2</v>
      </c>
      <c r="V10" s="88" t="s">
        <v>2</v>
      </c>
      <c r="W10" s="88" t="s">
        <v>2</v>
      </c>
      <c r="X10" s="88" t="s">
        <v>2</v>
      </c>
      <c r="Y10" s="88" t="s">
        <v>2</v>
      </c>
      <c r="Z10" s="88"/>
      <c r="AA10" s="88"/>
      <c r="AB10" s="88"/>
      <c r="AC10" s="88" t="s">
        <v>7</v>
      </c>
      <c r="AD10" s="88" t="s">
        <v>2</v>
      </c>
      <c r="AE10" s="88" t="s">
        <v>2</v>
      </c>
      <c r="AF10" s="88"/>
      <c r="AG10" s="3">
        <f t="shared" si="8"/>
        <v>132</v>
      </c>
      <c r="AH10" s="3">
        <f t="shared" si="2"/>
        <v>3</v>
      </c>
      <c r="AI10" s="3">
        <f t="shared" si="3"/>
        <v>4</v>
      </c>
      <c r="AJ10" s="3">
        <f t="shared" si="4"/>
        <v>18</v>
      </c>
      <c r="AK10" s="3">
        <f t="shared" si="5"/>
        <v>6</v>
      </c>
      <c r="AL10" s="3">
        <f t="shared" si="6"/>
        <v>0</v>
      </c>
      <c r="AM10" s="3">
        <f t="array" ref="AM10">SUMPRODUCT(($B$4:$AF$4=6)*(B10:AF10="off"))</f>
        <v>3</v>
      </c>
      <c r="AN10">
        <f t="shared" si="7"/>
        <v>31</v>
      </c>
    </row>
    <row r="11" spans="1:40" ht="21.5">
      <c r="A11" s="6" t="s">
        <v>50</v>
      </c>
      <c r="B11" s="88" t="s">
        <v>2</v>
      </c>
      <c r="C11" s="33" t="s">
        <v>2</v>
      </c>
      <c r="D11" s="33" t="s">
        <v>2</v>
      </c>
      <c r="E11" s="33" t="s">
        <v>2</v>
      </c>
      <c r="F11" s="33"/>
      <c r="G11" s="33" t="s">
        <v>2</v>
      </c>
      <c r="H11" s="33" t="s">
        <v>2</v>
      </c>
      <c r="I11" s="33" t="s">
        <v>2</v>
      </c>
      <c r="J11" s="83" t="s">
        <v>7</v>
      </c>
      <c r="K11" s="88"/>
      <c r="L11" s="88" t="s">
        <v>7</v>
      </c>
      <c r="M11" s="88"/>
      <c r="N11" s="88" t="s">
        <v>2</v>
      </c>
      <c r="O11" s="88"/>
      <c r="P11" s="88" t="s">
        <v>2</v>
      </c>
      <c r="Q11" s="88" t="s">
        <v>2</v>
      </c>
      <c r="R11" s="111" t="s">
        <v>2</v>
      </c>
      <c r="S11" s="88" t="s">
        <v>7</v>
      </c>
      <c r="T11" s="88"/>
      <c r="U11" s="88" t="s">
        <v>7</v>
      </c>
      <c r="V11" s="88" t="s">
        <v>2</v>
      </c>
      <c r="W11" s="88" t="s">
        <v>2</v>
      </c>
      <c r="X11" s="88"/>
      <c r="Y11" s="88" t="s">
        <v>7</v>
      </c>
      <c r="Z11" s="88" t="s">
        <v>2</v>
      </c>
      <c r="AA11" s="88" t="s">
        <v>2</v>
      </c>
      <c r="AB11" s="88" t="s">
        <v>2</v>
      </c>
      <c r="AC11" s="88"/>
      <c r="AD11" s="88" t="s">
        <v>2</v>
      </c>
      <c r="AE11" s="88" t="s">
        <v>7</v>
      </c>
      <c r="AF11" s="88"/>
      <c r="AG11" s="3">
        <f t="shared" si="8"/>
        <v>128</v>
      </c>
      <c r="AH11" s="3">
        <f t="shared" si="2"/>
        <v>6</v>
      </c>
      <c r="AI11" s="3">
        <f t="shared" si="3"/>
        <v>0</v>
      </c>
      <c r="AJ11" s="3">
        <f t="shared" si="4"/>
        <v>17</v>
      </c>
      <c r="AK11" s="3">
        <f t="shared" si="5"/>
        <v>6</v>
      </c>
      <c r="AL11" s="3">
        <f t="shared" si="6"/>
        <v>2</v>
      </c>
      <c r="AM11" s="3">
        <f t="array" ref="AM11">SUMPRODUCT(($B$4:$AF$4=6)*(B11:AF11="off"))</f>
        <v>2</v>
      </c>
      <c r="AN11">
        <f t="shared" si="7"/>
        <v>31</v>
      </c>
    </row>
    <row r="12" spans="1:40" ht="21.5">
      <c r="A12" s="6" t="s">
        <v>51</v>
      </c>
      <c r="B12" s="88" t="s">
        <v>2</v>
      </c>
      <c r="C12" s="33" t="s">
        <v>2</v>
      </c>
      <c r="D12" s="88" t="s">
        <v>2</v>
      </c>
      <c r="E12" s="88" t="s">
        <v>2</v>
      </c>
      <c r="F12" s="88" t="s">
        <v>7</v>
      </c>
      <c r="G12" s="88"/>
      <c r="H12" s="88" t="s">
        <v>7</v>
      </c>
      <c r="I12" s="83" t="s">
        <v>6</v>
      </c>
      <c r="J12" s="88" t="s">
        <v>6</v>
      </c>
      <c r="K12" s="88" t="s">
        <v>6</v>
      </c>
      <c r="L12" s="88" t="s">
        <v>2</v>
      </c>
      <c r="M12" s="88"/>
      <c r="N12" s="88" t="s">
        <v>7</v>
      </c>
      <c r="O12" s="88"/>
      <c r="P12" s="88" t="s">
        <v>2</v>
      </c>
      <c r="Q12" s="88" t="s">
        <v>7</v>
      </c>
      <c r="R12" s="111" t="s">
        <v>2</v>
      </c>
      <c r="S12" s="88"/>
      <c r="T12" s="88" t="s">
        <v>2</v>
      </c>
      <c r="U12" s="88"/>
      <c r="V12" s="88" t="s">
        <v>7</v>
      </c>
      <c r="W12" s="88" t="s">
        <v>7</v>
      </c>
      <c r="X12" s="88" t="s">
        <v>2</v>
      </c>
      <c r="Y12" s="88" t="s">
        <v>2</v>
      </c>
      <c r="Z12" s="88" t="s">
        <v>6</v>
      </c>
      <c r="AA12" s="88" t="s">
        <v>6</v>
      </c>
      <c r="AB12" s="88" t="s">
        <v>2</v>
      </c>
      <c r="AC12" s="33" t="s">
        <v>2</v>
      </c>
      <c r="AD12" s="33" t="s">
        <v>2</v>
      </c>
      <c r="AE12" s="33" t="s">
        <v>2</v>
      </c>
      <c r="AF12" s="88"/>
      <c r="AG12" s="3">
        <f t="shared" si="8"/>
        <v>176</v>
      </c>
      <c r="AH12" s="3">
        <f t="shared" si="2"/>
        <v>6</v>
      </c>
      <c r="AI12" s="3">
        <f t="shared" si="3"/>
        <v>5</v>
      </c>
      <c r="AJ12" s="3">
        <f t="shared" si="4"/>
        <v>14</v>
      </c>
      <c r="AK12" s="3">
        <f t="shared" si="5"/>
        <v>5</v>
      </c>
      <c r="AL12" s="3">
        <f t="shared" si="6"/>
        <v>1</v>
      </c>
      <c r="AM12" s="3">
        <f t="array" ref="AM12">SUMPRODUCT(($B$4:$AF$4=6)*(B12:AF12="off"))</f>
        <v>1</v>
      </c>
      <c r="AN12">
        <f t="shared" si="7"/>
        <v>31</v>
      </c>
    </row>
    <row r="13" spans="1:40" ht="21.5">
      <c r="A13" s="93" t="s">
        <v>249</v>
      </c>
      <c r="B13" s="115">
        <f t="shared" ref="B13:Q13" si="9">IF(B14="國",2,IF(B4="","",IF(B4="日",2,IF(B4=6,4,IF(B4&lt;6,4)))))</f>
        <v>2</v>
      </c>
      <c r="C13" s="115">
        <f t="shared" si="9"/>
        <v>4</v>
      </c>
      <c r="D13" s="115">
        <f t="shared" si="9"/>
        <v>4</v>
      </c>
      <c r="E13" s="115">
        <f t="shared" si="9"/>
        <v>4</v>
      </c>
      <c r="F13" s="115">
        <f t="shared" si="9"/>
        <v>4</v>
      </c>
      <c r="G13" s="115">
        <f t="shared" si="9"/>
        <v>4</v>
      </c>
      <c r="H13" s="115">
        <f t="shared" si="9"/>
        <v>4</v>
      </c>
      <c r="I13" s="115">
        <f t="shared" si="9"/>
        <v>2</v>
      </c>
      <c r="J13" s="115">
        <f t="shared" si="9"/>
        <v>4</v>
      </c>
      <c r="K13" s="115">
        <f t="shared" si="9"/>
        <v>4</v>
      </c>
      <c r="L13" s="115">
        <f t="shared" si="9"/>
        <v>4</v>
      </c>
      <c r="M13" s="115">
        <f t="shared" si="9"/>
        <v>4</v>
      </c>
      <c r="N13" s="115">
        <f t="shared" si="9"/>
        <v>4</v>
      </c>
      <c r="O13" s="115">
        <f>IF(O14="國",2,IF(O4="","",IF(O4="日",2,IF(O4=6,4,IF(O4&lt;6,4)))))</f>
        <v>4</v>
      </c>
      <c r="P13" s="115">
        <f t="shared" si="9"/>
        <v>2</v>
      </c>
      <c r="Q13" s="115">
        <f t="shared" si="9"/>
        <v>4</v>
      </c>
      <c r="R13" s="115">
        <f>IF(R14="國",2,IF(R4="","",IF(R4="日",2,IF(R4=6,4,IF(R4&lt;6,4)))))</f>
        <v>2</v>
      </c>
      <c r="S13" s="115">
        <f t="shared" ref="S13:AF13" si="10">IF(S14="國",2,IF(S4="","",IF(S4="日",2,IF(S4=6,4,IF(S4&lt;6,4)))))</f>
        <v>4</v>
      </c>
      <c r="T13" s="115">
        <f t="shared" si="10"/>
        <v>4</v>
      </c>
      <c r="U13" s="115">
        <f t="shared" si="10"/>
        <v>4</v>
      </c>
      <c r="V13" s="115">
        <f t="shared" si="10"/>
        <v>4</v>
      </c>
      <c r="W13" s="115">
        <f t="shared" si="10"/>
        <v>2</v>
      </c>
      <c r="X13" s="115">
        <f t="shared" si="10"/>
        <v>4</v>
      </c>
      <c r="Y13" s="115">
        <f t="shared" si="10"/>
        <v>4</v>
      </c>
      <c r="Z13" s="115">
        <f t="shared" si="10"/>
        <v>4</v>
      </c>
      <c r="AA13" s="115">
        <f t="shared" si="10"/>
        <v>4</v>
      </c>
      <c r="AB13" s="115">
        <f t="shared" si="10"/>
        <v>4</v>
      </c>
      <c r="AC13" s="115">
        <f t="shared" si="10"/>
        <v>4</v>
      </c>
      <c r="AD13" s="115">
        <f t="shared" si="10"/>
        <v>2</v>
      </c>
      <c r="AE13" s="115">
        <f t="shared" si="10"/>
        <v>4</v>
      </c>
      <c r="AF13" s="115" t="str">
        <f t="shared" si="10"/>
        <v/>
      </c>
      <c r="AG13" s="12">
        <f>SUM(B13:AF13)</f>
        <v>108</v>
      </c>
      <c r="AH13" s="12"/>
      <c r="AI13" s="12"/>
      <c r="AJ13" s="12"/>
      <c r="AK13" s="12"/>
      <c r="AL13" s="12"/>
    </row>
    <row r="14" spans="1:40" ht="20.5">
      <c r="A14" s="93" t="s">
        <v>251</v>
      </c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 t="s">
        <v>250</v>
      </c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40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40" ht="32.5" thickBot="1">
      <c r="A16" s="4"/>
      <c r="B16" s="36">
        <v>1</v>
      </c>
      <c r="C16" s="423" t="s">
        <v>173</v>
      </c>
      <c r="D16" s="424"/>
      <c r="E16" s="425" t="s">
        <v>17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26"/>
      <c r="E17" s="425" t="s">
        <v>16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3 ... 6</v>
      </c>
      <c r="T17" s="44"/>
      <c r="U17" s="45"/>
      <c r="W17" s="13"/>
      <c r="X17" s="8" t="s">
        <v>20</v>
      </c>
      <c r="Y17" s="20" t="s">
        <v>3</v>
      </c>
      <c r="Z17" s="118">
        <v>3</v>
      </c>
      <c r="AA17" s="20" t="s">
        <v>5</v>
      </c>
      <c r="AB17" s="121">
        <v>5</v>
      </c>
      <c r="AC17" s="124">
        <v>4</v>
      </c>
      <c r="AD17" s="129">
        <v>4</v>
      </c>
      <c r="AE17" s="20">
        <f>SUM(Z17+AB17)</f>
        <v>8</v>
      </c>
      <c r="AF17" s="134">
        <v>17</v>
      </c>
      <c r="AG17" s="106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26"/>
      <c r="E18" s="425" t="s">
        <v>18</v>
      </c>
      <c r="F18" s="425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3 ... 6</v>
      </c>
      <c r="T18" s="49"/>
      <c r="U18" s="45"/>
      <c r="X18" s="8" t="s">
        <v>21</v>
      </c>
      <c r="Y18" s="20" t="s">
        <v>3</v>
      </c>
      <c r="Z18" s="118">
        <v>1</v>
      </c>
      <c r="AA18" s="20" t="s">
        <v>5</v>
      </c>
      <c r="AB18" s="121">
        <v>5</v>
      </c>
      <c r="AC18" s="125">
        <v>3</v>
      </c>
      <c r="AD18" s="130">
        <v>4</v>
      </c>
      <c r="AE18" s="20">
        <f t="shared" ref="AE18:AE24" si="11">SUM(Z18+AB18)</f>
        <v>6</v>
      </c>
      <c r="AF18" s="20">
        <v>17</v>
      </c>
      <c r="AG18" s="106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26"/>
      <c r="E19" s="425" t="s">
        <v>17</v>
      </c>
      <c r="F19" s="425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16 ... 4</v>
      </c>
      <c r="T19" s="51"/>
      <c r="U19" s="52"/>
      <c r="X19" s="8" t="s">
        <v>22</v>
      </c>
      <c r="Y19" s="20" t="s">
        <v>3</v>
      </c>
      <c r="Z19" s="119">
        <v>6</v>
      </c>
      <c r="AA19" s="82" t="s">
        <v>5</v>
      </c>
      <c r="AB19" s="121">
        <v>1</v>
      </c>
      <c r="AC19" s="126">
        <v>3</v>
      </c>
      <c r="AD19" s="130">
        <v>4</v>
      </c>
      <c r="AE19" s="20">
        <f t="shared" si="11"/>
        <v>7</v>
      </c>
      <c r="AF19" s="20">
        <v>17</v>
      </c>
      <c r="AG19" s="106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26"/>
      <c r="E20" s="425" t="s">
        <v>13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30</v>
      </c>
      <c r="P20" s="13" t="s">
        <v>77</v>
      </c>
      <c r="Q20" s="13" t="s">
        <v>78</v>
      </c>
      <c r="R20" s="37">
        <f>COUNTIF(B4:AF4,"6")*((COUNTA(B16:B23))-J16)</f>
        <v>16</v>
      </c>
      <c r="S20" s="13" t="s">
        <v>79</v>
      </c>
      <c r="T20" s="53">
        <f>O20+R20</f>
        <v>46</v>
      </c>
      <c r="U20" s="13" t="s">
        <v>32</v>
      </c>
      <c r="V20" s="13"/>
      <c r="W20" s="137">
        <f>T20+T22+T21</f>
        <v>132</v>
      </c>
      <c r="X20" s="8" t="s">
        <v>3</v>
      </c>
      <c r="Y20" s="20" t="s">
        <v>3</v>
      </c>
      <c r="Z20" s="120">
        <v>3</v>
      </c>
      <c r="AA20" s="20" t="s">
        <v>5</v>
      </c>
      <c r="AB20" s="122">
        <v>5</v>
      </c>
      <c r="AC20" s="127">
        <v>4</v>
      </c>
      <c r="AD20" s="131">
        <v>4</v>
      </c>
      <c r="AE20" s="20">
        <f t="shared" si="11"/>
        <v>8</v>
      </c>
      <c r="AF20" s="20">
        <v>17</v>
      </c>
      <c r="AG20" s="106">
        <v>2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26"/>
      <c r="E21" s="425" t="s">
        <v>46</v>
      </c>
      <c r="F21" s="425"/>
      <c r="G21" s="42"/>
      <c r="H21" s="4"/>
      <c r="I21" s="4"/>
      <c r="J21" s="4"/>
      <c r="K21" s="4"/>
      <c r="N21" s="13" t="s">
        <v>82</v>
      </c>
      <c r="O21" s="13"/>
      <c r="Q21" s="13">
        <f>COUNTIF(B14:AF14,"*國*")</f>
        <v>1</v>
      </c>
      <c r="R21" s="102" t="s">
        <v>233</v>
      </c>
      <c r="S21" s="13"/>
      <c r="T21" s="37">
        <f>((COUNTA(B16:B23))-J18)*Q21</f>
        <v>6</v>
      </c>
      <c r="U21" s="13"/>
      <c r="V21" s="13"/>
      <c r="W21" s="13"/>
      <c r="X21" s="8" t="s">
        <v>23</v>
      </c>
      <c r="Y21" s="20" t="s">
        <v>3</v>
      </c>
      <c r="Z21" s="118">
        <v>2</v>
      </c>
      <c r="AA21" s="20" t="s">
        <v>5</v>
      </c>
      <c r="AB21" s="121">
        <v>5</v>
      </c>
      <c r="AC21" s="125">
        <v>4</v>
      </c>
      <c r="AD21" s="130">
        <v>4</v>
      </c>
      <c r="AE21" s="20">
        <f t="shared" si="11"/>
        <v>7</v>
      </c>
      <c r="AF21" s="20">
        <v>16</v>
      </c>
      <c r="AG21" s="107">
        <v>2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26"/>
      <c r="E22" s="425" t="s">
        <v>26</v>
      </c>
      <c r="F22" s="425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80</v>
      </c>
      <c r="U22" s="13"/>
      <c r="V22" s="13"/>
      <c r="W22" s="13"/>
      <c r="X22" s="8" t="s">
        <v>24</v>
      </c>
      <c r="Y22" s="20" t="s">
        <v>3</v>
      </c>
      <c r="Z22" s="119">
        <v>3</v>
      </c>
      <c r="AA22" s="20" t="s">
        <v>5</v>
      </c>
      <c r="AB22" s="121">
        <v>4</v>
      </c>
      <c r="AC22" s="126">
        <v>4</v>
      </c>
      <c r="AD22" s="130">
        <v>3</v>
      </c>
      <c r="AE22" s="20">
        <f t="shared" si="11"/>
        <v>7</v>
      </c>
      <c r="AF22" s="20">
        <v>16</v>
      </c>
      <c r="AG22" s="106">
        <v>2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>
        <v>8</v>
      </c>
      <c r="C23" s="424" t="s">
        <v>30</v>
      </c>
      <c r="D23" s="426"/>
      <c r="E23" s="425" t="s">
        <v>27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2 ... 0</v>
      </c>
      <c r="U23" s="431"/>
      <c r="V23" s="432"/>
      <c r="X23" s="8" t="s">
        <v>25</v>
      </c>
      <c r="Y23" s="20" t="s">
        <v>3</v>
      </c>
      <c r="Z23" s="118">
        <v>6</v>
      </c>
      <c r="AA23" s="82" t="s">
        <v>5</v>
      </c>
      <c r="AB23" s="122">
        <v>0</v>
      </c>
      <c r="AC23" s="125">
        <v>4</v>
      </c>
      <c r="AD23" s="131">
        <v>3</v>
      </c>
      <c r="AE23" s="20">
        <f t="shared" si="11"/>
        <v>6</v>
      </c>
      <c r="AF23" s="20">
        <v>16</v>
      </c>
      <c r="AG23" s="106">
        <v>2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6</v>
      </c>
      <c r="AA24" s="20" t="s">
        <v>5</v>
      </c>
      <c r="AB24" s="123">
        <v>5</v>
      </c>
      <c r="AC24" s="128">
        <v>4</v>
      </c>
      <c r="AD24" s="132">
        <v>4</v>
      </c>
      <c r="AE24" s="20">
        <f t="shared" si="11"/>
        <v>11</v>
      </c>
      <c r="AF24" s="20">
        <v>16</v>
      </c>
      <c r="AG24" s="108">
        <v>2</v>
      </c>
      <c r="AH24" t="s">
        <v>214</v>
      </c>
    </row>
    <row r="25" spans="1:39">
      <c r="Z25">
        <f>SUM(Z17:Z24)</f>
        <v>30</v>
      </c>
      <c r="AB25">
        <f>SUM(AB17:AB24)</f>
        <v>30</v>
      </c>
      <c r="AC25">
        <f>SUM(AC17:AC24)</f>
        <v>30</v>
      </c>
      <c r="AD25">
        <f>SUM(AD17:AD24)</f>
        <v>30</v>
      </c>
      <c r="AH25" t="s">
        <v>215</v>
      </c>
    </row>
    <row r="26" spans="1:39" ht="27.75" customHeight="1">
      <c r="L26" s="59" t="s">
        <v>248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L27" t="s">
        <v>258</v>
      </c>
      <c r="N27" t="s">
        <v>259</v>
      </c>
      <c r="X27" s="110"/>
      <c r="Y27" s="429" t="s">
        <v>253</v>
      </c>
      <c r="Z27" s="429"/>
      <c r="AA27" s="429"/>
      <c r="AB27" s="429"/>
      <c r="AC27" s="429"/>
    </row>
    <row r="28" spans="1:39" ht="27.5">
      <c r="X28" s="135"/>
      <c r="Y28" s="429" t="s">
        <v>257</v>
      </c>
      <c r="Z28" s="429"/>
      <c r="AA28" s="429"/>
      <c r="AB28" s="429"/>
      <c r="AC28" s="429"/>
    </row>
  </sheetData>
  <mergeCells count="23">
    <mergeCell ref="Y28:AC28"/>
    <mergeCell ref="A1:B2"/>
    <mergeCell ref="AG4:AL4"/>
    <mergeCell ref="B15:C15"/>
    <mergeCell ref="C16:D16"/>
    <mergeCell ref="E17:F17"/>
    <mergeCell ref="C17:D17"/>
    <mergeCell ref="E16:F16"/>
    <mergeCell ref="Y27:AC27"/>
    <mergeCell ref="C21:D21"/>
    <mergeCell ref="E18:F18"/>
    <mergeCell ref="C18:D18"/>
    <mergeCell ref="E19:F19"/>
    <mergeCell ref="E21:F21"/>
    <mergeCell ref="C19:D19"/>
    <mergeCell ref="E20:F20"/>
    <mergeCell ref="T23:V23"/>
    <mergeCell ref="Y26:AC26"/>
    <mergeCell ref="E22:F22"/>
    <mergeCell ref="C22:D22"/>
    <mergeCell ref="E23:F23"/>
    <mergeCell ref="C23:D23"/>
    <mergeCell ref="C20:D20"/>
  </mergeCells>
  <phoneticPr fontId="11" type="noConversion"/>
  <conditionalFormatting sqref="AG3">
    <cfRule type="expression" dxfId="2775" priority="96" stopIfTrue="1">
      <formula>WEEKDAY(AG$3)=7</formula>
    </cfRule>
    <cfRule type="expression" dxfId="2774" priority="97" stopIfTrue="1">
      <formula>WEEKDAY(AG$3)=1</formula>
    </cfRule>
    <cfRule type="expression" dxfId="2773" priority="98" stopIfTrue="1">
      <formula>WEEKDAY(AG$3)=7</formula>
    </cfRule>
    <cfRule type="expression" dxfId="2772" priority="99" stopIfTrue="1">
      <formula>WEEKDAY(AG$3)=1</formula>
    </cfRule>
  </conditionalFormatting>
  <conditionalFormatting sqref="AB12:AF12 B12:Y12 B4:AF11">
    <cfRule type="expression" dxfId="2771" priority="30" stopIfTrue="1">
      <formula>ISNUMBER(SEARCH("國", B$14))</formula>
    </cfRule>
    <cfRule type="expression" dxfId="2770" priority="69">
      <formula>WEEKDAY(B$3,2)=7</formula>
    </cfRule>
    <cfRule type="expression" dxfId="2769" priority="70">
      <formula>WEEKDAY(B$3,2)=6</formula>
    </cfRule>
  </conditionalFormatting>
  <conditionalFormatting sqref="B5:AF5">
    <cfRule type="expression" dxfId="2768" priority="68">
      <formula>SEARCH("X", $A$5) &gt; 0</formula>
    </cfRule>
  </conditionalFormatting>
  <conditionalFormatting sqref="B6:AF6 B7:B8">
    <cfRule type="expression" dxfId="2767" priority="67">
      <formula>SEARCH("X", $A$6) &gt; 0</formula>
    </cfRule>
  </conditionalFormatting>
  <conditionalFormatting sqref="B7:AF7 J6:M6">
    <cfRule type="expression" dxfId="2766" priority="66">
      <formula>SEARCH("X", $A$7) &gt; 0</formula>
    </cfRule>
  </conditionalFormatting>
  <conditionalFormatting sqref="B8:AF8">
    <cfRule type="expression" dxfId="2765" priority="65">
      <formula>SEARCH("X", $A$8) &gt; 0</formula>
    </cfRule>
  </conditionalFormatting>
  <conditionalFormatting sqref="R10:R12 M9:AF9 B9:J9 K9:K10 L8:L9">
    <cfRule type="expression" dxfId="2764" priority="64">
      <formula>SEARCH("X", $A$9) &gt; 0</formula>
    </cfRule>
  </conditionalFormatting>
  <conditionalFormatting sqref="B10:C10 E10:AF10 D9">
    <cfRule type="expression" dxfId="2763" priority="63">
      <formula>SEARCH("X", $A$10) &gt; 0</formula>
    </cfRule>
  </conditionalFormatting>
  <conditionalFormatting sqref="B11:AF11">
    <cfRule type="expression" dxfId="2762" priority="62">
      <formula>SEARCH("X", $A$11) &gt; 0</formula>
    </cfRule>
  </conditionalFormatting>
  <conditionalFormatting sqref="AC12:AF12 B12:AA12">
    <cfRule type="expression" dxfId="2761" priority="61">
      <formula>SEARCH("X", $A$12) &gt; 0</formula>
    </cfRule>
  </conditionalFormatting>
  <conditionalFormatting sqref="S5:Z5">
    <cfRule type="expression" dxfId="2760" priority="60">
      <formula>SEARCH("X", $A$7) &gt; 0</formula>
    </cfRule>
  </conditionalFormatting>
  <conditionalFormatting sqref="H10:H11">
    <cfRule type="expression" dxfId="2759" priority="59">
      <formula>SEARCH("X", $A$11) &gt; 0</formula>
    </cfRule>
  </conditionalFormatting>
  <conditionalFormatting sqref="N10">
    <cfRule type="expression" dxfId="2758" priority="58">
      <formula>SEARCH("X", $A$11) &gt; 0</formula>
    </cfRule>
  </conditionalFormatting>
  <conditionalFormatting sqref="O10">
    <cfRule type="expression" dxfId="2757" priority="57">
      <formula>SEARCH("X", $A$11) &gt; 0</formula>
    </cfRule>
  </conditionalFormatting>
  <conditionalFormatting sqref="P10">
    <cfRule type="expression" dxfId="2756" priority="56">
      <formula>SEARCH("X", $A$11) &gt; 0</formula>
    </cfRule>
  </conditionalFormatting>
  <conditionalFormatting sqref="Q10">
    <cfRule type="expression" dxfId="2755" priority="55">
      <formula>SEARCH("X", $A$11) &gt; 0</formula>
    </cfRule>
  </conditionalFormatting>
  <conditionalFormatting sqref="G10">
    <cfRule type="expression" dxfId="2754" priority="54">
      <formula>SEARCH("X", $A$11) &gt; 0</formula>
    </cfRule>
  </conditionalFormatting>
  <conditionalFormatting sqref="F10">
    <cfRule type="expression" dxfId="2753" priority="53">
      <formula>SEARCH("X", $A$11) &gt; 0</formula>
    </cfRule>
  </conditionalFormatting>
  <conditionalFormatting sqref="E10">
    <cfRule type="expression" dxfId="2752" priority="52">
      <formula>SEARCH("X", $A$11) &gt; 0</formula>
    </cfRule>
  </conditionalFormatting>
  <conditionalFormatting sqref="G7:I7">
    <cfRule type="expression" dxfId="2751" priority="51">
      <formula>SEARCH("X", $A$11) &gt; 0</formula>
    </cfRule>
  </conditionalFormatting>
  <conditionalFormatting sqref="J6:L7 M6">
    <cfRule type="expression" dxfId="2750" priority="50">
      <formula>SEARCH("X", $A$11) &gt; 0</formula>
    </cfRule>
  </conditionalFormatting>
  <conditionalFormatting sqref="K6:M7">
    <cfRule type="expression" dxfId="2749" priority="49">
      <formula>SEARCH("X", $A$11) &gt; 0</formula>
    </cfRule>
  </conditionalFormatting>
  <conditionalFormatting sqref="S5:U5">
    <cfRule type="expression" dxfId="2748" priority="48">
      <formula>SEARCH("X", $A$11) &gt; 0</formula>
    </cfRule>
  </conditionalFormatting>
  <conditionalFormatting sqref="V5:W5">
    <cfRule type="expression" dxfId="2747" priority="47">
      <formula>SEARCH("X", $A$11) &gt; 0</formula>
    </cfRule>
  </conditionalFormatting>
  <conditionalFormatting sqref="X5:Y5">
    <cfRule type="expression" dxfId="2746" priority="46">
      <formula>SEARCH("X", $A$11) &gt; 0</formula>
    </cfRule>
  </conditionalFormatting>
  <conditionalFormatting sqref="H10:H11">
    <cfRule type="expression" dxfId="2745" priority="45">
      <formula>SEARCH("X", $A$11) &gt; 0</formula>
    </cfRule>
  </conditionalFormatting>
  <conditionalFormatting sqref="G11">
    <cfRule type="expression" dxfId="2744" priority="44">
      <formula>SEARCH("X", $A$10) &gt; 0</formula>
    </cfRule>
  </conditionalFormatting>
  <conditionalFormatting sqref="G11">
    <cfRule type="expression" dxfId="2743" priority="43">
      <formula>SEARCH("X", $A$11) &gt; 0</formula>
    </cfRule>
  </conditionalFormatting>
  <conditionalFormatting sqref="N10">
    <cfRule type="expression" dxfId="2742" priority="42">
      <formula>SEARCH("X", $A$7) &gt; 0</formula>
    </cfRule>
  </conditionalFormatting>
  <conditionalFormatting sqref="N10">
    <cfRule type="expression" dxfId="2741" priority="41">
      <formula>SEARCH("X", $A$11) &gt; 0</formula>
    </cfRule>
  </conditionalFormatting>
  <conditionalFormatting sqref="Z17:Z24 AC17:AC24">
    <cfRule type="expression" dxfId="2740" priority="35" stopIfTrue="1">
      <formula>COUNTIF($B5:$AF5,"D")&lt;&gt;$Z17</formula>
    </cfRule>
  </conditionalFormatting>
  <conditionalFormatting sqref="AB17:AB24 AD17:AF24">
    <cfRule type="expression" dxfId="2739" priority="34" stopIfTrue="1">
      <formula>COUNTIF($B5:$AF5,"N")&lt;&gt;$AB17</formula>
    </cfRule>
  </conditionalFormatting>
  <conditionalFormatting sqref="I6">
    <cfRule type="expression" dxfId="2738" priority="29">
      <formula>SEARCH("X", $A$5) &gt; 0</formula>
    </cfRule>
  </conditionalFormatting>
  <conditionalFormatting sqref="I9">
    <cfRule type="expression" dxfId="2737" priority="28">
      <formula>SEARCH("X", $A$5) &gt; 0</formula>
    </cfRule>
  </conditionalFormatting>
  <conditionalFormatting sqref="I8">
    <cfRule type="expression" dxfId="2736" priority="27">
      <formula>SEARCH("X", $A$5) &gt; 0</formula>
    </cfRule>
  </conditionalFormatting>
  <conditionalFormatting sqref="P8">
    <cfRule type="expression" dxfId="2735" priority="26">
      <formula>SEARCH("X", $A$5) &gt; 0</formula>
    </cfRule>
  </conditionalFormatting>
  <conditionalFormatting sqref="P7">
    <cfRule type="expression" dxfId="2734" priority="25">
      <formula>SEARCH("X", $A$5) &gt; 0</formula>
    </cfRule>
  </conditionalFormatting>
  <conditionalFormatting sqref="P10">
    <cfRule type="expression" dxfId="2733" priority="24">
      <formula>SEARCH("X", $A$5) &gt; 0</formula>
    </cfRule>
  </conditionalFormatting>
  <conditionalFormatting sqref="W6">
    <cfRule type="expression" dxfId="2732" priority="23">
      <formula>SEARCH("X", $A$5) &gt; 0</formula>
    </cfRule>
  </conditionalFormatting>
  <conditionalFormatting sqref="W10">
    <cfRule type="expression" dxfId="2731" priority="22">
      <formula>SEARCH("X", $A$5) &gt; 0</formula>
    </cfRule>
  </conditionalFormatting>
  <conditionalFormatting sqref="P12">
    <cfRule type="expression" dxfId="2730" priority="21">
      <formula>SEARCH("X", $A$5) &gt; 0</formula>
    </cfRule>
  </conditionalFormatting>
  <conditionalFormatting sqref="W11">
    <cfRule type="expression" dxfId="2729" priority="20">
      <formula>SEARCH("X", $A$5) &gt; 0</formula>
    </cfRule>
  </conditionalFormatting>
  <conditionalFormatting sqref="P11">
    <cfRule type="expression" dxfId="2728" priority="19">
      <formula>SEARCH("X", $A$5) &gt; 0</formula>
    </cfRule>
  </conditionalFormatting>
  <conditionalFormatting sqref="W7">
    <cfRule type="expression" dxfId="2727" priority="18">
      <formula>SEARCH("X", $A$5) &gt; 0</formula>
    </cfRule>
  </conditionalFormatting>
  <conditionalFormatting sqref="W9">
    <cfRule type="expression" dxfId="2726" priority="17">
      <formula>SEARCH("X", $A$5) &gt; 0</formula>
    </cfRule>
  </conditionalFormatting>
  <conditionalFormatting sqref="AD6">
    <cfRule type="expression" dxfId="2725" priority="16">
      <formula>SEARCH("X", $A$5) &gt; 0</formula>
    </cfRule>
  </conditionalFormatting>
  <conditionalFormatting sqref="AD11">
    <cfRule type="expression" dxfId="2724" priority="15">
      <formula>SEARCH("X", $A$5) &gt; 0</formula>
    </cfRule>
  </conditionalFormatting>
  <conditionalFormatting sqref="AD10">
    <cfRule type="expression" dxfId="2723" priority="14">
      <formula>SEARCH("X", $A$5) &gt; 0</formula>
    </cfRule>
  </conditionalFormatting>
  <conditionalFormatting sqref="AD8">
    <cfRule type="expression" dxfId="2722" priority="13">
      <formula>SEARCH("X", $A$5) &gt; 0</formula>
    </cfRule>
  </conditionalFormatting>
  <conditionalFormatting sqref="AD7">
    <cfRule type="expression" dxfId="2721" priority="12">
      <formula>SEARCH("X", $A$5) &gt; 0</formula>
    </cfRule>
  </conditionalFormatting>
  <conditionalFormatting sqref="H11">
    <cfRule type="expression" dxfId="2720" priority="11">
      <formula>SEARCH("X", $A$10) &gt; 0</formula>
    </cfRule>
  </conditionalFormatting>
  <conditionalFormatting sqref="Z12:AA12">
    <cfRule type="expression" dxfId="2719" priority="2889" stopIfTrue="1">
      <formula>ISNUMBER(SEARCH("國", AA$14))</formula>
    </cfRule>
    <cfRule type="expression" dxfId="2718" priority="2890">
      <formula>WEEKDAY(AA$3,2)=7</formula>
    </cfRule>
    <cfRule type="expression" dxfId="2717" priority="2891">
      <formula>WEEKDAY(AA$3,2)=6</formula>
    </cfRule>
  </conditionalFormatting>
  <conditionalFormatting sqref="AB12">
    <cfRule type="expression" dxfId="2716" priority="10">
      <formula>SEARCH("X", $A$11) &gt; 0</formula>
    </cfRule>
  </conditionalFormatting>
  <conditionalFormatting sqref="B10">
    <cfRule type="expression" dxfId="2715" priority="8">
      <formula>SEARCH("X", $A$6) &gt; 0</formula>
    </cfRule>
  </conditionalFormatting>
  <conditionalFormatting sqref="B10">
    <cfRule type="expression" dxfId="2714" priority="7">
      <formula>SEARCH("X", $A$8) &gt; 0</formula>
    </cfRule>
  </conditionalFormatting>
  <conditionalFormatting sqref="B11">
    <cfRule type="expression" dxfId="2713" priority="6">
      <formula>SEARCH("X", $A$6) &gt; 0</formula>
    </cfRule>
  </conditionalFormatting>
  <conditionalFormatting sqref="B11">
    <cfRule type="expression" dxfId="2712" priority="5">
      <formula>SEARCH("X", $A$8) &gt; 0</formula>
    </cfRule>
  </conditionalFormatting>
  <conditionalFormatting sqref="D10">
    <cfRule type="expression" dxfId="2711" priority="4">
      <formula>SEARCH("X", $A$7) &gt; 0</formula>
    </cfRule>
  </conditionalFormatting>
  <conditionalFormatting sqref="D10">
    <cfRule type="expression" dxfId="2710" priority="3">
      <formula>SEARCH("X", $A$7) &gt; 0</formula>
    </cfRule>
  </conditionalFormatting>
  <conditionalFormatting sqref="B13:AF13">
    <cfRule type="expression" dxfId="2709" priority="2" stopIfTrue="1">
      <formula>8-COUNTIF(B$5:B$12,"off")&lt;&gt;B$13</formula>
    </cfRule>
  </conditionalFormatting>
  <conditionalFormatting sqref="N11">
    <cfRule type="expression" dxfId="2708" priority="1">
      <formula>SEARCH("X", $A$8) &gt; 0</formula>
    </cfRule>
  </conditionalFormatting>
  <dataValidations count="12">
    <dataValidation type="list" allowBlank="1" showInputMessage="1" showErrorMessage="1" sqref="E16:F23" xr:uid="{EE5E89F3-7E61-4303-9F23-23E58CA4E4BE}">
      <formula1>$A$5:$A$12</formula1>
    </dataValidation>
    <dataValidation type="list" allowBlank="1" showInputMessage="1" showErrorMessage="1" sqref="C16:D23" xr:uid="{DE48A47B-D058-448C-97C2-F00E1D072085}">
      <formula1>$AM$17:$AM$20</formula1>
    </dataValidation>
    <dataValidation type="list" allowBlank="1" showInputMessage="1" showErrorMessage="1" sqref="A10" xr:uid="{CFFD971A-4B0F-4D80-A7C3-AEB07340759E}">
      <formula1>$AK$21:$AL$21</formula1>
    </dataValidation>
    <dataValidation type="list" allowBlank="1" showInputMessage="1" showErrorMessage="1" sqref="A9" xr:uid="{327B94FD-4559-4E4F-81E1-CC0CCB4D20A1}">
      <formula1>$AK$20:$AL$20</formula1>
    </dataValidation>
    <dataValidation type="list" allowBlank="1" showInputMessage="1" showErrorMessage="1" sqref="A6" xr:uid="{BB497C27-B9E4-4A2E-92B8-9B3548FBEE1D}">
      <formula1>$AK$17:$AL$17</formula1>
    </dataValidation>
    <dataValidation type="list" allowBlank="1" showInputMessage="1" showErrorMessage="1" sqref="A8" xr:uid="{CAD7BEF6-E259-4DC8-978E-561FD3860E3B}">
      <formula1>$AK$19:$AL$19</formula1>
    </dataValidation>
    <dataValidation type="list" allowBlank="1" showInputMessage="1" showErrorMessage="1" sqref="A7" xr:uid="{085CEE19-F677-47F5-B1CC-E00D23CD1BE2}">
      <formula1>$AK$18:$AL$18</formula1>
    </dataValidation>
    <dataValidation type="list" allowBlank="1" showInputMessage="1" showErrorMessage="1" sqref="A5" xr:uid="{8461FA0D-35BA-4FAD-BCEB-8E18B728BD11}">
      <formula1>$AK$16:$AL$16</formula1>
    </dataValidation>
    <dataValidation type="list" allowBlank="1" showInputMessage="1" showErrorMessage="1" sqref="A11" xr:uid="{C18493F4-3853-48CE-B138-F3F248DDBB93}">
      <formula1>$AK$22:$AL$22</formula1>
    </dataValidation>
    <dataValidation type="list" allowBlank="1" showInputMessage="1" showErrorMessage="1" sqref="A12" xr:uid="{1B9C8FB2-965A-4B23-BC0C-7A3F2A3A4838}">
      <formula1>$AK$23:$AL$23</formula1>
    </dataValidation>
    <dataValidation type="list" allowBlank="1" showInputMessage="1" sqref="A13:A14" xr:uid="{5D75F611-BD47-43ED-9075-1052ED7CA591}">
      <formula1>$AK$23:$AL$23</formula1>
    </dataValidation>
    <dataValidation type="list" allowBlank="1" sqref="M9:AF9 B5:AF8 B9:J9 B10:AF12" xr:uid="{9DB7137E-8598-424D-BC3D-7A1E38080402}">
      <formula1>$AH$16:$AH$26</formula1>
    </dataValidation>
  </dataValidations>
  <pageMargins left="0.7" right="0.7" top="0.75" bottom="0.75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DF68A-1932-4B5B-A2CC-1B92AC125211}">
  <sheetPr codeName="工作表5">
    <pageSetUpPr fitToPage="1"/>
  </sheetPr>
  <dimension ref="A1:AM28"/>
  <sheetViews>
    <sheetView zoomScale="55" zoomScaleNormal="55" workbookViewId="0">
      <selection activeCell="AC24" sqref="AC24"/>
    </sheetView>
  </sheetViews>
  <sheetFormatPr defaultRowHeight="17"/>
  <cols>
    <col min="1" max="1" width="12.5" bestFit="1" customWidth="1"/>
    <col min="2" max="2" width="8.58203125" bestFit="1" customWidth="1"/>
    <col min="3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419"/>
      <c r="C2" s="1"/>
      <c r="D2" s="1"/>
      <c r="F2" s="1"/>
      <c r="G2" s="26">
        <v>2024</v>
      </c>
      <c r="H2" s="27" t="str">
        <f>"("&amp;YEAR(B3)-1911&amp;" 年 "&amp;")"</f>
        <v>(113 年 )</v>
      </c>
      <c r="I2" s="22"/>
      <c r="J2" s="23">
        <v>10</v>
      </c>
      <c r="K2" s="28" t="s">
        <v>33</v>
      </c>
      <c r="L2" s="29"/>
      <c r="M2" s="99"/>
      <c r="N2" s="25"/>
      <c r="O2" s="25"/>
      <c r="P2" s="100"/>
      <c r="Q2" s="25"/>
      <c r="R2" s="116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9" ht="27.5">
      <c r="A3" s="19" t="s">
        <v>1</v>
      </c>
      <c r="B3" s="30">
        <f>DATE($G$2,$J$2,1)</f>
        <v>45566</v>
      </c>
      <c r="C3" s="30">
        <f>B3+1</f>
        <v>45567</v>
      </c>
      <c r="D3" s="30">
        <f t="shared" ref="D3:AB3" si="0">C3+1</f>
        <v>45568</v>
      </c>
      <c r="E3" s="30">
        <f t="shared" si="0"/>
        <v>45569</v>
      </c>
      <c r="F3" s="30">
        <f t="shared" si="0"/>
        <v>45570</v>
      </c>
      <c r="G3" s="30">
        <f t="shared" si="0"/>
        <v>45571</v>
      </c>
      <c r="H3" s="30">
        <f t="shared" si="0"/>
        <v>45572</v>
      </c>
      <c r="I3" s="30">
        <f t="shared" si="0"/>
        <v>45573</v>
      </c>
      <c r="J3" s="30">
        <f t="shared" si="0"/>
        <v>45574</v>
      </c>
      <c r="K3" s="30">
        <f t="shared" si="0"/>
        <v>45575</v>
      </c>
      <c r="L3" s="30">
        <f t="shared" si="0"/>
        <v>45576</v>
      </c>
      <c r="M3" s="30">
        <f t="shared" si="0"/>
        <v>45577</v>
      </c>
      <c r="N3" s="30">
        <f t="shared" si="0"/>
        <v>45578</v>
      </c>
      <c r="O3" s="30">
        <f t="shared" si="0"/>
        <v>45579</v>
      </c>
      <c r="P3" s="30">
        <f t="shared" si="0"/>
        <v>45580</v>
      </c>
      <c r="Q3" s="30">
        <f t="shared" si="0"/>
        <v>45581</v>
      </c>
      <c r="R3" s="30">
        <f t="shared" si="0"/>
        <v>45582</v>
      </c>
      <c r="S3" s="30">
        <f t="shared" si="0"/>
        <v>45583</v>
      </c>
      <c r="T3" s="30">
        <f t="shared" si="0"/>
        <v>45584</v>
      </c>
      <c r="U3" s="30">
        <f t="shared" si="0"/>
        <v>45585</v>
      </c>
      <c r="V3" s="30">
        <f t="shared" si="0"/>
        <v>45586</v>
      </c>
      <c r="W3" s="30">
        <f t="shared" si="0"/>
        <v>45587</v>
      </c>
      <c r="X3" s="30">
        <f t="shared" si="0"/>
        <v>45588</v>
      </c>
      <c r="Y3" s="30">
        <f t="shared" si="0"/>
        <v>45589</v>
      </c>
      <c r="Z3" s="30">
        <f t="shared" si="0"/>
        <v>45590</v>
      </c>
      <c r="AA3" s="30">
        <f t="shared" si="0"/>
        <v>45591</v>
      </c>
      <c r="AB3" s="30">
        <f t="shared" si="0"/>
        <v>45592</v>
      </c>
      <c r="AC3" s="30">
        <f>IFERROR(IF(MONTH(AB3+1)=$J$2,AB3+1,""),"")</f>
        <v>45593</v>
      </c>
      <c r="AD3" s="30">
        <f>IFERROR(IF(MONTH(AC3+1)=$J$2,AC3+1,""),"")</f>
        <v>45594</v>
      </c>
      <c r="AE3" s="30">
        <f>IFERROR(IF(MONTH(AD3+1)=$J$2,AD3+1,""),"")</f>
        <v>45595</v>
      </c>
      <c r="AF3" s="30">
        <f>IFERROR(IF(MONTH(AE3+1)=$J$2,AE3+1,""),"")</f>
        <v>45596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2</v>
      </c>
      <c r="C4" s="31">
        <f>IFERROR(IF(WEEKDAY(C3,2)=7,"日",WEEKDAY(C3,2)),"")</f>
        <v>3</v>
      </c>
      <c r="D4" s="31">
        <f t="shared" si="1"/>
        <v>4</v>
      </c>
      <c r="E4" s="31">
        <f t="shared" si="1"/>
        <v>5</v>
      </c>
      <c r="F4" s="31">
        <f t="shared" si="1"/>
        <v>6</v>
      </c>
      <c r="G4" s="31" t="str">
        <f t="shared" si="1"/>
        <v>日</v>
      </c>
      <c r="H4" s="31">
        <f t="shared" si="1"/>
        <v>1</v>
      </c>
      <c r="I4" s="31">
        <f t="shared" si="1"/>
        <v>2</v>
      </c>
      <c r="J4" s="31">
        <f t="shared" si="1"/>
        <v>3</v>
      </c>
      <c r="K4" s="112">
        <f t="shared" si="1"/>
        <v>4</v>
      </c>
      <c r="L4" s="31">
        <f t="shared" si="1"/>
        <v>5</v>
      </c>
      <c r="M4" s="31">
        <f t="shared" si="1"/>
        <v>6</v>
      </c>
      <c r="N4" s="31" t="str">
        <f t="shared" si="1"/>
        <v>日</v>
      </c>
      <c r="O4" s="31">
        <f t="shared" si="1"/>
        <v>1</v>
      </c>
      <c r="P4" s="31">
        <f t="shared" si="1"/>
        <v>2</v>
      </c>
      <c r="Q4" s="31">
        <f t="shared" si="1"/>
        <v>3</v>
      </c>
      <c r="R4" s="31">
        <f t="shared" si="1"/>
        <v>4</v>
      </c>
      <c r="S4" s="31">
        <f t="shared" si="1"/>
        <v>5</v>
      </c>
      <c r="T4" s="31">
        <f t="shared" si="1"/>
        <v>6</v>
      </c>
      <c r="U4" s="31" t="str">
        <f t="shared" si="1"/>
        <v>日</v>
      </c>
      <c r="V4" s="31">
        <f t="shared" si="1"/>
        <v>1</v>
      </c>
      <c r="W4" s="31">
        <f t="shared" si="1"/>
        <v>2</v>
      </c>
      <c r="X4" s="31">
        <f t="shared" si="1"/>
        <v>3</v>
      </c>
      <c r="Y4" s="31">
        <f t="shared" si="1"/>
        <v>4</v>
      </c>
      <c r="Z4" s="31">
        <f t="shared" si="1"/>
        <v>5</v>
      </c>
      <c r="AA4" s="31">
        <f t="shared" si="1"/>
        <v>6</v>
      </c>
      <c r="AB4" s="31" t="str">
        <f t="shared" si="1"/>
        <v>日</v>
      </c>
      <c r="AC4" s="31">
        <f t="shared" si="1"/>
        <v>1</v>
      </c>
      <c r="AD4" s="31">
        <f t="shared" si="1"/>
        <v>2</v>
      </c>
      <c r="AE4" s="31">
        <f t="shared" si="1"/>
        <v>3</v>
      </c>
      <c r="AF4" s="31">
        <f t="shared" si="1"/>
        <v>4</v>
      </c>
      <c r="AG4" s="420" t="s">
        <v>42</v>
      </c>
      <c r="AH4" s="421"/>
      <c r="AI4" s="421"/>
      <c r="AJ4" s="421"/>
      <c r="AK4" s="421"/>
      <c r="AL4" s="422"/>
    </row>
    <row r="5" spans="1:39" ht="21.5">
      <c r="A5" s="6" t="s">
        <v>9</v>
      </c>
      <c r="B5" s="33" t="s">
        <v>2</v>
      </c>
      <c r="C5" s="88" t="s">
        <v>2</v>
      </c>
      <c r="D5" s="88" t="s">
        <v>2</v>
      </c>
      <c r="E5" s="88" t="s">
        <v>2</v>
      </c>
      <c r="F5" s="88" t="s">
        <v>2</v>
      </c>
      <c r="G5" s="141" t="s">
        <v>7</v>
      </c>
      <c r="H5" s="88"/>
      <c r="I5" s="88" t="s">
        <v>2</v>
      </c>
      <c r="J5" s="88"/>
      <c r="K5" s="111" t="s">
        <v>2</v>
      </c>
      <c r="L5" s="88"/>
      <c r="M5" s="88"/>
      <c r="N5" s="88" t="s">
        <v>2</v>
      </c>
      <c r="O5" s="88" t="s">
        <v>2</v>
      </c>
      <c r="P5" s="88"/>
      <c r="Q5" s="88"/>
      <c r="R5" s="88" t="s">
        <v>2</v>
      </c>
      <c r="S5" s="88" t="s">
        <v>2</v>
      </c>
      <c r="T5" s="33" t="s">
        <v>2</v>
      </c>
      <c r="U5" s="88" t="s">
        <v>2</v>
      </c>
      <c r="V5" s="33" t="s">
        <v>2</v>
      </c>
      <c r="W5" s="88" t="s">
        <v>2</v>
      </c>
      <c r="X5" s="88" t="s">
        <v>6</v>
      </c>
      <c r="Y5" s="88" t="s">
        <v>2</v>
      </c>
      <c r="Z5" s="88"/>
      <c r="AA5" s="88" t="s">
        <v>7</v>
      </c>
      <c r="AB5" s="88" t="s">
        <v>2</v>
      </c>
      <c r="AC5" s="88" t="s">
        <v>6</v>
      </c>
      <c r="AD5" s="88" t="s">
        <v>6</v>
      </c>
      <c r="AE5" s="62" t="s">
        <v>6</v>
      </c>
      <c r="AF5" s="62" t="s">
        <v>6</v>
      </c>
      <c r="AG5" s="3">
        <f>(AH5*12)+(AI5*12)+(AK5*8)+(AL5*4)</f>
        <v>136</v>
      </c>
      <c r="AH5" s="3">
        <f>COUNTIF(B5:AF5,"D")</f>
        <v>2</v>
      </c>
      <c r="AI5" s="3">
        <f>COUNTIF(B5:AF5,"N")</f>
        <v>5</v>
      </c>
      <c r="AJ5" s="3">
        <f>COUNTIF(B5:AF5,"OFF")+COUNTIF(B5:AF5,"上課")</f>
        <v>17</v>
      </c>
      <c r="AK5" s="3">
        <f>COUNTIF(B5:AF5,"")-AL5+COUNTIF(B5:AF5,"h3")</f>
        <v>6</v>
      </c>
      <c r="AL5" s="3">
        <f>COUNTIFS($B$4:$AF$4,"6",B5:AF5,"")+COUNTIF(B5:AF5,"h3")</f>
        <v>1</v>
      </c>
      <c r="AM5" s="3">
        <f t="array" ref="AM5">SUMPRODUCT(($B$4:$AF$4=6)*(B5:AF5="off"))</f>
        <v>2</v>
      </c>
    </row>
    <row r="6" spans="1:39" ht="21.5">
      <c r="A6" s="6" t="s">
        <v>45</v>
      </c>
      <c r="B6" s="88" t="s">
        <v>7</v>
      </c>
      <c r="C6" s="33" t="s">
        <v>2</v>
      </c>
      <c r="D6" s="33" t="s">
        <v>2</v>
      </c>
      <c r="E6" s="33" t="s">
        <v>2</v>
      </c>
      <c r="F6" s="88" t="s">
        <v>2</v>
      </c>
      <c r="G6" s="88" t="s">
        <v>2</v>
      </c>
      <c r="H6" s="88"/>
      <c r="I6" s="88" t="s">
        <v>6</v>
      </c>
      <c r="J6" s="88" t="s">
        <v>6</v>
      </c>
      <c r="K6" s="113" t="s">
        <v>2</v>
      </c>
      <c r="L6" s="33" t="s">
        <v>2</v>
      </c>
      <c r="M6" s="88" t="s">
        <v>2</v>
      </c>
      <c r="N6" s="88" t="s">
        <v>2</v>
      </c>
      <c r="O6" s="88" t="s">
        <v>6</v>
      </c>
      <c r="P6" s="88" t="s">
        <v>6</v>
      </c>
      <c r="Q6" s="88" t="s">
        <v>6</v>
      </c>
      <c r="R6" s="33" t="s">
        <v>2</v>
      </c>
      <c r="S6" s="33" t="s">
        <v>2</v>
      </c>
      <c r="T6" s="88"/>
      <c r="U6" s="88" t="s">
        <v>2</v>
      </c>
      <c r="V6" s="88" t="s">
        <v>7</v>
      </c>
      <c r="W6" s="88"/>
      <c r="X6" s="88"/>
      <c r="Y6" s="33" t="s">
        <v>2</v>
      </c>
      <c r="Z6" s="33" t="s">
        <v>2</v>
      </c>
      <c r="AA6" s="88"/>
      <c r="AB6" s="88" t="s">
        <v>2</v>
      </c>
      <c r="AC6" s="88" t="s">
        <v>7</v>
      </c>
      <c r="AD6" s="88"/>
      <c r="AE6" s="33" t="s">
        <v>2</v>
      </c>
      <c r="AF6" s="33" t="s">
        <v>2</v>
      </c>
      <c r="AG6" s="3">
        <f>(AH6*12)+(AI6*12)+(AK6*8)+(AL6*4)</f>
        <v>136</v>
      </c>
      <c r="AH6" s="3">
        <f t="shared" ref="AH6:AH12" si="2">COUNTIF(B6:AF6,"D")</f>
        <v>3</v>
      </c>
      <c r="AI6" s="3">
        <f t="shared" ref="AI6:AI12" si="3">COUNTIF(B6:AF6,"N")</f>
        <v>5</v>
      </c>
      <c r="AJ6" s="3">
        <f t="shared" ref="AJ6:AJ12" si="4">COUNTIF(B6:AF6,"OFF")+COUNTIF(B6:AF6,"上課")</f>
        <v>17</v>
      </c>
      <c r="AK6" s="3">
        <f t="shared" ref="AK6:AK12" si="5">COUNTIF(B6:AF6,"")-AL6+COUNTIF(B6:AF6,"h3")</f>
        <v>4</v>
      </c>
      <c r="AL6" s="3">
        <f t="shared" ref="AL6:AL12" si="6">COUNTIFS($B$4:$AF$4,"6",B6:AF6,"")+COUNTIF(B6:AF6,"h3")</f>
        <v>2</v>
      </c>
      <c r="AM6" s="3">
        <f t="array" ref="AM6">SUMPRODUCT(($B$4:$AF$4=6)*(B6:AF6="off"))</f>
        <v>2</v>
      </c>
    </row>
    <row r="7" spans="1:39" ht="21.5">
      <c r="A7" s="6" t="s">
        <v>17</v>
      </c>
      <c r="B7" s="88"/>
      <c r="C7" s="88" t="s">
        <v>7</v>
      </c>
      <c r="D7" s="88" t="s">
        <v>2</v>
      </c>
      <c r="E7" s="88"/>
      <c r="F7" s="88"/>
      <c r="G7" s="88" t="s">
        <v>2</v>
      </c>
      <c r="H7" s="88" t="s">
        <v>7</v>
      </c>
      <c r="I7" s="88"/>
      <c r="J7" s="33" t="s">
        <v>2</v>
      </c>
      <c r="K7" s="111" t="s">
        <v>2</v>
      </c>
      <c r="L7" s="33" t="s">
        <v>2</v>
      </c>
      <c r="M7" s="88" t="s">
        <v>2</v>
      </c>
      <c r="N7" s="88" t="s">
        <v>7</v>
      </c>
      <c r="O7" s="88"/>
      <c r="P7" s="88" t="s">
        <v>7</v>
      </c>
      <c r="Q7" s="88" t="s">
        <v>2</v>
      </c>
      <c r="R7" s="88"/>
      <c r="S7" s="88" t="s">
        <v>7</v>
      </c>
      <c r="T7" s="88" t="s">
        <v>2</v>
      </c>
      <c r="U7" s="88" t="s">
        <v>2</v>
      </c>
      <c r="V7" s="88" t="s">
        <v>2</v>
      </c>
      <c r="W7" s="88" t="s">
        <v>2</v>
      </c>
      <c r="X7" s="88" t="s">
        <v>7</v>
      </c>
      <c r="Y7" s="88" t="s">
        <v>2</v>
      </c>
      <c r="Z7" s="88" t="s">
        <v>7</v>
      </c>
      <c r="AA7" s="88"/>
      <c r="AB7" s="88" t="s">
        <v>2</v>
      </c>
      <c r="AC7" s="88" t="s">
        <v>2</v>
      </c>
      <c r="AD7" s="88" t="s">
        <v>2</v>
      </c>
      <c r="AE7" s="88" t="s">
        <v>7</v>
      </c>
      <c r="AF7" s="88"/>
      <c r="AG7" s="3">
        <f t="shared" ref="AG7:AG12" si="7">(AH7*12)+(AI7*12)+(AK7*8)+(AL7*4)</f>
        <v>152</v>
      </c>
      <c r="AH7" s="3">
        <f t="shared" si="2"/>
        <v>8</v>
      </c>
      <c r="AI7" s="3">
        <f t="shared" si="3"/>
        <v>0</v>
      </c>
      <c r="AJ7" s="3">
        <f t="shared" si="4"/>
        <v>15</v>
      </c>
      <c r="AK7" s="3">
        <f t="shared" si="5"/>
        <v>6</v>
      </c>
      <c r="AL7" s="3">
        <f t="shared" si="6"/>
        <v>2</v>
      </c>
      <c r="AM7" s="3">
        <f t="array" ref="AM7">SUMPRODUCT(($B$4:$AF$4=6)*(B7:AF7="off"))</f>
        <v>2</v>
      </c>
    </row>
    <row r="8" spans="1:39" ht="21.5">
      <c r="A8" s="6" t="s">
        <v>46</v>
      </c>
      <c r="B8" s="88" t="s">
        <v>6</v>
      </c>
      <c r="C8" s="88" t="s">
        <v>6</v>
      </c>
      <c r="D8" s="88" t="s">
        <v>2</v>
      </c>
      <c r="E8" s="88" t="s">
        <v>7</v>
      </c>
      <c r="F8" s="88"/>
      <c r="G8" s="88" t="s">
        <v>2</v>
      </c>
      <c r="H8" s="88" t="s">
        <v>6</v>
      </c>
      <c r="I8" s="88" t="s">
        <v>2</v>
      </c>
      <c r="J8" s="33" t="s">
        <v>2</v>
      </c>
      <c r="K8" s="113" t="s">
        <v>2</v>
      </c>
      <c r="L8" s="33" t="s">
        <v>2</v>
      </c>
      <c r="M8" s="33" t="s">
        <v>2</v>
      </c>
      <c r="N8" s="33" t="s">
        <v>2</v>
      </c>
      <c r="O8" s="88" t="s">
        <v>7</v>
      </c>
      <c r="P8" s="88"/>
      <c r="Q8" s="88"/>
      <c r="R8" s="88" t="s">
        <v>264</v>
      </c>
      <c r="S8" s="88" t="s">
        <v>2</v>
      </c>
      <c r="T8" s="88"/>
      <c r="U8" s="88" t="s">
        <v>7</v>
      </c>
      <c r="V8" s="88"/>
      <c r="W8" s="88"/>
      <c r="X8" s="88" t="s">
        <v>2</v>
      </c>
      <c r="Y8" s="88" t="s">
        <v>6</v>
      </c>
      <c r="Z8" s="88" t="s">
        <v>6</v>
      </c>
      <c r="AA8" s="88" t="s">
        <v>2</v>
      </c>
      <c r="AB8" s="88" t="s">
        <v>2</v>
      </c>
      <c r="AC8" s="88" t="s">
        <v>2</v>
      </c>
      <c r="AD8" s="33" t="s">
        <v>2</v>
      </c>
      <c r="AE8" s="33" t="s">
        <v>2</v>
      </c>
      <c r="AF8" s="33" t="s">
        <v>2</v>
      </c>
      <c r="AG8" s="3">
        <f t="shared" si="7"/>
        <v>136</v>
      </c>
      <c r="AH8" s="3">
        <f t="shared" si="2"/>
        <v>3</v>
      </c>
      <c r="AI8" s="3">
        <f t="shared" si="3"/>
        <v>5</v>
      </c>
      <c r="AJ8" s="3">
        <f t="shared" si="4"/>
        <v>17</v>
      </c>
      <c r="AK8" s="3">
        <f t="shared" si="5"/>
        <v>4</v>
      </c>
      <c r="AL8" s="3">
        <f t="shared" si="6"/>
        <v>2</v>
      </c>
      <c r="AM8" s="3">
        <f t="array" ref="AM8">SUMPRODUCT(($B$4:$AF$4=6)*(B8:AF8="off"))</f>
        <v>2</v>
      </c>
    </row>
    <row r="9" spans="1:39" ht="21.5">
      <c r="A9" s="6" t="s">
        <v>12</v>
      </c>
      <c r="B9" s="88" t="s">
        <v>2</v>
      </c>
      <c r="C9" s="88" t="s">
        <v>2</v>
      </c>
      <c r="D9" s="88"/>
      <c r="E9" s="88"/>
      <c r="F9" s="33" t="s">
        <v>2</v>
      </c>
      <c r="G9" s="33" t="s">
        <v>2</v>
      </c>
      <c r="H9" s="33" t="s">
        <v>2</v>
      </c>
      <c r="I9" s="88"/>
      <c r="J9" s="88" t="s">
        <v>7</v>
      </c>
      <c r="K9" s="139" t="s">
        <v>2</v>
      </c>
      <c r="L9" s="33" t="s">
        <v>2</v>
      </c>
      <c r="M9" s="88"/>
      <c r="N9" s="88" t="s">
        <v>2</v>
      </c>
      <c r="O9" s="88"/>
      <c r="P9" s="88" t="s">
        <v>2</v>
      </c>
      <c r="Q9" s="33" t="s">
        <v>2</v>
      </c>
      <c r="R9" s="33" t="s">
        <v>2</v>
      </c>
      <c r="S9" s="88" t="s">
        <v>2</v>
      </c>
      <c r="T9" s="88" t="s">
        <v>2</v>
      </c>
      <c r="U9" s="88" t="s">
        <v>2</v>
      </c>
      <c r="V9" s="88" t="s">
        <v>6</v>
      </c>
      <c r="W9" s="88" t="s">
        <v>6</v>
      </c>
      <c r="X9" s="88" t="s">
        <v>2</v>
      </c>
      <c r="Y9" s="88" t="s">
        <v>2</v>
      </c>
      <c r="Z9" s="33" t="s">
        <v>2</v>
      </c>
      <c r="AA9" s="33" t="s">
        <v>2</v>
      </c>
      <c r="AB9" s="88" t="s">
        <v>7</v>
      </c>
      <c r="AC9" s="88"/>
      <c r="AD9" s="88" t="s">
        <v>263</v>
      </c>
      <c r="AE9" s="88"/>
      <c r="AF9" s="88" t="s">
        <v>7</v>
      </c>
      <c r="AG9" s="3">
        <f t="shared" si="7"/>
        <v>112</v>
      </c>
      <c r="AH9" s="3">
        <f t="shared" si="2"/>
        <v>3</v>
      </c>
      <c r="AI9" s="3">
        <f t="shared" si="3"/>
        <v>2</v>
      </c>
      <c r="AJ9" s="3">
        <f t="shared" si="4"/>
        <v>19</v>
      </c>
      <c r="AK9" s="3">
        <f t="shared" si="5"/>
        <v>6</v>
      </c>
      <c r="AL9" s="3">
        <f t="shared" si="6"/>
        <v>1</v>
      </c>
      <c r="AM9" s="3">
        <f t="array" ref="AM9">SUMPRODUCT(($B$4:$AF$4=6)*(B9:AF9="off"))</f>
        <v>3</v>
      </c>
    </row>
    <row r="10" spans="1:39" ht="21.5">
      <c r="A10" s="6" t="s">
        <v>49</v>
      </c>
      <c r="B10" s="88" t="s">
        <v>2</v>
      </c>
      <c r="C10" s="88"/>
      <c r="D10" s="88"/>
      <c r="E10" s="33" t="s">
        <v>2</v>
      </c>
      <c r="F10" s="88" t="s">
        <v>7</v>
      </c>
      <c r="G10" s="88" t="s">
        <v>2</v>
      </c>
      <c r="H10" s="88" t="s">
        <v>2</v>
      </c>
      <c r="I10" s="88" t="s">
        <v>7</v>
      </c>
      <c r="J10" s="88"/>
      <c r="K10" s="111" t="s">
        <v>6</v>
      </c>
      <c r="L10" s="88" t="s">
        <v>6</v>
      </c>
      <c r="M10" s="88" t="s">
        <v>2</v>
      </c>
      <c r="N10" s="88" t="s">
        <v>2</v>
      </c>
      <c r="O10" s="88" t="s">
        <v>2</v>
      </c>
      <c r="P10" s="88" t="s">
        <v>2</v>
      </c>
      <c r="Q10" s="88" t="s">
        <v>2</v>
      </c>
      <c r="R10" s="88" t="s">
        <v>6</v>
      </c>
      <c r="S10" s="88" t="s">
        <v>6</v>
      </c>
      <c r="T10" s="88" t="s">
        <v>6</v>
      </c>
      <c r="U10" s="88" t="s">
        <v>6</v>
      </c>
      <c r="V10" s="88" t="s">
        <v>2</v>
      </c>
      <c r="W10" s="88" t="s">
        <v>2</v>
      </c>
      <c r="X10" s="88"/>
      <c r="Y10" s="88"/>
      <c r="Z10" s="33" t="s">
        <v>2</v>
      </c>
      <c r="AA10" s="33" t="s">
        <v>2</v>
      </c>
      <c r="AB10" s="33" t="s">
        <v>2</v>
      </c>
      <c r="AC10" s="33" t="s">
        <v>2</v>
      </c>
      <c r="AD10" s="33" t="s">
        <v>2</v>
      </c>
      <c r="AE10" s="33" t="s">
        <v>2</v>
      </c>
      <c r="AF10" s="33" t="s">
        <v>2</v>
      </c>
      <c r="AG10" s="3">
        <f t="shared" si="7"/>
        <v>136</v>
      </c>
      <c r="AH10" s="3">
        <f t="shared" si="2"/>
        <v>2</v>
      </c>
      <c r="AI10" s="3">
        <f t="shared" si="3"/>
        <v>6</v>
      </c>
      <c r="AJ10" s="3">
        <f t="shared" si="4"/>
        <v>18</v>
      </c>
      <c r="AK10" s="3">
        <f t="shared" si="5"/>
        <v>5</v>
      </c>
      <c r="AL10" s="3">
        <f t="shared" si="6"/>
        <v>0</v>
      </c>
      <c r="AM10" s="3">
        <f t="array" ref="AM10">SUMPRODUCT(($B$4:$AF$4=6)*(B10:AF10="off"))</f>
        <v>2</v>
      </c>
    </row>
    <row r="11" spans="1:39" ht="21.5">
      <c r="A11" s="6" t="s">
        <v>50</v>
      </c>
      <c r="B11" s="88"/>
      <c r="C11" s="88"/>
      <c r="D11" s="88" t="s">
        <v>7</v>
      </c>
      <c r="E11" s="88" t="s">
        <v>2</v>
      </c>
      <c r="F11" s="88" t="s">
        <v>2</v>
      </c>
      <c r="G11" s="88" t="s">
        <v>2</v>
      </c>
      <c r="H11" s="88" t="s">
        <v>2</v>
      </c>
      <c r="I11" s="62" t="s">
        <v>2</v>
      </c>
      <c r="J11" s="33" t="s">
        <v>2</v>
      </c>
      <c r="K11" s="111" t="s">
        <v>7</v>
      </c>
      <c r="L11" s="88"/>
      <c r="M11" s="88" t="s">
        <v>7</v>
      </c>
      <c r="N11" s="33" t="s">
        <v>2</v>
      </c>
      <c r="O11" s="33" t="s">
        <v>2</v>
      </c>
      <c r="P11" s="88" t="s">
        <v>2</v>
      </c>
      <c r="Q11" s="88" t="s">
        <v>2</v>
      </c>
      <c r="R11" s="88" t="s">
        <v>7</v>
      </c>
      <c r="S11" s="88"/>
      <c r="T11" s="88" t="s">
        <v>2</v>
      </c>
      <c r="U11" s="88" t="s">
        <v>2</v>
      </c>
      <c r="V11" s="88"/>
      <c r="W11" s="88" t="s">
        <v>7</v>
      </c>
      <c r="X11" s="33" t="s">
        <v>2</v>
      </c>
      <c r="Y11" s="88" t="s">
        <v>7</v>
      </c>
      <c r="Z11" s="88"/>
      <c r="AA11" s="88" t="s">
        <v>2</v>
      </c>
      <c r="AB11" s="33" t="s">
        <v>2</v>
      </c>
      <c r="AC11" s="88"/>
      <c r="AD11" s="88" t="s">
        <v>7</v>
      </c>
      <c r="AE11" s="33" t="s">
        <v>2</v>
      </c>
      <c r="AF11" s="88" t="s">
        <v>2</v>
      </c>
      <c r="AG11" s="3">
        <f t="shared" si="7"/>
        <v>140</v>
      </c>
      <c r="AH11" s="3">
        <f t="shared" si="2"/>
        <v>7</v>
      </c>
      <c r="AI11" s="3">
        <f t="shared" si="3"/>
        <v>0</v>
      </c>
      <c r="AJ11" s="3">
        <f t="shared" si="4"/>
        <v>17</v>
      </c>
      <c r="AK11" s="3">
        <f t="shared" si="5"/>
        <v>7</v>
      </c>
      <c r="AL11" s="3">
        <f t="shared" si="6"/>
        <v>0</v>
      </c>
      <c r="AM11" s="3">
        <f t="array" ref="AM11">SUMPRODUCT(($B$4:$AF$4=6)*(B11:AF11="off"))</f>
        <v>3</v>
      </c>
    </row>
    <row r="12" spans="1:39" ht="21.5">
      <c r="A12" s="6" t="s">
        <v>51</v>
      </c>
      <c r="B12" s="33" t="s">
        <v>2</v>
      </c>
      <c r="C12" s="33" t="s">
        <v>2</v>
      </c>
      <c r="D12" s="88" t="s">
        <v>6</v>
      </c>
      <c r="E12" s="83" t="s">
        <v>6</v>
      </c>
      <c r="F12" s="138" t="s">
        <v>6</v>
      </c>
      <c r="G12" s="138" t="s">
        <v>6</v>
      </c>
      <c r="H12" s="88" t="s">
        <v>2</v>
      </c>
      <c r="I12" s="62" t="s">
        <v>2</v>
      </c>
      <c r="J12" s="88" t="s">
        <v>2</v>
      </c>
      <c r="K12" s="111" t="s">
        <v>2</v>
      </c>
      <c r="L12" s="88" t="s">
        <v>7</v>
      </c>
      <c r="M12" s="88" t="s">
        <v>6</v>
      </c>
      <c r="N12" s="88" t="s">
        <v>6</v>
      </c>
      <c r="O12" s="88" t="s">
        <v>2</v>
      </c>
      <c r="P12" s="88" t="s">
        <v>2</v>
      </c>
      <c r="Q12" s="88" t="s">
        <v>7</v>
      </c>
      <c r="R12" s="88"/>
      <c r="S12" s="88"/>
      <c r="T12" s="62" t="s">
        <v>7</v>
      </c>
      <c r="U12" s="62" t="s">
        <v>262</v>
      </c>
      <c r="V12" s="33" t="s">
        <v>2</v>
      </c>
      <c r="W12" s="33" t="s">
        <v>2</v>
      </c>
      <c r="X12" s="33" t="s">
        <v>2</v>
      </c>
      <c r="Y12" s="88"/>
      <c r="Z12" s="33" t="s">
        <v>2</v>
      </c>
      <c r="AA12" s="88" t="s">
        <v>6</v>
      </c>
      <c r="AB12" s="88" t="s">
        <v>6</v>
      </c>
      <c r="AC12" s="88" t="s">
        <v>2</v>
      </c>
      <c r="AD12" s="88"/>
      <c r="AE12" s="88"/>
      <c r="AF12" s="83"/>
      <c r="AG12" s="3">
        <f t="shared" si="7"/>
        <v>180</v>
      </c>
      <c r="AH12" s="3">
        <f t="shared" si="2"/>
        <v>3</v>
      </c>
      <c r="AI12" s="3">
        <f t="shared" si="3"/>
        <v>8</v>
      </c>
      <c r="AJ12" s="3">
        <f t="shared" si="4"/>
        <v>14</v>
      </c>
      <c r="AK12" s="3">
        <f t="shared" si="5"/>
        <v>6</v>
      </c>
      <c r="AL12" s="3">
        <f t="shared" si="6"/>
        <v>0</v>
      </c>
      <c r="AM12" s="3">
        <f t="array" ref="AM12">SUMPRODUCT(($B$4:$AF$4=6)*(B12:AF12="off"))</f>
        <v>0</v>
      </c>
    </row>
    <row r="13" spans="1:39" ht="21.5">
      <c r="A13" s="93" t="s">
        <v>249</v>
      </c>
      <c r="B13" s="115">
        <f t="shared" ref="B13:Q13" si="8">IF(B14="國",2,IF(B4="","",IF(B4="日",2,IF(B4=6,4,IF(B4&lt;6,4)))))</f>
        <v>4</v>
      </c>
      <c r="C13" s="115">
        <f t="shared" si="8"/>
        <v>4</v>
      </c>
      <c r="D13" s="115">
        <f t="shared" si="8"/>
        <v>4</v>
      </c>
      <c r="E13" s="115">
        <f t="shared" si="8"/>
        <v>4</v>
      </c>
      <c r="F13" s="115">
        <f t="shared" si="8"/>
        <v>4</v>
      </c>
      <c r="G13" s="115">
        <f t="shared" si="8"/>
        <v>2</v>
      </c>
      <c r="H13" s="115">
        <f t="shared" si="8"/>
        <v>4</v>
      </c>
      <c r="I13" s="115">
        <f t="shared" si="8"/>
        <v>4</v>
      </c>
      <c r="J13" s="115">
        <f t="shared" si="8"/>
        <v>4</v>
      </c>
      <c r="K13" s="115">
        <f t="shared" si="8"/>
        <v>2</v>
      </c>
      <c r="L13" s="115">
        <f t="shared" si="8"/>
        <v>4</v>
      </c>
      <c r="M13" s="115">
        <f t="shared" si="8"/>
        <v>4</v>
      </c>
      <c r="N13" s="115">
        <f t="shared" si="8"/>
        <v>2</v>
      </c>
      <c r="O13" s="115">
        <f>IF(O14="國",2,IF(O4="","",IF(O4="日",2,IF(O4=6,4,IF(O4&lt;6,4)))))</f>
        <v>4</v>
      </c>
      <c r="P13" s="115">
        <f t="shared" si="8"/>
        <v>4</v>
      </c>
      <c r="Q13" s="115">
        <f t="shared" si="8"/>
        <v>4</v>
      </c>
      <c r="R13" s="115">
        <f>IF(R14="國",2,IF(R4="","",IF(R4="日",2,IF(R4=6,4,IF(R4&lt;6,4)))))</f>
        <v>4</v>
      </c>
      <c r="S13" s="115">
        <f t="shared" ref="S13:AF13" si="9">IF(S14="國",2,IF(S4="","",IF(S4="日",2,IF(S4=6,4,IF(S4&lt;6,4)))))</f>
        <v>4</v>
      </c>
      <c r="T13" s="115">
        <f t="shared" si="9"/>
        <v>4</v>
      </c>
      <c r="U13" s="115">
        <f t="shared" si="9"/>
        <v>2</v>
      </c>
      <c r="V13" s="115">
        <f t="shared" si="9"/>
        <v>4</v>
      </c>
      <c r="W13" s="115">
        <f t="shared" si="9"/>
        <v>4</v>
      </c>
      <c r="X13" s="115">
        <f t="shared" si="9"/>
        <v>4</v>
      </c>
      <c r="Y13" s="115">
        <f t="shared" si="9"/>
        <v>4</v>
      </c>
      <c r="Z13" s="115">
        <f t="shared" si="9"/>
        <v>4</v>
      </c>
      <c r="AA13" s="115">
        <f t="shared" si="9"/>
        <v>4</v>
      </c>
      <c r="AB13" s="115">
        <f t="shared" si="9"/>
        <v>2</v>
      </c>
      <c r="AC13" s="115">
        <f t="shared" si="9"/>
        <v>4</v>
      </c>
      <c r="AD13" s="115">
        <f t="shared" si="9"/>
        <v>4</v>
      </c>
      <c r="AE13" s="115">
        <f t="shared" si="9"/>
        <v>4</v>
      </c>
      <c r="AF13" s="115">
        <f t="shared" si="9"/>
        <v>4</v>
      </c>
      <c r="AG13" s="12">
        <f>SUM(B13:AF13)</f>
        <v>114</v>
      </c>
      <c r="AH13" s="12"/>
      <c r="AI13" s="12"/>
      <c r="AJ13" s="12"/>
      <c r="AK13" s="12"/>
      <c r="AL13" s="12"/>
    </row>
    <row r="14" spans="1:39" ht="20.5">
      <c r="A14" s="93" t="s">
        <v>251</v>
      </c>
      <c r="B14" s="114"/>
      <c r="C14" s="114"/>
      <c r="D14" s="114"/>
      <c r="E14" s="114"/>
      <c r="F14" s="114"/>
      <c r="G14" s="114"/>
      <c r="H14" s="114"/>
      <c r="I14" s="114"/>
      <c r="J14" s="114"/>
      <c r="K14" s="114" t="s">
        <v>250</v>
      </c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39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3" t="s">
        <v>173</v>
      </c>
      <c r="D16" s="424"/>
      <c r="E16" s="425" t="s">
        <v>27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43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26"/>
      <c r="E17" s="425" t="s">
        <v>17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3 ... 7</v>
      </c>
      <c r="T17" s="44"/>
      <c r="U17" s="45"/>
      <c r="W17" s="13"/>
      <c r="X17" s="8" t="s">
        <v>20</v>
      </c>
      <c r="Y17" s="20" t="s">
        <v>3</v>
      </c>
      <c r="Z17" s="118">
        <v>2</v>
      </c>
      <c r="AA17" s="20" t="s">
        <v>5</v>
      </c>
      <c r="AB17" s="118">
        <v>5</v>
      </c>
      <c r="AC17" s="20">
        <v>3</v>
      </c>
      <c r="AD17" s="20">
        <v>4</v>
      </c>
      <c r="AE17" s="20">
        <f>SUM(Z17+AB17)</f>
        <v>7</v>
      </c>
      <c r="AF17" s="73">
        <v>17</v>
      </c>
      <c r="AG17" s="106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26"/>
      <c r="E18" s="425" t="s">
        <v>16</v>
      </c>
      <c r="F18" s="425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3 ... 7</v>
      </c>
      <c r="T18" s="49"/>
      <c r="U18" s="45"/>
      <c r="X18" s="8" t="s">
        <v>21</v>
      </c>
      <c r="Y18" s="98" t="s">
        <v>3</v>
      </c>
      <c r="Z18" s="118">
        <v>3</v>
      </c>
      <c r="AA18" s="20" t="s">
        <v>5</v>
      </c>
      <c r="AB18" s="118">
        <v>5</v>
      </c>
      <c r="AC18" s="73">
        <v>4</v>
      </c>
      <c r="AD18" s="20">
        <v>4</v>
      </c>
      <c r="AE18" s="20">
        <f t="shared" ref="AE18:AE24" si="10">SUM(Z18+AB18)</f>
        <v>8</v>
      </c>
      <c r="AF18" s="20">
        <v>17</v>
      </c>
      <c r="AG18" s="106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26"/>
      <c r="E19" s="425" t="s">
        <v>18</v>
      </c>
      <c r="F19" s="425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16 ... 6</v>
      </c>
      <c r="T19" s="51"/>
      <c r="U19" s="52"/>
      <c r="X19" s="8" t="s">
        <v>22</v>
      </c>
      <c r="Y19" s="73" t="s">
        <v>3</v>
      </c>
      <c r="Z19" s="119">
        <v>8</v>
      </c>
      <c r="AA19" s="73"/>
      <c r="AB19" s="118">
        <v>0</v>
      </c>
      <c r="AC19" s="73">
        <v>4</v>
      </c>
      <c r="AD19" s="20">
        <v>4</v>
      </c>
      <c r="AE19" s="20">
        <f t="shared" si="10"/>
        <v>8</v>
      </c>
      <c r="AF19" s="20">
        <v>16</v>
      </c>
      <c r="AG19" s="106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26"/>
      <c r="E20" s="425" t="s">
        <v>17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24</v>
      </c>
      <c r="P20" s="13" t="s">
        <v>77</v>
      </c>
      <c r="Q20" s="13" t="s">
        <v>78</v>
      </c>
      <c r="R20" s="37">
        <f>COUNTIF(B4:AF4,"6")*((COUNTA(B16:B23))-J16)</f>
        <v>16</v>
      </c>
      <c r="S20" s="13" t="s">
        <v>79</v>
      </c>
      <c r="T20" s="53">
        <f>O20+R20</f>
        <v>40</v>
      </c>
      <c r="U20" s="13" t="s">
        <v>32</v>
      </c>
      <c r="V20" s="13"/>
      <c r="W20" s="54">
        <f>T20+T22+T21</f>
        <v>134</v>
      </c>
      <c r="X20" s="8" t="s">
        <v>3</v>
      </c>
      <c r="Y20" s="20" t="s">
        <v>3</v>
      </c>
      <c r="Z20" s="119">
        <v>3</v>
      </c>
      <c r="AA20" s="20" t="s">
        <v>5</v>
      </c>
      <c r="AB20" s="119">
        <v>5</v>
      </c>
      <c r="AC20" s="20">
        <v>4</v>
      </c>
      <c r="AD20" s="73">
        <v>4</v>
      </c>
      <c r="AE20" s="20">
        <f t="shared" si="10"/>
        <v>8</v>
      </c>
      <c r="AF20" s="20">
        <v>16</v>
      </c>
      <c r="AG20" s="106">
        <v>2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26"/>
      <c r="E21" s="425" t="s">
        <v>13</v>
      </c>
      <c r="F21" s="425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1</v>
      </c>
      <c r="R21" s="102" t="s">
        <v>233</v>
      </c>
      <c r="S21" s="13"/>
      <c r="T21" s="37">
        <f>((COUNTA(B16:B23))-J18)*Q21</f>
        <v>6</v>
      </c>
      <c r="U21" s="13"/>
      <c r="V21" s="13"/>
      <c r="W21" s="13"/>
      <c r="X21" s="8" t="s">
        <v>23</v>
      </c>
      <c r="Y21" s="20" t="s">
        <v>3</v>
      </c>
      <c r="Z21" s="118">
        <v>3</v>
      </c>
      <c r="AA21" s="20" t="s">
        <v>5</v>
      </c>
      <c r="AB21" s="118">
        <v>2</v>
      </c>
      <c r="AC21" s="20">
        <v>4</v>
      </c>
      <c r="AD21" s="20">
        <v>3</v>
      </c>
      <c r="AE21" s="20">
        <f t="shared" si="10"/>
        <v>5</v>
      </c>
      <c r="AF21" s="134">
        <v>19</v>
      </c>
      <c r="AG21" s="107">
        <v>3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26"/>
      <c r="E22" s="425" t="s">
        <v>46</v>
      </c>
      <c r="F22" s="425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88</v>
      </c>
      <c r="U22" s="13"/>
      <c r="V22" s="13"/>
      <c r="W22" s="13"/>
      <c r="X22" s="8" t="s">
        <v>24</v>
      </c>
      <c r="Y22" s="20" t="s">
        <v>3</v>
      </c>
      <c r="Z22" s="119">
        <v>2</v>
      </c>
      <c r="AA22" s="98" t="s">
        <v>5</v>
      </c>
      <c r="AB22" s="118">
        <v>6</v>
      </c>
      <c r="AC22" s="73">
        <v>4</v>
      </c>
      <c r="AD22" s="20">
        <v>4</v>
      </c>
      <c r="AE22" s="20">
        <f t="shared" si="10"/>
        <v>8</v>
      </c>
      <c r="AF22" s="20">
        <v>18</v>
      </c>
      <c r="AG22" s="106">
        <v>2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>
        <v>8</v>
      </c>
      <c r="C23" s="424" t="s">
        <v>30</v>
      </c>
      <c r="D23" s="426"/>
      <c r="E23" s="425" t="s">
        <v>26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2 ... 0</v>
      </c>
      <c r="U23" s="431"/>
      <c r="V23" s="432"/>
      <c r="X23" s="8" t="s">
        <v>25</v>
      </c>
      <c r="Y23" s="20" t="s">
        <v>3</v>
      </c>
      <c r="Z23" s="118">
        <v>7</v>
      </c>
      <c r="AA23" s="73"/>
      <c r="AB23" s="119">
        <v>0</v>
      </c>
      <c r="AC23" s="20">
        <v>4</v>
      </c>
      <c r="AD23" s="73">
        <v>4</v>
      </c>
      <c r="AE23" s="20">
        <f t="shared" si="10"/>
        <v>7</v>
      </c>
      <c r="AF23" s="20">
        <v>17</v>
      </c>
      <c r="AG23" s="106">
        <v>2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3</v>
      </c>
      <c r="AA24" s="20" t="s">
        <v>5</v>
      </c>
      <c r="AB24" s="119">
        <v>8</v>
      </c>
      <c r="AC24" s="20">
        <v>4</v>
      </c>
      <c r="AD24" s="73">
        <v>4</v>
      </c>
      <c r="AE24" s="20">
        <f t="shared" si="10"/>
        <v>11</v>
      </c>
      <c r="AF24" s="20">
        <v>14</v>
      </c>
      <c r="AG24" s="108">
        <v>1</v>
      </c>
      <c r="AH24" t="s">
        <v>214</v>
      </c>
    </row>
    <row r="25" spans="1:39">
      <c r="Z25">
        <f>SUM(Z17:Z24)</f>
        <v>31</v>
      </c>
      <c r="AB25">
        <f>SUM(AB17:AB24)</f>
        <v>31</v>
      </c>
      <c r="AC25">
        <f>SUM(AC17:AC24)</f>
        <v>31</v>
      </c>
      <c r="AD25">
        <f>SUM(AD17:AD24)</f>
        <v>31</v>
      </c>
      <c r="AH25" t="s">
        <v>215</v>
      </c>
    </row>
    <row r="26" spans="1:39" ht="27.75" customHeight="1">
      <c r="I26" s="140"/>
      <c r="L26" s="59" t="s">
        <v>248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33.5">
      <c r="L27" s="142" t="s">
        <v>260</v>
      </c>
      <c r="X27" s="110"/>
      <c r="Y27" s="429" t="s">
        <v>253</v>
      </c>
      <c r="Z27" s="429"/>
      <c r="AA27" s="429"/>
      <c r="AB27" s="429"/>
      <c r="AC27" s="429"/>
    </row>
    <row r="28" spans="1:39" ht="33.5">
      <c r="L28" s="142" t="s">
        <v>261</v>
      </c>
      <c r="X28" s="135"/>
      <c r="Y28" s="429" t="s">
        <v>257</v>
      </c>
      <c r="Z28" s="429"/>
      <c r="AA28" s="429"/>
      <c r="AB28" s="429"/>
      <c r="AC28" s="429"/>
    </row>
  </sheetData>
  <mergeCells count="23">
    <mergeCell ref="A1:B2"/>
    <mergeCell ref="E23:F23"/>
    <mergeCell ref="C22:D22"/>
    <mergeCell ref="C23:D23"/>
    <mergeCell ref="E22:F22"/>
    <mergeCell ref="E21:F21"/>
    <mergeCell ref="E20:F20"/>
    <mergeCell ref="C19:D19"/>
    <mergeCell ref="C20:D20"/>
    <mergeCell ref="E19:F19"/>
    <mergeCell ref="Y28:AC28"/>
    <mergeCell ref="T23:V23"/>
    <mergeCell ref="Y26:AC26"/>
    <mergeCell ref="Y27:AC27"/>
    <mergeCell ref="C21:D21"/>
    <mergeCell ref="AG4:AL4"/>
    <mergeCell ref="B15:C15"/>
    <mergeCell ref="C16:D16"/>
    <mergeCell ref="E18:F18"/>
    <mergeCell ref="C17:D17"/>
    <mergeCell ref="E16:F16"/>
    <mergeCell ref="E17:F17"/>
    <mergeCell ref="C18:D18"/>
  </mergeCells>
  <phoneticPr fontId="11" type="noConversion"/>
  <conditionalFormatting sqref="AG3">
    <cfRule type="expression" dxfId="2707" priority="79" stopIfTrue="1">
      <formula>WEEKDAY(AG$3)=7</formula>
    </cfRule>
    <cfRule type="expression" dxfId="2706" priority="80" stopIfTrue="1">
      <formula>WEEKDAY(AG$3)=1</formula>
    </cfRule>
    <cfRule type="expression" dxfId="2705" priority="81" stopIfTrue="1">
      <formula>WEEKDAY(AG$3)=7</formula>
    </cfRule>
    <cfRule type="expression" dxfId="2704" priority="82" stopIfTrue="1">
      <formula>WEEKDAY(AG$3)=1</formula>
    </cfRule>
  </conditionalFormatting>
  <conditionalFormatting sqref="B4:AF4">
    <cfRule type="expression" dxfId="2703" priority="77">
      <formula>WEEKDAY(B$3,2)=7</formula>
    </cfRule>
    <cfRule type="expression" dxfId="2702" priority="78">
      <formula>WEEKDAY(B$3,2)=6</formula>
    </cfRule>
  </conditionalFormatting>
  <conditionalFormatting sqref="B4:AF4">
    <cfRule type="expression" dxfId="2701" priority="28" stopIfTrue="1">
      <formula>ISNUMBER(SEARCH("國", B$14))</formula>
    </cfRule>
  </conditionalFormatting>
  <conditionalFormatting sqref="Z17:Z24">
    <cfRule type="expression" dxfId="2700" priority="23" stopIfTrue="1">
      <formula>COUNTIF($B5:$AF5,"D")&lt;&gt;$Z17</formula>
    </cfRule>
  </conditionalFormatting>
  <conditionalFormatting sqref="B5:AF12">
    <cfRule type="expression" dxfId="2699" priority="20">
      <formula>WEEKDAY(B$3,2)=7</formula>
    </cfRule>
    <cfRule type="expression" dxfId="2698" priority="21">
      <formula>WEEKDAY(B$3,2)=6</formula>
    </cfRule>
  </conditionalFormatting>
  <conditionalFormatting sqref="B5:AF5">
    <cfRule type="expression" dxfId="2697" priority="19">
      <formula>SEARCH("X", $A$5) &gt; 0</formula>
    </cfRule>
  </conditionalFormatting>
  <conditionalFormatting sqref="B6:AF6">
    <cfRule type="expression" dxfId="2696" priority="18">
      <formula>SEARCH("X", $A$6) &gt; 0</formula>
    </cfRule>
  </conditionalFormatting>
  <conditionalFormatting sqref="B7:AF7">
    <cfRule type="expression" dxfId="2695" priority="17">
      <formula>SEARCH("X", $A$7) &gt; 0</formula>
    </cfRule>
  </conditionalFormatting>
  <conditionalFormatting sqref="B8:AF8">
    <cfRule type="expression" dxfId="2694" priority="16">
      <formula>SEARCH("X", $A$8) &gt; 0</formula>
    </cfRule>
  </conditionalFormatting>
  <conditionalFormatting sqref="B9:AF9">
    <cfRule type="expression" dxfId="2693" priority="15">
      <formula>SEARCH("X", $A$9) &gt; 0</formula>
    </cfRule>
  </conditionalFormatting>
  <conditionalFormatting sqref="B10:AF10">
    <cfRule type="expression" dxfId="2692" priority="14">
      <formula>SEARCH("X", $A$10) &gt; 0</formula>
    </cfRule>
  </conditionalFormatting>
  <conditionalFormatting sqref="B11:AF11">
    <cfRule type="expression" dxfId="2691" priority="13">
      <formula>SEARCH("X", $A$11) &gt; 0</formula>
    </cfRule>
  </conditionalFormatting>
  <conditionalFormatting sqref="B12:AF12">
    <cfRule type="expression" dxfId="2690" priority="12">
      <formula>SEARCH("X", $A$12) &gt; 0</formula>
    </cfRule>
  </conditionalFormatting>
  <conditionalFormatting sqref="Z10">
    <cfRule type="expression" dxfId="2689" priority="11">
      <formula>SEARCH("X", $A$9) &gt; 0</formula>
    </cfRule>
  </conditionalFormatting>
  <conditionalFormatting sqref="Z10:AA10">
    <cfRule type="expression" dxfId="2688" priority="10">
      <formula>SEARCH("X", $A$9) &gt; 0</formula>
    </cfRule>
  </conditionalFormatting>
  <conditionalFormatting sqref="AC10 Z10:AA10">
    <cfRule type="expression" dxfId="2687" priority="9">
      <formula>SEARCH("X", $A$9) &gt; 0</formula>
    </cfRule>
  </conditionalFormatting>
  <conditionalFormatting sqref="AC10:AD10 Z10:AA10">
    <cfRule type="expression" dxfId="2686" priority="8">
      <formula>SEARCH("X", $A$9) &gt; 0</formula>
    </cfRule>
  </conditionalFormatting>
  <conditionalFormatting sqref="AB10">
    <cfRule type="expression" dxfId="2685" priority="7">
      <formula>SEARCH("X", $A$9) &gt; 0</formula>
    </cfRule>
  </conditionalFormatting>
  <conditionalFormatting sqref="J7">
    <cfRule type="expression" dxfId="2684" priority="6">
      <formula>SEARCH("X", $A$8) &gt; 0</formula>
    </cfRule>
  </conditionalFormatting>
  <conditionalFormatting sqref="AE10">
    <cfRule type="expression" dxfId="2683" priority="5">
      <formula>SEARCH("X", $A$9) &gt; 0</formula>
    </cfRule>
  </conditionalFormatting>
  <conditionalFormatting sqref="L7">
    <cfRule type="expression" dxfId="2682" priority="4">
      <formula>SEARCH("X", $A$8) &gt; 0</formula>
    </cfRule>
  </conditionalFormatting>
  <conditionalFormatting sqref="AB17:AB24">
    <cfRule type="expression" dxfId="2681" priority="3" stopIfTrue="1">
      <formula>COUNTIF($B5:$AF5,"N")&lt;&gt;$AB17</formula>
    </cfRule>
  </conditionalFormatting>
  <conditionalFormatting sqref="B13:AF13">
    <cfRule type="expression" dxfId="2680" priority="1" stopIfTrue="1">
      <formula>8-COUNTIF(B$5:B$12,"off")&lt;&gt;B$13</formula>
    </cfRule>
  </conditionalFormatting>
  <dataValidations count="13">
    <dataValidation type="list" allowBlank="1" showInputMessage="1" sqref="A14" xr:uid="{278E55F2-6E56-48AB-BD03-5160FDEEA025}">
      <formula1>$AI$23:$AJ$23</formula1>
    </dataValidation>
    <dataValidation type="list" allowBlank="1" showInputMessage="1" showErrorMessage="1" sqref="A12" xr:uid="{5E92B68F-27E9-4545-BD51-946BA0DC80C8}">
      <formula1>$AI$23:$AJ$23</formula1>
    </dataValidation>
    <dataValidation type="list" allowBlank="1" showInputMessage="1" showErrorMessage="1" sqref="A11" xr:uid="{F3F69E09-95CE-4087-9DFD-9A4EA3BF8DFB}">
      <formula1>$AI$22:$AJ$22</formula1>
    </dataValidation>
    <dataValidation type="list" allowBlank="1" showInputMessage="1" showErrorMessage="1" sqref="A5" xr:uid="{BFC10970-21BC-4A5A-BF98-5D17B6A7FC5D}">
      <formula1>$AI$16:$AJ$16</formula1>
    </dataValidation>
    <dataValidation type="list" allowBlank="1" showInputMessage="1" showErrorMessage="1" sqref="A7" xr:uid="{75AEAB88-90BC-40E6-9523-0B18D893CA85}">
      <formula1>$AI$18:$AJ$18</formula1>
    </dataValidation>
    <dataValidation type="list" allowBlank="1" showInputMessage="1" showErrorMessage="1" sqref="A8" xr:uid="{5791D254-F0F7-471A-8889-96C5591A6398}">
      <formula1>$AI$19:$AJ$19</formula1>
    </dataValidation>
    <dataValidation type="list" allowBlank="1" showInputMessage="1" showErrorMessage="1" sqref="A6" xr:uid="{EABF5A2A-B9AE-406A-8ED3-255670A8DA44}">
      <formula1>$AI$17:$AJ$17</formula1>
    </dataValidation>
    <dataValidation type="list" allowBlank="1" showInputMessage="1" showErrorMessage="1" sqref="A9" xr:uid="{8204C282-4254-467C-A075-E642DB57A2F9}">
      <formula1>$AI$20:$AJ$20</formula1>
    </dataValidation>
    <dataValidation type="list" allowBlank="1" showInputMessage="1" showErrorMessage="1" sqref="A10" xr:uid="{0FF92B61-81F9-4FE3-8F05-6A8E43FD9F57}">
      <formula1>$AI$21:$AJ$21</formula1>
    </dataValidation>
    <dataValidation type="list" allowBlank="1" showInputMessage="1" sqref="B5:AF12" xr:uid="{3FA6A434-A39E-4BD8-9F7A-65D4035B3EE9}">
      <formula1>$AH$14:$AH$24</formula1>
    </dataValidation>
    <dataValidation type="list" allowBlank="1" showInputMessage="1" showErrorMessage="1" sqref="C16:D23" xr:uid="{945BCCBD-2388-4F32-A219-9EEA3B94A399}">
      <formula1>$AM$17:$AM$20</formula1>
    </dataValidation>
    <dataValidation type="list" allowBlank="1" showInputMessage="1" showErrorMessage="1" sqref="E16:F23" xr:uid="{C3F79224-6193-4B27-8674-8AA02FD58B31}">
      <formula1>$A$5:$A$12</formula1>
    </dataValidation>
    <dataValidation type="list" allowBlank="1" showInputMessage="1" sqref="A13" xr:uid="{2D7C660F-A875-4535-8922-88D0740D1503}">
      <formula1>$AK$23:$AL$23</formula1>
    </dataValidation>
  </dataValidations>
  <pageMargins left="0.7" right="0.7" top="0.75" bottom="0.75" header="0.3" footer="0.3"/>
  <pageSetup paperSize="9" scale="3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5B117-09A6-49E5-BF91-2421E6AE926B}">
  <sheetPr codeName="工作表6">
    <pageSetUpPr fitToPage="1"/>
  </sheetPr>
  <dimension ref="A1:AM52"/>
  <sheetViews>
    <sheetView zoomScale="60" zoomScaleNormal="60" workbookViewId="0">
      <selection activeCell="G41" sqref="G41"/>
    </sheetView>
  </sheetViews>
  <sheetFormatPr defaultRowHeight="17"/>
  <cols>
    <col min="1" max="1" width="12.5" bestFit="1" customWidth="1"/>
    <col min="2" max="2" width="8.58203125" bestFit="1" customWidth="1"/>
    <col min="3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419"/>
      <c r="C2" s="1"/>
      <c r="D2" s="1"/>
      <c r="F2" s="1"/>
      <c r="G2" s="26">
        <v>2024</v>
      </c>
      <c r="H2" s="27" t="str">
        <f>"("&amp;YEAR(B3)-1911&amp;" 年 "&amp;")"</f>
        <v>(113 年 )</v>
      </c>
      <c r="I2" s="22"/>
      <c r="J2" s="23">
        <v>11</v>
      </c>
      <c r="K2" s="28" t="s">
        <v>33</v>
      </c>
      <c r="L2" s="29"/>
      <c r="M2" s="99"/>
      <c r="N2" s="25"/>
      <c r="O2" s="25"/>
      <c r="P2" s="100"/>
      <c r="Q2" s="25"/>
      <c r="R2" s="116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9" ht="27.5">
      <c r="A3" s="19" t="s">
        <v>1</v>
      </c>
      <c r="B3" s="30">
        <f>DATE($G$2,$J$2,1)</f>
        <v>45597</v>
      </c>
      <c r="C3" s="30">
        <f>B3+1</f>
        <v>45598</v>
      </c>
      <c r="D3" s="30">
        <f t="shared" ref="D3:AB3" si="0">C3+1</f>
        <v>45599</v>
      </c>
      <c r="E3" s="30">
        <f t="shared" si="0"/>
        <v>45600</v>
      </c>
      <c r="F3" s="30">
        <f t="shared" si="0"/>
        <v>45601</v>
      </c>
      <c r="G3" s="30">
        <f t="shared" si="0"/>
        <v>45602</v>
      </c>
      <c r="H3" s="30">
        <f t="shared" si="0"/>
        <v>45603</v>
      </c>
      <c r="I3" s="30">
        <f t="shared" si="0"/>
        <v>45604</v>
      </c>
      <c r="J3" s="30">
        <f t="shared" si="0"/>
        <v>45605</v>
      </c>
      <c r="K3" s="30">
        <f t="shared" si="0"/>
        <v>45606</v>
      </c>
      <c r="L3" s="30">
        <f t="shared" si="0"/>
        <v>45607</v>
      </c>
      <c r="M3" s="30">
        <f t="shared" si="0"/>
        <v>45608</v>
      </c>
      <c r="N3" s="30">
        <f t="shared" si="0"/>
        <v>45609</v>
      </c>
      <c r="O3" s="30">
        <f t="shared" si="0"/>
        <v>45610</v>
      </c>
      <c r="P3" s="30">
        <f t="shared" si="0"/>
        <v>45611</v>
      </c>
      <c r="Q3" s="30">
        <f t="shared" si="0"/>
        <v>45612</v>
      </c>
      <c r="R3" s="30">
        <f t="shared" si="0"/>
        <v>45613</v>
      </c>
      <c r="S3" s="30">
        <f t="shared" si="0"/>
        <v>45614</v>
      </c>
      <c r="T3" s="30">
        <f t="shared" si="0"/>
        <v>45615</v>
      </c>
      <c r="U3" s="30">
        <f t="shared" si="0"/>
        <v>45616</v>
      </c>
      <c r="V3" s="30">
        <f t="shared" si="0"/>
        <v>45617</v>
      </c>
      <c r="W3" s="30">
        <f t="shared" si="0"/>
        <v>45618</v>
      </c>
      <c r="X3" s="30">
        <f t="shared" si="0"/>
        <v>45619</v>
      </c>
      <c r="Y3" s="30">
        <f t="shared" si="0"/>
        <v>45620</v>
      </c>
      <c r="Z3" s="30">
        <f t="shared" si="0"/>
        <v>45621</v>
      </c>
      <c r="AA3" s="30">
        <f t="shared" si="0"/>
        <v>45622</v>
      </c>
      <c r="AB3" s="30">
        <f t="shared" si="0"/>
        <v>45623</v>
      </c>
      <c r="AC3" s="30">
        <f>IFERROR(IF(MONTH(AB3+1)=$J$2,AB3+1,""),"")</f>
        <v>45624</v>
      </c>
      <c r="AD3" s="30">
        <f>IFERROR(IF(MONTH(AC3+1)=$J$2,AC3+1,""),"")</f>
        <v>45625</v>
      </c>
      <c r="AE3" s="30">
        <f>IFERROR(IF(MONTH(AD3+1)=$J$2,AD3+1,""),"")</f>
        <v>45626</v>
      </c>
      <c r="AF3" s="30" t="str">
        <f>IFERROR(IF(MONTH(AE3+1)=$J$2,AE3+1,""),"")</f>
        <v/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5</v>
      </c>
      <c r="C4" s="31">
        <f>IFERROR(IF(WEEKDAY(C3,2)=7,"日",WEEKDAY(C3,2)),"")</f>
        <v>6</v>
      </c>
      <c r="D4" s="31" t="str">
        <f t="shared" si="1"/>
        <v>日</v>
      </c>
      <c r="E4" s="31">
        <f t="shared" si="1"/>
        <v>1</v>
      </c>
      <c r="F4" s="31">
        <f t="shared" si="1"/>
        <v>2</v>
      </c>
      <c r="G4" s="31">
        <f t="shared" si="1"/>
        <v>3</v>
      </c>
      <c r="H4" s="31">
        <f t="shared" si="1"/>
        <v>4</v>
      </c>
      <c r="I4" s="31">
        <f t="shared" si="1"/>
        <v>5</v>
      </c>
      <c r="J4" s="31">
        <f t="shared" si="1"/>
        <v>6</v>
      </c>
      <c r="K4" s="31" t="str">
        <f t="shared" si="1"/>
        <v>日</v>
      </c>
      <c r="L4" s="31">
        <f t="shared" si="1"/>
        <v>1</v>
      </c>
      <c r="M4" s="31">
        <f t="shared" si="1"/>
        <v>2</v>
      </c>
      <c r="N4" s="31">
        <f t="shared" si="1"/>
        <v>3</v>
      </c>
      <c r="O4" s="31">
        <f t="shared" si="1"/>
        <v>4</v>
      </c>
      <c r="P4" s="31">
        <f t="shared" si="1"/>
        <v>5</v>
      </c>
      <c r="Q4" s="31">
        <f t="shared" si="1"/>
        <v>6</v>
      </c>
      <c r="R4" s="112" t="str">
        <f t="shared" si="1"/>
        <v>日</v>
      </c>
      <c r="S4" s="31">
        <f t="shared" si="1"/>
        <v>1</v>
      </c>
      <c r="T4" s="31">
        <f t="shared" si="1"/>
        <v>2</v>
      </c>
      <c r="U4" s="31">
        <f t="shared" si="1"/>
        <v>3</v>
      </c>
      <c r="V4" s="31">
        <f t="shared" si="1"/>
        <v>4</v>
      </c>
      <c r="W4" s="31">
        <f t="shared" si="1"/>
        <v>5</v>
      </c>
      <c r="X4" s="31">
        <f t="shared" si="1"/>
        <v>6</v>
      </c>
      <c r="Y4" s="31" t="str">
        <f t="shared" si="1"/>
        <v>日</v>
      </c>
      <c r="Z4" s="31">
        <f t="shared" si="1"/>
        <v>1</v>
      </c>
      <c r="AA4" s="31">
        <f t="shared" si="1"/>
        <v>2</v>
      </c>
      <c r="AB4" s="31">
        <f t="shared" si="1"/>
        <v>3</v>
      </c>
      <c r="AC4" s="31">
        <f t="shared" si="1"/>
        <v>4</v>
      </c>
      <c r="AD4" s="31">
        <f t="shared" si="1"/>
        <v>5</v>
      </c>
      <c r="AE4" s="31">
        <f t="shared" si="1"/>
        <v>6</v>
      </c>
      <c r="AF4" s="31" t="str">
        <f t="shared" si="1"/>
        <v/>
      </c>
      <c r="AG4" s="420" t="s">
        <v>42</v>
      </c>
      <c r="AH4" s="421"/>
      <c r="AI4" s="421"/>
      <c r="AJ4" s="421"/>
      <c r="AK4" s="421"/>
      <c r="AL4" s="422"/>
    </row>
    <row r="5" spans="1:39" ht="21.5">
      <c r="A5" s="6" t="s">
        <v>9</v>
      </c>
      <c r="B5" s="88" t="s">
        <v>2</v>
      </c>
      <c r="C5" s="88" t="s">
        <v>265</v>
      </c>
      <c r="D5" s="88" t="s">
        <v>265</v>
      </c>
      <c r="E5" s="88" t="s">
        <v>6</v>
      </c>
      <c r="F5" s="88" t="s">
        <v>2</v>
      </c>
      <c r="G5" s="88"/>
      <c r="H5" s="33" t="s">
        <v>2</v>
      </c>
      <c r="I5" s="33" t="s">
        <v>2</v>
      </c>
      <c r="J5" s="88"/>
      <c r="K5" s="88" t="s">
        <v>2</v>
      </c>
      <c r="L5" s="88"/>
      <c r="M5" s="88"/>
      <c r="N5" s="88"/>
      <c r="O5" s="88" t="s">
        <v>6</v>
      </c>
      <c r="P5" s="88" t="s">
        <v>6</v>
      </c>
      <c r="Q5" s="33" t="s">
        <v>2</v>
      </c>
      <c r="R5" s="88" t="s">
        <v>2</v>
      </c>
      <c r="S5" s="33" t="s">
        <v>2</v>
      </c>
      <c r="T5" s="33" t="s">
        <v>2</v>
      </c>
      <c r="U5" s="33" t="s">
        <v>2</v>
      </c>
      <c r="V5" s="33" t="s">
        <v>2</v>
      </c>
      <c r="W5" s="33" t="s">
        <v>2</v>
      </c>
      <c r="X5" s="33" t="s">
        <v>2</v>
      </c>
      <c r="Y5" s="33" t="s">
        <v>2</v>
      </c>
      <c r="Z5" s="33" t="s">
        <v>2</v>
      </c>
      <c r="AA5" s="33" t="s">
        <v>2</v>
      </c>
      <c r="AB5" s="88" t="s">
        <v>7</v>
      </c>
      <c r="AC5" s="88"/>
      <c r="AD5" s="88" t="s">
        <v>7</v>
      </c>
      <c r="AE5" s="88"/>
      <c r="AF5" s="88"/>
      <c r="AG5" s="3">
        <f>(AH5*12)+(AI5*12)+(AK5*8)+(AL5*4)</f>
        <v>140</v>
      </c>
      <c r="AH5" s="3">
        <f>COUNTIF(B5:AF5,"D")</f>
        <v>2</v>
      </c>
      <c r="AI5" s="3">
        <f>COUNTIF(B5:AF5,"N")</f>
        <v>5</v>
      </c>
      <c r="AJ5" s="3">
        <f>COUNTIF(B5:AF5,"OFF")+COUNTIF(B5:AF5,"上課")</f>
        <v>16</v>
      </c>
      <c r="AK5" s="3">
        <f>COUNTIF(B5:AF5,"")-AL5+COUNTIF(B5:AF5,"h3")</f>
        <v>6</v>
      </c>
      <c r="AL5" s="3">
        <f>COUNTIFS($B$4:$AF$4,"6",B5:AF5,"")+COUNTIF(B5:AF5,"h3")</f>
        <v>2</v>
      </c>
      <c r="AM5" s="3">
        <f t="array" ref="AM5">SUMPRODUCT(($B$4:$AF$4=6)*(B5:AF5="off"))</f>
        <v>2</v>
      </c>
    </row>
    <row r="6" spans="1:39" ht="21.5">
      <c r="A6" s="6" t="s">
        <v>45</v>
      </c>
      <c r="B6" s="88" t="s">
        <v>6</v>
      </c>
      <c r="C6" s="88" t="s">
        <v>2</v>
      </c>
      <c r="D6" s="88" t="s">
        <v>2</v>
      </c>
      <c r="E6" s="88" t="s">
        <v>2</v>
      </c>
      <c r="F6" s="88" t="s">
        <v>2</v>
      </c>
      <c r="G6" s="144" t="s">
        <v>2</v>
      </c>
      <c r="H6" s="88" t="s">
        <v>2</v>
      </c>
      <c r="I6" s="88" t="s">
        <v>6</v>
      </c>
      <c r="J6" s="88" t="s">
        <v>265</v>
      </c>
      <c r="K6" s="88" t="s">
        <v>265</v>
      </c>
      <c r="L6" s="88" t="s">
        <v>2</v>
      </c>
      <c r="M6" s="88"/>
      <c r="N6" s="88"/>
      <c r="O6" s="88" t="s">
        <v>7</v>
      </c>
      <c r="P6" s="88" t="s">
        <v>2</v>
      </c>
      <c r="Q6" s="88" t="s">
        <v>266</v>
      </c>
      <c r="R6" s="88" t="s">
        <v>2</v>
      </c>
      <c r="S6" s="88" t="s">
        <v>7</v>
      </c>
      <c r="T6" s="88"/>
      <c r="U6" s="88"/>
      <c r="V6" s="88" t="s">
        <v>2</v>
      </c>
      <c r="W6" s="88" t="s">
        <v>6</v>
      </c>
      <c r="X6" s="88" t="s">
        <v>2</v>
      </c>
      <c r="Y6" s="88" t="s">
        <v>2</v>
      </c>
      <c r="Z6" s="88" t="s">
        <v>2</v>
      </c>
      <c r="AA6" s="144" t="s">
        <v>2</v>
      </c>
      <c r="AB6" s="88"/>
      <c r="AC6" s="88" t="s">
        <v>2</v>
      </c>
      <c r="AD6" s="88" t="s">
        <v>2</v>
      </c>
      <c r="AE6" s="88"/>
      <c r="AF6" s="88"/>
      <c r="AG6" s="3">
        <f>(AH6*12)+(AI6*12)+(AK6*8)+(AL6*4)</f>
        <v>148</v>
      </c>
      <c r="AH6" s="3">
        <f t="shared" ref="AH6:AH12" si="2">COUNTIF(B6:AF6,"D")</f>
        <v>3</v>
      </c>
      <c r="AI6" s="3">
        <f t="shared" ref="AI6:AI12" si="3">COUNTIF(B6:AF6,"N")</f>
        <v>5</v>
      </c>
      <c r="AJ6" s="3">
        <f t="shared" ref="AJ6:AJ12" si="4">COUNTIF(B6:AF6,"OFF")+COUNTIF(B6:AF6,"上課")</f>
        <v>16</v>
      </c>
      <c r="AK6" s="3">
        <f t="shared" ref="AK6:AK12" si="5">COUNTIF(B6:AF6,"")-AL6+COUNTIF(B6:AF6,"h3")</f>
        <v>6</v>
      </c>
      <c r="AL6" s="3">
        <f t="shared" ref="AL6:AL12" si="6">COUNTIFS($B$4:$AF$4,"6",B6:AF6,"")+COUNTIF(B6:AF6,"h3")</f>
        <v>1</v>
      </c>
      <c r="AM6" s="3">
        <f t="array" ref="AM6">SUMPRODUCT(($B$4:$AF$4=6)*(B6:AF6="off"))</f>
        <v>2</v>
      </c>
    </row>
    <row r="7" spans="1:39" ht="21.5">
      <c r="A7" s="6" t="s">
        <v>17</v>
      </c>
      <c r="B7" s="88" t="s">
        <v>7</v>
      </c>
      <c r="C7" s="88"/>
      <c r="D7" s="88" t="s">
        <v>2</v>
      </c>
      <c r="E7" s="88" t="s">
        <v>7</v>
      </c>
      <c r="F7" s="88" t="s">
        <v>7</v>
      </c>
      <c r="G7" s="88" t="s">
        <v>2</v>
      </c>
      <c r="H7" s="33" t="s">
        <v>267</v>
      </c>
      <c r="I7" s="88"/>
      <c r="J7" s="88" t="s">
        <v>266</v>
      </c>
      <c r="K7" s="88" t="s">
        <v>2</v>
      </c>
      <c r="L7" s="88" t="s">
        <v>2</v>
      </c>
      <c r="M7" s="88" t="s">
        <v>2</v>
      </c>
      <c r="N7" s="88" t="s">
        <v>7</v>
      </c>
      <c r="O7" s="33" t="s">
        <v>267</v>
      </c>
      <c r="P7" s="88" t="s">
        <v>2</v>
      </c>
      <c r="Q7" s="33" t="s">
        <v>268</v>
      </c>
      <c r="R7" s="88" t="s">
        <v>2</v>
      </c>
      <c r="S7" s="88" t="s">
        <v>2</v>
      </c>
      <c r="T7" s="88" t="s">
        <v>2</v>
      </c>
      <c r="U7" s="88" t="s">
        <v>2</v>
      </c>
      <c r="V7" s="33" t="s">
        <v>267</v>
      </c>
      <c r="W7" s="88" t="s">
        <v>7</v>
      </c>
      <c r="X7" s="88"/>
      <c r="Y7" s="88" t="s">
        <v>2</v>
      </c>
      <c r="Z7" s="33" t="s">
        <v>268</v>
      </c>
      <c r="AA7" s="33" t="s">
        <v>268</v>
      </c>
      <c r="AB7" s="33" t="s">
        <v>268</v>
      </c>
      <c r="AC7" s="88" t="s">
        <v>7</v>
      </c>
      <c r="AD7" s="33" t="s">
        <v>267</v>
      </c>
      <c r="AE7" s="88" t="s">
        <v>2</v>
      </c>
      <c r="AF7" s="88"/>
      <c r="AG7" s="3">
        <f t="shared" ref="AG7:AG12" si="7">(AH7*12)+(AI7*12)+(AK7*8)+(AL7*4)</f>
        <v>108</v>
      </c>
      <c r="AH7" s="3">
        <f t="shared" si="2"/>
        <v>7</v>
      </c>
      <c r="AI7" s="3">
        <f t="shared" si="3"/>
        <v>0</v>
      </c>
      <c r="AJ7" s="3">
        <f t="shared" si="4"/>
        <v>16</v>
      </c>
      <c r="AK7" s="3">
        <f t="shared" si="5"/>
        <v>2</v>
      </c>
      <c r="AL7" s="3">
        <f t="shared" si="6"/>
        <v>2</v>
      </c>
      <c r="AM7" s="3">
        <f t="array" ref="AM7">SUMPRODUCT(($B$4:$AF$4=6)*(B7:AF7="off"))</f>
        <v>2</v>
      </c>
    </row>
    <row r="8" spans="1:39" ht="21.5">
      <c r="A8" s="6" t="s">
        <v>46</v>
      </c>
      <c r="B8" s="88"/>
      <c r="C8" s="88" t="s">
        <v>266</v>
      </c>
      <c r="D8" s="88" t="s">
        <v>2</v>
      </c>
      <c r="E8" s="88"/>
      <c r="F8" s="88" t="s">
        <v>6</v>
      </c>
      <c r="G8" s="88" t="s">
        <v>6</v>
      </c>
      <c r="H8" s="88" t="s">
        <v>6</v>
      </c>
      <c r="I8" s="88" t="s">
        <v>2</v>
      </c>
      <c r="J8" s="33" t="s">
        <v>2</v>
      </c>
      <c r="K8" s="33" t="s">
        <v>2</v>
      </c>
      <c r="L8" s="33" t="s">
        <v>2</v>
      </c>
      <c r="M8" s="33" t="s">
        <v>2</v>
      </c>
      <c r="N8" s="88" t="s">
        <v>2</v>
      </c>
      <c r="O8" s="88" t="s">
        <v>2</v>
      </c>
      <c r="P8" s="33" t="s">
        <v>220</v>
      </c>
      <c r="Q8" s="33" t="s">
        <v>2</v>
      </c>
      <c r="R8" s="33" t="s">
        <v>220</v>
      </c>
      <c r="S8" s="88" t="s">
        <v>2</v>
      </c>
      <c r="T8" s="88" t="s">
        <v>2</v>
      </c>
      <c r="U8" s="88" t="s">
        <v>7</v>
      </c>
      <c r="V8" s="88"/>
      <c r="W8" s="88"/>
      <c r="X8" s="88" t="s">
        <v>6</v>
      </c>
      <c r="Y8" s="88" t="s">
        <v>6</v>
      </c>
      <c r="Z8" s="88" t="s">
        <v>2</v>
      </c>
      <c r="AA8" s="88"/>
      <c r="AB8" s="88"/>
      <c r="AC8" s="88"/>
      <c r="AD8" s="88"/>
      <c r="AE8" s="88" t="s">
        <v>2</v>
      </c>
      <c r="AF8" s="88"/>
      <c r="AG8" s="3">
        <f t="shared" si="7"/>
        <v>156</v>
      </c>
      <c r="AH8" s="3">
        <f t="shared" si="2"/>
        <v>2</v>
      </c>
      <c r="AI8" s="3">
        <f t="shared" si="3"/>
        <v>5</v>
      </c>
      <c r="AJ8" s="3">
        <f t="shared" si="4"/>
        <v>13</v>
      </c>
      <c r="AK8" s="3">
        <f t="shared" si="5"/>
        <v>9</v>
      </c>
      <c r="AL8" s="3">
        <f t="shared" si="6"/>
        <v>0</v>
      </c>
      <c r="AM8" s="3">
        <f t="array" ref="AM8">SUMPRODUCT(($B$4:$AF$4=6)*(B8:AF8="off"))</f>
        <v>3</v>
      </c>
    </row>
    <row r="9" spans="1:39" ht="21.5">
      <c r="A9" s="6" t="s">
        <v>12</v>
      </c>
      <c r="B9" s="88" t="s">
        <v>2</v>
      </c>
      <c r="C9" s="33" t="s">
        <v>2</v>
      </c>
      <c r="D9" s="33" t="s">
        <v>2</v>
      </c>
      <c r="E9" s="33" t="s">
        <v>2</v>
      </c>
      <c r="F9" s="88"/>
      <c r="G9" s="88"/>
      <c r="H9" s="88"/>
      <c r="I9" s="88" t="s">
        <v>7</v>
      </c>
      <c r="J9" s="88" t="s">
        <v>2</v>
      </c>
      <c r="K9" s="33" t="s">
        <v>2</v>
      </c>
      <c r="L9" s="83" t="s">
        <v>7</v>
      </c>
      <c r="M9" s="88" t="s">
        <v>2</v>
      </c>
      <c r="N9" s="88" t="s">
        <v>2</v>
      </c>
      <c r="O9" s="88" t="s">
        <v>2</v>
      </c>
      <c r="P9" s="88" t="s">
        <v>2</v>
      </c>
      <c r="Q9" s="88" t="s">
        <v>6</v>
      </c>
      <c r="R9" s="88" t="s">
        <v>6</v>
      </c>
      <c r="S9" s="88" t="s">
        <v>6</v>
      </c>
      <c r="T9" s="88" t="s">
        <v>2</v>
      </c>
      <c r="U9" s="88" t="s">
        <v>2</v>
      </c>
      <c r="V9" s="88" t="s">
        <v>2</v>
      </c>
      <c r="W9" s="88"/>
      <c r="X9" s="88"/>
      <c r="Y9" s="88" t="s">
        <v>7</v>
      </c>
      <c r="Z9" s="88"/>
      <c r="AA9" s="88" t="s">
        <v>2</v>
      </c>
      <c r="AB9" s="88" t="s">
        <v>6</v>
      </c>
      <c r="AC9" s="88" t="s">
        <v>6</v>
      </c>
      <c r="AD9" s="88" t="s">
        <v>2</v>
      </c>
      <c r="AE9" s="88" t="s">
        <v>2</v>
      </c>
      <c r="AF9" s="88"/>
      <c r="AG9" s="3">
        <f t="shared" si="7"/>
        <v>148</v>
      </c>
      <c r="AH9" s="3">
        <f t="shared" si="2"/>
        <v>3</v>
      </c>
      <c r="AI9" s="3">
        <f t="shared" si="3"/>
        <v>5</v>
      </c>
      <c r="AJ9" s="3">
        <f t="shared" si="4"/>
        <v>16</v>
      </c>
      <c r="AK9" s="3">
        <f t="shared" si="5"/>
        <v>6</v>
      </c>
      <c r="AL9" s="3">
        <f t="shared" si="6"/>
        <v>1</v>
      </c>
      <c r="AM9" s="3">
        <f t="array" ref="AM9">SUMPRODUCT(($B$4:$AF$4=6)*(B9:AF9="off"))</f>
        <v>3</v>
      </c>
    </row>
    <row r="10" spans="1:39" ht="21.5">
      <c r="A10" s="6" t="s">
        <v>49</v>
      </c>
      <c r="B10" s="88" t="s">
        <v>2</v>
      </c>
      <c r="C10" s="88" t="s">
        <v>2</v>
      </c>
      <c r="D10" s="88" t="s">
        <v>266</v>
      </c>
      <c r="E10" s="88" t="s">
        <v>2</v>
      </c>
      <c r="F10" s="88" t="s">
        <v>2</v>
      </c>
      <c r="G10" s="88" t="s">
        <v>2</v>
      </c>
      <c r="H10" s="33" t="s">
        <v>268</v>
      </c>
      <c r="I10" s="33" t="s">
        <v>268</v>
      </c>
      <c r="J10" s="33" t="s">
        <v>268</v>
      </c>
      <c r="K10" s="33" t="s">
        <v>268</v>
      </c>
      <c r="L10" s="33" t="s">
        <v>268</v>
      </c>
      <c r="M10" s="33" t="s">
        <v>268</v>
      </c>
      <c r="N10" s="33" t="s">
        <v>268</v>
      </c>
      <c r="O10" s="88" t="s">
        <v>2</v>
      </c>
      <c r="P10" s="88"/>
      <c r="Q10" s="88"/>
      <c r="R10" s="88" t="s">
        <v>2</v>
      </c>
      <c r="S10" s="88"/>
      <c r="T10" s="88" t="s">
        <v>6</v>
      </c>
      <c r="U10" s="88" t="s">
        <v>6</v>
      </c>
      <c r="V10" s="88" t="s">
        <v>6</v>
      </c>
      <c r="W10" s="33" t="s">
        <v>2</v>
      </c>
      <c r="X10" s="88" t="s">
        <v>7</v>
      </c>
      <c r="Y10" s="33" t="s">
        <v>2</v>
      </c>
      <c r="Z10" s="88" t="s">
        <v>7</v>
      </c>
      <c r="AA10" s="88"/>
      <c r="AB10" s="88" t="s">
        <v>2</v>
      </c>
      <c r="AC10" s="88" t="s">
        <v>270</v>
      </c>
      <c r="AD10" s="88" t="s">
        <v>6</v>
      </c>
      <c r="AE10" s="88" t="s">
        <v>6</v>
      </c>
      <c r="AF10" s="88"/>
      <c r="AG10" s="3">
        <f t="shared" si="7"/>
        <v>132</v>
      </c>
      <c r="AH10" s="3">
        <f t="shared" si="2"/>
        <v>3</v>
      </c>
      <c r="AI10" s="3">
        <f t="shared" si="3"/>
        <v>5</v>
      </c>
      <c r="AJ10" s="3">
        <f t="shared" si="4"/>
        <v>17</v>
      </c>
      <c r="AK10" s="3">
        <f t="shared" si="5"/>
        <v>4</v>
      </c>
      <c r="AL10" s="3">
        <f t="shared" si="6"/>
        <v>1</v>
      </c>
      <c r="AM10" s="3">
        <f t="array" ref="AM10">SUMPRODUCT(($B$4:$AF$4=6)*(B10:AF10="off"))</f>
        <v>2</v>
      </c>
    </row>
    <row r="11" spans="1:39" ht="21.5">
      <c r="A11" s="6" t="s">
        <v>50</v>
      </c>
      <c r="B11" s="33" t="s">
        <v>2</v>
      </c>
      <c r="C11" s="33" t="s">
        <v>2</v>
      </c>
      <c r="D11" s="88" t="s">
        <v>2</v>
      </c>
      <c r="E11" s="88" t="s">
        <v>2</v>
      </c>
      <c r="F11" s="88" t="s">
        <v>2</v>
      </c>
      <c r="G11" s="88" t="s">
        <v>2</v>
      </c>
      <c r="H11" s="88" t="s">
        <v>7</v>
      </c>
      <c r="I11" s="33"/>
      <c r="J11" s="62"/>
      <c r="K11" s="88" t="s">
        <v>2</v>
      </c>
      <c r="L11" s="88"/>
      <c r="M11" s="88" t="s">
        <v>7</v>
      </c>
      <c r="N11" s="88" t="s">
        <v>2</v>
      </c>
      <c r="O11" s="88"/>
      <c r="P11" s="88" t="s">
        <v>7</v>
      </c>
      <c r="Q11" s="33" t="s">
        <v>2</v>
      </c>
      <c r="R11" s="88" t="s">
        <v>7</v>
      </c>
      <c r="S11" s="88"/>
      <c r="T11" s="88" t="s">
        <v>7</v>
      </c>
      <c r="U11" s="88" t="s">
        <v>2</v>
      </c>
      <c r="V11" s="88" t="s">
        <v>2</v>
      </c>
      <c r="W11" s="33" t="s">
        <v>268</v>
      </c>
      <c r="X11" s="33" t="s">
        <v>2</v>
      </c>
      <c r="Y11" s="33" t="s">
        <v>2</v>
      </c>
      <c r="Z11" s="88"/>
      <c r="AA11" s="88" t="s">
        <v>7</v>
      </c>
      <c r="AB11" s="88" t="s">
        <v>2</v>
      </c>
      <c r="AC11" s="88" t="s">
        <v>2</v>
      </c>
      <c r="AD11" s="88" t="s">
        <v>270</v>
      </c>
      <c r="AE11" s="88" t="s">
        <v>7</v>
      </c>
      <c r="AF11" s="88"/>
      <c r="AG11" s="3">
        <f t="shared" si="7"/>
        <v>136</v>
      </c>
      <c r="AH11" s="3">
        <f t="shared" si="2"/>
        <v>7</v>
      </c>
      <c r="AI11" s="3">
        <f t="shared" si="3"/>
        <v>0</v>
      </c>
      <c r="AJ11" s="3">
        <f t="shared" si="4"/>
        <v>16</v>
      </c>
      <c r="AK11" s="3">
        <f t="shared" si="5"/>
        <v>6</v>
      </c>
      <c r="AL11" s="3">
        <f t="shared" si="6"/>
        <v>1</v>
      </c>
      <c r="AM11" s="3">
        <f t="array" ref="AM11">SUMPRODUCT(($B$4:$AF$4=6)*(B11:AF11="off"))</f>
        <v>3</v>
      </c>
    </row>
    <row r="12" spans="1:39" ht="21.5">
      <c r="A12" s="6" t="s">
        <v>51</v>
      </c>
      <c r="B12" s="88"/>
      <c r="C12" s="88"/>
      <c r="D12" s="88" t="s">
        <v>2</v>
      </c>
      <c r="E12" s="33" t="s">
        <v>220</v>
      </c>
      <c r="F12" s="88"/>
      <c r="G12" s="88" t="s">
        <v>7</v>
      </c>
      <c r="H12" s="88" t="s">
        <v>2</v>
      </c>
      <c r="I12" s="83" t="s">
        <v>2</v>
      </c>
      <c r="J12" s="88" t="s">
        <v>2</v>
      </c>
      <c r="K12" s="88" t="s">
        <v>7</v>
      </c>
      <c r="L12" s="88" t="s">
        <v>6</v>
      </c>
      <c r="M12" s="88" t="s">
        <v>6</v>
      </c>
      <c r="N12" s="88" t="s">
        <v>6</v>
      </c>
      <c r="O12" s="88" t="s">
        <v>2</v>
      </c>
      <c r="P12" s="88"/>
      <c r="Q12" s="88"/>
      <c r="R12" s="88" t="s">
        <v>2</v>
      </c>
      <c r="S12" s="88" t="s">
        <v>2</v>
      </c>
      <c r="T12" s="33" t="s">
        <v>220</v>
      </c>
      <c r="U12" s="88"/>
      <c r="V12" s="88" t="s">
        <v>7</v>
      </c>
      <c r="W12" s="33" t="s">
        <v>2</v>
      </c>
      <c r="X12" s="33" t="s">
        <v>2</v>
      </c>
      <c r="Y12" s="33" t="s">
        <v>2</v>
      </c>
      <c r="Z12" s="88" t="s">
        <v>6</v>
      </c>
      <c r="AA12" s="88" t="s">
        <v>6</v>
      </c>
      <c r="AB12" s="33" t="s">
        <v>2</v>
      </c>
      <c r="AC12" s="33" t="s">
        <v>2</v>
      </c>
      <c r="AD12" s="33" t="s">
        <v>2</v>
      </c>
      <c r="AE12" s="33" t="s">
        <v>2</v>
      </c>
      <c r="AF12" s="88"/>
      <c r="AG12" s="3">
        <f t="shared" si="7"/>
        <v>144</v>
      </c>
      <c r="AH12" s="3">
        <f t="shared" si="2"/>
        <v>3</v>
      </c>
      <c r="AI12" s="3">
        <f t="shared" si="3"/>
        <v>5</v>
      </c>
      <c r="AJ12" s="3">
        <f t="shared" si="4"/>
        <v>14</v>
      </c>
      <c r="AK12" s="3">
        <f t="shared" si="5"/>
        <v>5</v>
      </c>
      <c r="AL12" s="3">
        <f t="shared" si="6"/>
        <v>2</v>
      </c>
      <c r="AM12" s="3">
        <f t="array" ref="AM12">SUMPRODUCT(($B$4:$AF$4=6)*(B12:AF12="off"))</f>
        <v>3</v>
      </c>
    </row>
    <row r="13" spans="1:39" ht="21.5">
      <c r="A13" s="93" t="s">
        <v>249</v>
      </c>
      <c r="B13" s="115">
        <f t="shared" ref="B13:Q13" si="8">IF(B14="國",2,IF(B4="","",IF(B4="日",2,IF(B4=6,4,IF(B4&lt;6,4)))))</f>
        <v>4</v>
      </c>
      <c r="C13" s="115">
        <f t="shared" si="8"/>
        <v>4</v>
      </c>
      <c r="D13" s="115">
        <f t="shared" si="8"/>
        <v>2</v>
      </c>
      <c r="E13" s="115">
        <f t="shared" si="8"/>
        <v>4</v>
      </c>
      <c r="F13" s="115">
        <f t="shared" si="8"/>
        <v>4</v>
      </c>
      <c r="G13" s="115">
        <f t="shared" si="8"/>
        <v>4</v>
      </c>
      <c r="H13" s="115">
        <f t="shared" si="8"/>
        <v>4</v>
      </c>
      <c r="I13" s="115">
        <f t="shared" si="8"/>
        <v>4</v>
      </c>
      <c r="J13" s="115">
        <f t="shared" si="8"/>
        <v>4</v>
      </c>
      <c r="K13" s="115">
        <f t="shared" si="8"/>
        <v>2</v>
      </c>
      <c r="L13" s="115">
        <f t="shared" si="8"/>
        <v>4</v>
      </c>
      <c r="M13" s="115">
        <f t="shared" si="8"/>
        <v>4</v>
      </c>
      <c r="N13" s="115">
        <f t="shared" si="8"/>
        <v>4</v>
      </c>
      <c r="O13" s="115">
        <f>IF(O14="國",2,IF(O4="","",IF(O4="日",2,IF(O4=6,4,IF(O4&lt;6,4)))))</f>
        <v>4</v>
      </c>
      <c r="P13" s="115">
        <f t="shared" si="8"/>
        <v>4</v>
      </c>
      <c r="Q13" s="115">
        <f t="shared" si="8"/>
        <v>4</v>
      </c>
      <c r="R13" s="115">
        <f>IF(R14="國",2,IF(R4="","",IF(R4="日",2,IF(R4=6,4,IF(R4&lt;6,4)))))</f>
        <v>2</v>
      </c>
      <c r="S13" s="115">
        <f t="shared" ref="S13:AF13" si="9">IF(S14="國",2,IF(S4="","",IF(S4="日",2,IF(S4=6,4,IF(S4&lt;6,4)))))</f>
        <v>4</v>
      </c>
      <c r="T13" s="115">
        <f t="shared" si="9"/>
        <v>4</v>
      </c>
      <c r="U13" s="115">
        <f t="shared" si="9"/>
        <v>4</v>
      </c>
      <c r="V13" s="115">
        <f t="shared" si="9"/>
        <v>4</v>
      </c>
      <c r="W13" s="115">
        <f t="shared" si="9"/>
        <v>4</v>
      </c>
      <c r="X13" s="115">
        <f t="shared" si="9"/>
        <v>4</v>
      </c>
      <c r="Y13" s="115">
        <f t="shared" si="9"/>
        <v>2</v>
      </c>
      <c r="Z13" s="115">
        <f t="shared" si="9"/>
        <v>4</v>
      </c>
      <c r="AA13" s="115">
        <f t="shared" si="9"/>
        <v>4</v>
      </c>
      <c r="AB13" s="115">
        <f t="shared" si="9"/>
        <v>4</v>
      </c>
      <c r="AC13" s="115">
        <f t="shared" si="9"/>
        <v>4</v>
      </c>
      <c r="AD13" s="115">
        <f t="shared" si="9"/>
        <v>4</v>
      </c>
      <c r="AE13" s="115">
        <f t="shared" si="9"/>
        <v>4</v>
      </c>
      <c r="AF13" s="115" t="str">
        <f t="shared" si="9"/>
        <v/>
      </c>
      <c r="AG13" s="12">
        <f>SUM(B13:AF13)</f>
        <v>112</v>
      </c>
      <c r="AH13" s="12"/>
      <c r="AI13" s="12"/>
      <c r="AJ13" s="12"/>
      <c r="AK13" s="12"/>
      <c r="AL13" s="12"/>
    </row>
    <row r="14" spans="1:39" ht="20.5">
      <c r="A14" s="93" t="s">
        <v>251</v>
      </c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39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3" t="s">
        <v>173</v>
      </c>
      <c r="D16" s="424"/>
      <c r="E16" s="425" t="s">
        <v>26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26"/>
      <c r="E17" s="425" t="s">
        <v>27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3 ... 6</v>
      </c>
      <c r="T17" s="44"/>
      <c r="U17" s="45"/>
      <c r="W17" s="13"/>
      <c r="X17" s="8" t="s">
        <v>20</v>
      </c>
      <c r="Y17" s="20" t="s">
        <v>3</v>
      </c>
      <c r="Z17" s="118">
        <v>3</v>
      </c>
      <c r="AA17" s="20" t="s">
        <v>5</v>
      </c>
      <c r="AB17" s="121">
        <v>5</v>
      </c>
      <c r="AC17" s="147">
        <v>4</v>
      </c>
      <c r="AD17" s="129">
        <v>4</v>
      </c>
      <c r="AE17" s="20">
        <f>SUM(Z17+AB17)</f>
        <v>8</v>
      </c>
      <c r="AF17" s="73">
        <v>16</v>
      </c>
      <c r="AG17" s="106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26"/>
      <c r="E18" s="425" t="s">
        <v>17</v>
      </c>
      <c r="F18" s="425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3 ... 6</v>
      </c>
      <c r="T18" s="49"/>
      <c r="U18" s="45"/>
      <c r="X18" s="8" t="s">
        <v>21</v>
      </c>
      <c r="Y18" s="20" t="s">
        <v>3</v>
      </c>
      <c r="Z18" s="118">
        <v>3</v>
      </c>
      <c r="AA18" s="20" t="s">
        <v>5</v>
      </c>
      <c r="AB18" s="121">
        <v>5</v>
      </c>
      <c r="AC18" s="125">
        <v>4</v>
      </c>
      <c r="AD18" s="130">
        <v>4</v>
      </c>
      <c r="AE18" s="20">
        <f t="shared" ref="AE18:AE24" si="10">SUM(Z18+AB18)</f>
        <v>8</v>
      </c>
      <c r="AF18" s="73">
        <v>16</v>
      </c>
      <c r="AG18" s="106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26"/>
      <c r="E19" s="425" t="s">
        <v>16</v>
      </c>
      <c r="F19" s="425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16 ... 0</v>
      </c>
      <c r="T19" s="51"/>
      <c r="U19" s="52"/>
      <c r="X19" s="8" t="s">
        <v>22</v>
      </c>
      <c r="Y19" s="20" t="s">
        <v>3</v>
      </c>
      <c r="Z19" s="119">
        <v>7</v>
      </c>
      <c r="AA19" s="82" t="s">
        <v>5</v>
      </c>
      <c r="AB19" s="121">
        <v>0</v>
      </c>
      <c r="AC19" s="126">
        <v>4</v>
      </c>
      <c r="AD19" s="131">
        <v>3</v>
      </c>
      <c r="AE19" s="20">
        <f t="shared" si="10"/>
        <v>7</v>
      </c>
      <c r="AF19" s="73">
        <v>16</v>
      </c>
      <c r="AG19" s="106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26"/>
      <c r="E20" s="425" t="s">
        <v>18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24</v>
      </c>
      <c r="P20" s="13" t="s">
        <v>77</v>
      </c>
      <c r="Q20" s="13" t="s">
        <v>78</v>
      </c>
      <c r="R20" s="37">
        <f>COUNTIF(B4:AF4,"6")*((COUNTA(B16:B23))-J16)</f>
        <v>20</v>
      </c>
      <c r="S20" s="13" t="s">
        <v>79</v>
      </c>
      <c r="T20" s="53">
        <f>O20+R20</f>
        <v>44</v>
      </c>
      <c r="U20" s="13" t="s">
        <v>32</v>
      </c>
      <c r="V20" s="13"/>
      <c r="W20" s="54">
        <f>T20+T22+T21</f>
        <v>128</v>
      </c>
      <c r="X20" s="8" t="s">
        <v>3</v>
      </c>
      <c r="Y20" s="20" t="s">
        <v>3</v>
      </c>
      <c r="Z20" s="119">
        <v>2</v>
      </c>
      <c r="AA20" s="20" t="s">
        <v>5</v>
      </c>
      <c r="AB20" s="122">
        <v>5</v>
      </c>
      <c r="AC20" s="126">
        <v>4</v>
      </c>
      <c r="AD20" s="131">
        <v>3</v>
      </c>
      <c r="AE20" s="20">
        <f t="shared" si="10"/>
        <v>7</v>
      </c>
      <c r="AF20" s="73">
        <v>16</v>
      </c>
      <c r="AG20" s="106">
        <v>2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26"/>
      <c r="E21" s="425" t="s">
        <v>17</v>
      </c>
      <c r="F21" s="425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0</v>
      </c>
      <c r="R21" s="102" t="s">
        <v>233</v>
      </c>
      <c r="S21" s="13"/>
      <c r="T21" s="37">
        <f>((COUNTA(B16:B23))-J18)*Q21</f>
        <v>0</v>
      </c>
      <c r="U21" s="13"/>
      <c r="V21" s="13"/>
      <c r="W21" s="13"/>
      <c r="X21" s="8" t="s">
        <v>23</v>
      </c>
      <c r="Y21" s="20" t="s">
        <v>3</v>
      </c>
      <c r="Z21" s="118">
        <v>3</v>
      </c>
      <c r="AA21" s="20" t="s">
        <v>5</v>
      </c>
      <c r="AB21" s="121">
        <v>5</v>
      </c>
      <c r="AC21" s="125">
        <v>4</v>
      </c>
      <c r="AD21" s="146">
        <v>4</v>
      </c>
      <c r="AE21" s="20">
        <f t="shared" si="10"/>
        <v>8</v>
      </c>
      <c r="AF21" s="149">
        <v>16</v>
      </c>
      <c r="AG21" s="107">
        <v>3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26"/>
      <c r="E22" s="425" t="s">
        <v>13</v>
      </c>
      <c r="F22" s="425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84</v>
      </c>
      <c r="U22" s="13"/>
      <c r="V22" s="13"/>
      <c r="W22" s="13"/>
      <c r="X22" s="8" t="s">
        <v>24</v>
      </c>
      <c r="Y22" s="20" t="s">
        <v>3</v>
      </c>
      <c r="Z22" s="119">
        <v>3</v>
      </c>
      <c r="AA22" s="20" t="s">
        <v>5</v>
      </c>
      <c r="AB22" s="121">
        <v>5</v>
      </c>
      <c r="AC22" s="126">
        <v>4</v>
      </c>
      <c r="AD22" s="130">
        <v>4</v>
      </c>
      <c r="AE22" s="20">
        <f t="shared" si="10"/>
        <v>8</v>
      </c>
      <c r="AF22" s="73">
        <v>16</v>
      </c>
      <c r="AG22" s="106">
        <v>3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>
        <v>8</v>
      </c>
      <c r="C23" s="424" t="s">
        <v>30</v>
      </c>
      <c r="D23" s="426"/>
      <c r="E23" s="425" t="s">
        <v>46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2 ... 4</v>
      </c>
      <c r="U23" s="431"/>
      <c r="V23" s="432"/>
      <c r="X23" s="8" t="s">
        <v>25</v>
      </c>
      <c r="Y23" s="20" t="s">
        <v>3</v>
      </c>
      <c r="Z23" s="118">
        <v>7</v>
      </c>
      <c r="AA23" s="82" t="s">
        <v>5</v>
      </c>
      <c r="AB23" s="122">
        <v>0</v>
      </c>
      <c r="AC23" s="125">
        <v>3</v>
      </c>
      <c r="AD23" s="131">
        <v>4</v>
      </c>
      <c r="AE23" s="20">
        <f t="shared" si="10"/>
        <v>7</v>
      </c>
      <c r="AF23" s="73">
        <v>16</v>
      </c>
      <c r="AG23" s="106">
        <v>3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2</v>
      </c>
      <c r="AA24" s="20" t="s">
        <v>5</v>
      </c>
      <c r="AB24" s="122">
        <v>5</v>
      </c>
      <c r="AC24" s="128">
        <v>3</v>
      </c>
      <c r="AD24" s="145">
        <v>4</v>
      </c>
      <c r="AE24" s="20">
        <f t="shared" si="10"/>
        <v>7</v>
      </c>
      <c r="AF24" s="73">
        <v>16</v>
      </c>
      <c r="AG24" s="108">
        <v>3</v>
      </c>
      <c r="AH24" t="s">
        <v>214</v>
      </c>
    </row>
    <row r="25" spans="1:39">
      <c r="Z25">
        <f>SUM(Z17:Z24)</f>
        <v>30</v>
      </c>
      <c r="AB25">
        <f>SUM(AB17:AB24)</f>
        <v>30</v>
      </c>
      <c r="AC25">
        <f>SUM(AC17:AC24)</f>
        <v>30</v>
      </c>
      <c r="AD25">
        <f>SUM(AD17:AD24)</f>
        <v>30</v>
      </c>
      <c r="AH25" t="s">
        <v>215</v>
      </c>
    </row>
    <row r="26" spans="1:39" ht="27.75" customHeight="1">
      <c r="L26" s="59" t="s">
        <v>248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X27" s="110"/>
      <c r="Y27" s="429" t="s">
        <v>253</v>
      </c>
      <c r="Z27" s="429"/>
      <c r="AA27" s="429"/>
      <c r="AB27" s="429"/>
      <c r="AC27" s="429"/>
    </row>
    <row r="28" spans="1:39" ht="27.5">
      <c r="X28" s="135"/>
      <c r="Y28" s="429" t="s">
        <v>257</v>
      </c>
      <c r="Z28" s="429"/>
      <c r="AA28" s="429"/>
      <c r="AB28" s="429"/>
      <c r="AC28" s="429"/>
    </row>
    <row r="52" spans="29:29">
      <c r="AC52">
        <v>3</v>
      </c>
    </row>
  </sheetData>
  <mergeCells count="23">
    <mergeCell ref="Y28:AC28"/>
    <mergeCell ref="T23:V23"/>
    <mergeCell ref="Y26:AC26"/>
    <mergeCell ref="Y27:AC27"/>
    <mergeCell ref="C21:D21"/>
    <mergeCell ref="E22:F22"/>
    <mergeCell ref="C22:D22"/>
    <mergeCell ref="E23:F23"/>
    <mergeCell ref="C23:D23"/>
    <mergeCell ref="E21:F21"/>
    <mergeCell ref="C18:D18"/>
    <mergeCell ref="E19:F19"/>
    <mergeCell ref="C19:D19"/>
    <mergeCell ref="E20:F20"/>
    <mergeCell ref="C20:D20"/>
    <mergeCell ref="E18:F18"/>
    <mergeCell ref="A1:B2"/>
    <mergeCell ref="AG4:AL4"/>
    <mergeCell ref="B15:C15"/>
    <mergeCell ref="C16:D16"/>
    <mergeCell ref="E17:F17"/>
    <mergeCell ref="C17:D17"/>
    <mergeCell ref="E16:F16"/>
  </mergeCells>
  <phoneticPr fontId="11" type="noConversion"/>
  <conditionalFormatting sqref="AG3">
    <cfRule type="expression" dxfId="2679" priority="46" stopIfTrue="1">
      <formula>WEEKDAY(AG$3)=7</formula>
    </cfRule>
    <cfRule type="expression" dxfId="2678" priority="47" stopIfTrue="1">
      <formula>WEEKDAY(AG$3)=1</formula>
    </cfRule>
    <cfRule type="expression" dxfId="2677" priority="48" stopIfTrue="1">
      <formula>WEEKDAY(AG$3)=7</formula>
    </cfRule>
    <cfRule type="expression" dxfId="2676" priority="49" stopIfTrue="1">
      <formula>WEEKDAY(AG$3)=1</formula>
    </cfRule>
  </conditionalFormatting>
  <conditionalFormatting sqref="B4:AF4">
    <cfRule type="expression" dxfId="2675" priority="44">
      <formula>WEEKDAY(B$3,2)=7</formula>
    </cfRule>
    <cfRule type="expression" dxfId="2674" priority="45">
      <formula>WEEKDAY(B$3,2)=6</formula>
    </cfRule>
  </conditionalFormatting>
  <conditionalFormatting sqref="B4:AF4">
    <cfRule type="expression" dxfId="2673" priority="25" stopIfTrue="1">
      <formula>ISNUMBER(SEARCH("國", B$14))</formula>
    </cfRule>
  </conditionalFormatting>
  <conditionalFormatting sqref="Z17:Z24">
    <cfRule type="expression" dxfId="2672" priority="24" stopIfTrue="1">
      <formula>COUNTIF($B5:$AF5,"D")&lt;&gt;$Z17</formula>
    </cfRule>
  </conditionalFormatting>
  <conditionalFormatting sqref="AB17:AB24">
    <cfRule type="expression" dxfId="2671" priority="23" stopIfTrue="1">
      <formula>COUNTIF($B5:$AF5,"N")&lt;&gt;$AB17</formula>
    </cfRule>
  </conditionalFormatting>
  <conditionalFormatting sqref="B13:AF13">
    <cfRule type="expression" dxfId="2670" priority="21" stopIfTrue="1">
      <formula>8-COUNTIF(B$5:B$12,"off")&lt;&gt;B$13</formula>
    </cfRule>
  </conditionalFormatting>
  <conditionalFormatting sqref="B5:AF12">
    <cfRule type="expression" dxfId="2669" priority="15">
      <formula>WEEKDAY(B$3,2)=7</formula>
    </cfRule>
    <cfRule type="expression" dxfId="2668" priority="16">
      <formula>WEEKDAY(B$3,2)=6</formula>
    </cfRule>
  </conditionalFormatting>
  <conditionalFormatting sqref="B5:AF5">
    <cfRule type="expression" dxfId="2667" priority="14">
      <formula>SEARCH("X", $A$5) &gt; 0</formula>
    </cfRule>
  </conditionalFormatting>
  <conditionalFormatting sqref="B6:AF6">
    <cfRule type="expression" dxfId="2666" priority="13">
      <formula>SEARCH("X", $A$6) &gt; 0</formula>
    </cfRule>
  </conditionalFormatting>
  <conditionalFormatting sqref="B7:AF7">
    <cfRule type="expression" dxfId="2665" priority="12">
      <formula>SEARCH("X", $A$7) &gt; 0</formula>
    </cfRule>
  </conditionalFormatting>
  <conditionalFormatting sqref="B8:AF8">
    <cfRule type="expression" dxfId="2664" priority="11">
      <formula>SEARCH("X", $A$8) &gt; 0</formula>
    </cfRule>
  </conditionalFormatting>
  <conditionalFormatting sqref="B9:AF9">
    <cfRule type="expression" dxfId="2663" priority="10">
      <formula>SEARCH("X", $A$9) &gt; 0</formula>
    </cfRule>
  </conditionalFormatting>
  <conditionalFormatting sqref="B10:AF10">
    <cfRule type="expression" dxfId="2662" priority="9">
      <formula>SEARCH("X", $A$10) &gt; 0</formula>
    </cfRule>
  </conditionalFormatting>
  <conditionalFormatting sqref="B11:AF11">
    <cfRule type="expression" dxfId="2661" priority="8">
      <formula>SEARCH("X", $A$11) &gt; 0</formula>
    </cfRule>
  </conditionalFormatting>
  <conditionalFormatting sqref="B12:AF12">
    <cfRule type="expression" dxfId="2660" priority="7">
      <formula>SEARCH("X", $A$12) &gt; 0</formula>
    </cfRule>
  </conditionalFormatting>
  <conditionalFormatting sqref="Q7">
    <cfRule type="expression" dxfId="2659" priority="6">
      <formula>SEARCH("X", $A$10) &gt; 0</formula>
    </cfRule>
  </conditionalFormatting>
  <conditionalFormatting sqref="Z7">
    <cfRule type="expression" dxfId="2658" priority="5">
      <formula>SEARCH("X", $A$10) &gt; 0</formula>
    </cfRule>
  </conditionalFormatting>
  <conditionalFormatting sqref="AA7">
    <cfRule type="expression" dxfId="2657" priority="4">
      <formula>SEARCH("X", $A$10) &gt; 0</formula>
    </cfRule>
  </conditionalFormatting>
  <conditionalFormatting sqref="AB7">
    <cfRule type="expression" dxfId="2656" priority="3">
      <formula>SEARCH("X", $A$10) &gt; 0</formula>
    </cfRule>
  </conditionalFormatting>
  <conditionalFormatting sqref="C8">
    <cfRule type="expression" dxfId="2655" priority="2">
      <formula>SEARCH("X", $A$6) &gt; 0</formula>
    </cfRule>
  </conditionalFormatting>
  <conditionalFormatting sqref="C8">
    <cfRule type="expression" dxfId="2654" priority="1">
      <formula>SEARCH("X", $A$6) &gt; 0</formula>
    </cfRule>
  </conditionalFormatting>
  <dataValidations count="13">
    <dataValidation type="list" allowBlank="1" showInputMessage="1" sqref="B5:AF12" xr:uid="{8A0A69C8-029B-4C06-86D3-C6F6C7A5FFF3}">
      <formula1>$AH$14:$AH$24</formula1>
    </dataValidation>
    <dataValidation type="list" allowBlank="1" showInputMessage="1" showErrorMessage="1" sqref="A10" xr:uid="{1396F229-0363-4B75-8434-7824BBFEF7FC}">
      <formula1>$AI$21:$AJ$21</formula1>
    </dataValidation>
    <dataValidation type="list" allowBlank="1" showInputMessage="1" showErrorMessage="1" sqref="A9" xr:uid="{F2E147EA-0150-459B-B767-4388AA244109}">
      <formula1>$AI$20:$AJ$20</formula1>
    </dataValidation>
    <dataValidation type="list" allowBlank="1" showInputMessage="1" showErrorMessage="1" sqref="A6" xr:uid="{7CC6E283-051E-401B-8FE0-DDA2ADC80498}">
      <formula1>$AI$17:$AJ$17</formula1>
    </dataValidation>
    <dataValidation type="list" allowBlank="1" showInputMessage="1" showErrorMessage="1" sqref="A8" xr:uid="{E896A10A-1CA1-4DD6-98FB-05E3156A28C1}">
      <formula1>$AI$19:$AJ$19</formula1>
    </dataValidation>
    <dataValidation type="list" allowBlank="1" showInputMessage="1" showErrorMessage="1" sqref="A7" xr:uid="{58BEE330-7C8C-4C21-A144-73D7A11E1BD8}">
      <formula1>$AI$18:$AJ$18</formula1>
    </dataValidation>
    <dataValidation type="list" allowBlank="1" showInputMessage="1" showErrorMessage="1" sqref="A5" xr:uid="{D312D6FF-632D-494C-A6C1-FA8EC2327334}">
      <formula1>$AI$16:$AJ$16</formula1>
    </dataValidation>
    <dataValidation type="list" allowBlank="1" showInputMessage="1" showErrorMessage="1" sqref="A11" xr:uid="{D6E7ED14-79A4-4997-834D-15E2A797F98E}">
      <formula1>$AI$22:$AJ$22</formula1>
    </dataValidation>
    <dataValidation type="list" allowBlank="1" showInputMessage="1" showErrorMessage="1" sqref="A12" xr:uid="{2BA1AF30-3D49-4221-9DA7-7AD91B94571B}">
      <formula1>$AI$23:$AJ$23</formula1>
    </dataValidation>
    <dataValidation type="list" allowBlank="1" showInputMessage="1" sqref="A14" xr:uid="{539782F9-B5EE-4A87-80C5-6D0028F005CC}">
      <formula1>$AI$23:$AJ$23</formula1>
    </dataValidation>
    <dataValidation type="list" allowBlank="1" showInputMessage="1" showErrorMessage="1" sqref="E16:F23" xr:uid="{9D9E4734-D7BF-4663-A591-FAF109EFAEB9}">
      <formula1>$A$5:$A$12</formula1>
    </dataValidation>
    <dataValidation type="list" allowBlank="1" showInputMessage="1" sqref="A13" xr:uid="{FDF10A7B-3D30-4579-BCE5-C10441533C04}">
      <formula1>$AK$23:$AL$23</formula1>
    </dataValidation>
    <dataValidation type="list" allowBlank="1" showInputMessage="1" showErrorMessage="1" sqref="C16:D23" xr:uid="{F7E63A99-67EF-457E-8790-67E210F76C91}">
      <formula1>$AM$17:$AM$20</formula1>
    </dataValidation>
  </dataValidations>
  <pageMargins left="0.7" right="0.7" top="0.75" bottom="0.75" header="0.3" footer="0.3"/>
  <pageSetup paperSize="9" scale="3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D751-7F15-4C8E-830B-0983832A9EB3}">
  <sheetPr codeName="工作表7">
    <pageSetUpPr fitToPage="1"/>
  </sheetPr>
  <dimension ref="A1:AM29"/>
  <sheetViews>
    <sheetView zoomScale="55" zoomScaleNormal="55" workbookViewId="0">
      <selection activeCell="H34" sqref="H34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419"/>
      <c r="C2" s="1"/>
      <c r="D2" s="1"/>
      <c r="F2" s="1"/>
      <c r="G2" s="26">
        <v>2024</v>
      </c>
      <c r="H2" s="27" t="str">
        <f>"("&amp;YEAR(B3)-1911&amp;" 年 "&amp;")"</f>
        <v>(113 年 )</v>
      </c>
      <c r="I2" s="22"/>
      <c r="J2" s="23">
        <v>12</v>
      </c>
      <c r="K2" s="28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9" ht="27.5">
      <c r="A3" s="19" t="s">
        <v>1</v>
      </c>
      <c r="B3" s="30">
        <f>DATE($G$2,$J$2,1)</f>
        <v>45627</v>
      </c>
      <c r="C3" s="30">
        <f>B3+1</f>
        <v>45628</v>
      </c>
      <c r="D3" s="30">
        <f t="shared" ref="D3:AB3" si="0">C3+1</f>
        <v>45629</v>
      </c>
      <c r="E3" s="30">
        <f t="shared" si="0"/>
        <v>45630</v>
      </c>
      <c r="F3" s="30">
        <f t="shared" si="0"/>
        <v>45631</v>
      </c>
      <c r="G3" s="30">
        <f t="shared" si="0"/>
        <v>45632</v>
      </c>
      <c r="H3" s="30">
        <f t="shared" si="0"/>
        <v>45633</v>
      </c>
      <c r="I3" s="30">
        <f t="shared" si="0"/>
        <v>45634</v>
      </c>
      <c r="J3" s="30">
        <f t="shared" si="0"/>
        <v>45635</v>
      </c>
      <c r="K3" s="30">
        <f t="shared" si="0"/>
        <v>45636</v>
      </c>
      <c r="L3" s="30">
        <f t="shared" si="0"/>
        <v>45637</v>
      </c>
      <c r="M3" s="30">
        <f t="shared" si="0"/>
        <v>45638</v>
      </c>
      <c r="N3" s="30">
        <f t="shared" si="0"/>
        <v>45639</v>
      </c>
      <c r="O3" s="30">
        <f t="shared" si="0"/>
        <v>45640</v>
      </c>
      <c r="P3" s="30">
        <f t="shared" si="0"/>
        <v>45641</v>
      </c>
      <c r="Q3" s="30">
        <f t="shared" si="0"/>
        <v>45642</v>
      </c>
      <c r="R3" s="30">
        <f t="shared" si="0"/>
        <v>45643</v>
      </c>
      <c r="S3" s="30">
        <f t="shared" si="0"/>
        <v>45644</v>
      </c>
      <c r="T3" s="30">
        <f t="shared" si="0"/>
        <v>45645</v>
      </c>
      <c r="U3" s="30">
        <f t="shared" si="0"/>
        <v>45646</v>
      </c>
      <c r="V3" s="30">
        <f t="shared" si="0"/>
        <v>45647</v>
      </c>
      <c r="W3" s="30">
        <f t="shared" si="0"/>
        <v>45648</v>
      </c>
      <c r="X3" s="30">
        <f t="shared" si="0"/>
        <v>45649</v>
      </c>
      <c r="Y3" s="30">
        <f t="shared" si="0"/>
        <v>45650</v>
      </c>
      <c r="Z3" s="30">
        <f t="shared" si="0"/>
        <v>45651</v>
      </c>
      <c r="AA3" s="30">
        <f t="shared" si="0"/>
        <v>45652</v>
      </c>
      <c r="AB3" s="30">
        <f t="shared" si="0"/>
        <v>45653</v>
      </c>
      <c r="AC3" s="30">
        <f>IFERROR(IF(MONTH(AB3+1)=$J$2,AB3+1,""),"")</f>
        <v>45654</v>
      </c>
      <c r="AD3" s="30">
        <f>IFERROR(IF(MONTH(AC3+1)=$J$2,AC3+1,""),"")</f>
        <v>45655</v>
      </c>
      <c r="AE3" s="30">
        <f>IFERROR(IF(MONTH(AD3+1)=$J$2,AD3+1,""),"")</f>
        <v>45656</v>
      </c>
      <c r="AF3" s="30">
        <f>IFERROR(IF(MONTH(AE3+1)=$J$2,AE3+1,""),"")</f>
        <v>45657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39" ht="27.5">
      <c r="A4" s="19" t="s">
        <v>41</v>
      </c>
      <c r="B4" s="31" t="str">
        <f t="shared" ref="B4:AF4" si="1">IFERROR(IF(WEEKDAY(B3,2)=7,"日",WEEKDAY(B3,2)),"")</f>
        <v>日</v>
      </c>
      <c r="C4" s="31">
        <f>IFERROR(IF(WEEKDAY(C3,2)=7,"日",WEEKDAY(C3,2)),"")</f>
        <v>1</v>
      </c>
      <c r="D4" s="31">
        <f t="shared" si="1"/>
        <v>2</v>
      </c>
      <c r="E4" s="31">
        <f t="shared" si="1"/>
        <v>3</v>
      </c>
      <c r="F4" s="31">
        <f t="shared" si="1"/>
        <v>4</v>
      </c>
      <c r="G4" s="31">
        <f t="shared" si="1"/>
        <v>5</v>
      </c>
      <c r="H4" s="31">
        <f t="shared" si="1"/>
        <v>6</v>
      </c>
      <c r="I4" s="31" t="str">
        <f t="shared" si="1"/>
        <v>日</v>
      </c>
      <c r="J4" s="31">
        <f t="shared" si="1"/>
        <v>1</v>
      </c>
      <c r="K4" s="31">
        <f t="shared" si="1"/>
        <v>2</v>
      </c>
      <c r="L4" s="31">
        <f t="shared" si="1"/>
        <v>3</v>
      </c>
      <c r="M4" s="31">
        <f t="shared" si="1"/>
        <v>4</v>
      </c>
      <c r="N4" s="31">
        <f t="shared" si="1"/>
        <v>5</v>
      </c>
      <c r="O4" s="31">
        <f t="shared" si="1"/>
        <v>6</v>
      </c>
      <c r="P4" s="31" t="str">
        <f t="shared" si="1"/>
        <v>日</v>
      </c>
      <c r="Q4" s="31">
        <f t="shared" si="1"/>
        <v>1</v>
      </c>
      <c r="R4" s="31">
        <f t="shared" si="1"/>
        <v>2</v>
      </c>
      <c r="S4" s="31">
        <f t="shared" si="1"/>
        <v>3</v>
      </c>
      <c r="T4" s="31">
        <f t="shared" si="1"/>
        <v>4</v>
      </c>
      <c r="U4" s="31">
        <f t="shared" si="1"/>
        <v>5</v>
      </c>
      <c r="V4" s="31">
        <f t="shared" si="1"/>
        <v>6</v>
      </c>
      <c r="W4" s="31" t="str">
        <f t="shared" si="1"/>
        <v>日</v>
      </c>
      <c r="X4" s="31">
        <f t="shared" si="1"/>
        <v>1</v>
      </c>
      <c r="Y4" s="31">
        <f t="shared" si="1"/>
        <v>2</v>
      </c>
      <c r="Z4" s="31">
        <f t="shared" si="1"/>
        <v>3</v>
      </c>
      <c r="AA4" s="31">
        <f t="shared" si="1"/>
        <v>4</v>
      </c>
      <c r="AB4" s="31">
        <f t="shared" si="1"/>
        <v>5</v>
      </c>
      <c r="AC4" s="31">
        <f t="shared" si="1"/>
        <v>6</v>
      </c>
      <c r="AD4" s="31" t="str">
        <f t="shared" si="1"/>
        <v>日</v>
      </c>
      <c r="AE4" s="31">
        <f t="shared" si="1"/>
        <v>1</v>
      </c>
      <c r="AF4" s="31">
        <f t="shared" si="1"/>
        <v>2</v>
      </c>
      <c r="AG4" s="420" t="s">
        <v>42</v>
      </c>
      <c r="AH4" s="421"/>
      <c r="AI4" s="421"/>
      <c r="AJ4" s="421"/>
      <c r="AK4" s="421"/>
      <c r="AL4" s="422"/>
    </row>
    <row r="5" spans="1:39" ht="21.5">
      <c r="A5" s="6" t="s">
        <v>9</v>
      </c>
      <c r="B5" s="88" t="s">
        <v>2</v>
      </c>
      <c r="C5" s="88" t="s">
        <v>7</v>
      </c>
      <c r="D5" s="88"/>
      <c r="E5" s="33" t="s">
        <v>2</v>
      </c>
      <c r="F5" s="33" t="s">
        <v>2</v>
      </c>
      <c r="G5" s="88"/>
      <c r="H5" s="88"/>
      <c r="I5" s="88" t="s">
        <v>2</v>
      </c>
      <c r="J5" s="88"/>
      <c r="K5" s="88"/>
      <c r="L5" s="88"/>
      <c r="M5" s="88" t="s">
        <v>2</v>
      </c>
      <c r="N5" s="88" t="s">
        <v>2</v>
      </c>
      <c r="O5" s="88" t="s">
        <v>274</v>
      </c>
      <c r="P5" s="88" t="s">
        <v>274</v>
      </c>
      <c r="Q5" s="88" t="s">
        <v>2</v>
      </c>
      <c r="R5" s="88" t="s">
        <v>6</v>
      </c>
      <c r="S5" s="88" t="s">
        <v>6</v>
      </c>
      <c r="T5" s="88" t="s">
        <v>6</v>
      </c>
      <c r="U5" s="88" t="s">
        <v>2</v>
      </c>
      <c r="V5" s="88" t="s">
        <v>2</v>
      </c>
      <c r="W5" s="88" t="s">
        <v>2</v>
      </c>
      <c r="X5" s="88" t="s">
        <v>2</v>
      </c>
      <c r="Y5" s="88" t="s">
        <v>2</v>
      </c>
      <c r="Z5" s="88"/>
      <c r="AA5" s="88" t="s">
        <v>7</v>
      </c>
      <c r="AB5" s="88"/>
      <c r="AC5" s="33" t="s">
        <v>7</v>
      </c>
      <c r="AD5" s="88" t="s">
        <v>2</v>
      </c>
      <c r="AE5" s="88"/>
      <c r="AF5" s="88"/>
      <c r="AG5" s="3">
        <f>(AH5*12)+(AI5*12)+(AK5*8)+(AL5*4)</f>
        <v>172</v>
      </c>
      <c r="AH5" s="3">
        <f>COUNTIF(B5:AF5,"D")</f>
        <v>3</v>
      </c>
      <c r="AI5" s="3">
        <f>COUNTIF(B5:AF5,"N")</f>
        <v>5</v>
      </c>
      <c r="AJ5" s="3">
        <f>COUNTIF(B5:AF5,"OFF")+COUNTIF(B5:AF5,"上課")</f>
        <v>13</v>
      </c>
      <c r="AK5" s="3">
        <f>COUNTIF(B5:AF5,"")-AL5+COUNTIF(B5:AF5,"h3")</f>
        <v>9</v>
      </c>
      <c r="AL5" s="3">
        <f>COUNTIFS($B$4:$AF$4,"6",B5:AF5,"")+COUNTIF(B5:AF5,"h3")</f>
        <v>1</v>
      </c>
      <c r="AM5" s="3">
        <f t="array" ref="AM5">SUMPRODUCT(($B$4:$AF$4=6)*(B5:AF5="off"))</f>
        <v>1</v>
      </c>
    </row>
    <row r="6" spans="1:39" ht="21.5">
      <c r="A6" s="6" t="s">
        <v>45</v>
      </c>
      <c r="B6" s="88" t="s">
        <v>275</v>
      </c>
      <c r="C6" s="88"/>
      <c r="D6" s="88" t="s">
        <v>2</v>
      </c>
      <c r="E6" s="88"/>
      <c r="F6" s="88"/>
      <c r="G6" s="88" t="s">
        <v>2</v>
      </c>
      <c r="H6" s="88" t="s">
        <v>2</v>
      </c>
      <c r="I6" s="88" t="s">
        <v>2</v>
      </c>
      <c r="J6" s="88" t="s">
        <v>2</v>
      </c>
      <c r="K6" s="88" t="s">
        <v>2</v>
      </c>
      <c r="L6" s="88"/>
      <c r="M6" s="88"/>
      <c r="N6" s="88" t="s">
        <v>2</v>
      </c>
      <c r="O6" s="88" t="s">
        <v>7</v>
      </c>
      <c r="P6" s="88" t="s">
        <v>2</v>
      </c>
      <c r="Q6" s="88" t="s">
        <v>6</v>
      </c>
      <c r="R6" s="88" t="s">
        <v>2</v>
      </c>
      <c r="S6" s="88"/>
      <c r="T6" s="33" t="s">
        <v>276</v>
      </c>
      <c r="U6" s="88" t="s">
        <v>6</v>
      </c>
      <c r="V6" s="88" t="s">
        <v>274</v>
      </c>
      <c r="W6" s="88" t="s">
        <v>274</v>
      </c>
      <c r="X6" s="88" t="s">
        <v>2</v>
      </c>
      <c r="Y6" s="88"/>
      <c r="Z6" s="88"/>
      <c r="AA6" s="88"/>
      <c r="AB6" s="88" t="s">
        <v>6</v>
      </c>
      <c r="AC6" s="33" t="s">
        <v>2</v>
      </c>
      <c r="AD6" s="33" t="s">
        <v>2</v>
      </c>
      <c r="AE6" s="33" t="s">
        <v>2</v>
      </c>
      <c r="AF6" s="33" t="s">
        <v>2</v>
      </c>
      <c r="AG6" s="3">
        <f>(AH6*12)+(AI6*12)+(AK6*8)+(AL6*4)</f>
        <v>156</v>
      </c>
      <c r="AH6" s="3">
        <f t="shared" ref="AH6:AH12" si="2">COUNTIF(B6:AF6,"D")</f>
        <v>2</v>
      </c>
      <c r="AI6" s="3">
        <f t="shared" ref="AI6:AI12" si="3">COUNTIF(B6:AF6,"N")</f>
        <v>5</v>
      </c>
      <c r="AJ6" s="3">
        <f t="shared" ref="AJ6:AJ12" si="4">COUNTIF(B6:AF6,"OFF")+COUNTIF(B6:AF6,"上課")</f>
        <v>15</v>
      </c>
      <c r="AK6" s="3">
        <f t="shared" ref="AK6:AK12" si="5">COUNTIF(B6:AF6,"")-AL6+COUNTIF(B6:AF6,"h3")</f>
        <v>9</v>
      </c>
      <c r="AL6" s="3">
        <f t="shared" ref="AL6:AL12" si="6">COUNTIFS($B$4:$AF$4,"6",B6:AF6,"")+COUNTIF(B6:AF6,"h3")</f>
        <v>0</v>
      </c>
      <c r="AM6" s="3">
        <f t="array" ref="AM6">SUMPRODUCT(($B$4:$AF$4=6)*(B6:AF6="off"))</f>
        <v>2</v>
      </c>
    </row>
    <row r="7" spans="1:39" ht="21.5">
      <c r="A7" s="6" t="s">
        <v>17</v>
      </c>
      <c r="B7" s="88" t="s">
        <v>2</v>
      </c>
      <c r="C7" s="88" t="s">
        <v>2</v>
      </c>
      <c r="D7" s="88" t="s">
        <v>7</v>
      </c>
      <c r="E7" s="88"/>
      <c r="F7" s="88"/>
      <c r="G7" s="88" t="s">
        <v>7</v>
      </c>
      <c r="H7" s="33" t="s">
        <v>2</v>
      </c>
      <c r="I7" s="88" t="s">
        <v>2</v>
      </c>
      <c r="J7" s="88"/>
      <c r="K7" s="88"/>
      <c r="L7" s="88" t="s">
        <v>2</v>
      </c>
      <c r="M7" s="88" t="s">
        <v>2</v>
      </c>
      <c r="N7" s="88"/>
      <c r="O7" s="88"/>
      <c r="P7" s="88" t="s">
        <v>275</v>
      </c>
      <c r="Q7" s="88" t="s">
        <v>2</v>
      </c>
      <c r="R7" s="88" t="s">
        <v>2</v>
      </c>
      <c r="S7" s="88" t="s">
        <v>7</v>
      </c>
      <c r="T7" s="88" t="s">
        <v>7</v>
      </c>
      <c r="U7" s="88"/>
      <c r="V7" s="88" t="s">
        <v>7</v>
      </c>
      <c r="W7" s="88" t="s">
        <v>2</v>
      </c>
      <c r="X7" s="88"/>
      <c r="Y7" s="88"/>
      <c r="Z7" s="88" t="s">
        <v>7</v>
      </c>
      <c r="AA7" s="33" t="s">
        <v>2</v>
      </c>
      <c r="AB7" s="33" t="s">
        <v>2</v>
      </c>
      <c r="AC7" s="33" t="s">
        <v>2</v>
      </c>
      <c r="AD7" s="88" t="s">
        <v>2</v>
      </c>
      <c r="AE7" s="88" t="s">
        <v>7</v>
      </c>
      <c r="AF7" s="88"/>
      <c r="AG7" s="3">
        <f t="shared" ref="AG7:AG12" si="7">(AH7*12)+(AI7*12)+(AK7*8)+(AL7*4)</f>
        <v>172</v>
      </c>
      <c r="AH7" s="3">
        <f t="shared" si="2"/>
        <v>8</v>
      </c>
      <c r="AI7" s="3">
        <f t="shared" si="3"/>
        <v>0</v>
      </c>
      <c r="AJ7" s="3">
        <f t="shared" si="4"/>
        <v>13</v>
      </c>
      <c r="AK7" s="3">
        <f t="shared" si="5"/>
        <v>9</v>
      </c>
      <c r="AL7" s="3">
        <f t="shared" si="6"/>
        <v>1</v>
      </c>
      <c r="AM7" s="3">
        <f t="array" ref="AM7">SUMPRODUCT(($B$4:$AF$4=6)*(B7:AF7="off"))</f>
        <v>2</v>
      </c>
    </row>
    <row r="8" spans="1:39" ht="21.5">
      <c r="A8" s="6" t="s">
        <v>46</v>
      </c>
      <c r="B8" s="88" t="s">
        <v>2</v>
      </c>
      <c r="C8" s="88"/>
      <c r="D8" s="88"/>
      <c r="E8" s="88" t="s">
        <v>2</v>
      </c>
      <c r="F8" s="88" t="s">
        <v>2</v>
      </c>
      <c r="G8" s="88"/>
      <c r="H8" s="88"/>
      <c r="I8" s="88" t="s">
        <v>275</v>
      </c>
      <c r="J8" s="88" t="s">
        <v>6</v>
      </c>
      <c r="K8" s="88" t="s">
        <v>6</v>
      </c>
      <c r="L8" s="62" t="s">
        <v>2</v>
      </c>
      <c r="M8" s="62" t="s">
        <v>2</v>
      </c>
      <c r="N8" s="88" t="s">
        <v>2</v>
      </c>
      <c r="O8" s="88" t="s">
        <v>2</v>
      </c>
      <c r="P8" s="88" t="s">
        <v>2</v>
      </c>
      <c r="Q8" s="88"/>
      <c r="R8" s="88"/>
      <c r="S8" s="88" t="s">
        <v>2</v>
      </c>
      <c r="T8" s="88"/>
      <c r="U8" s="88"/>
      <c r="V8" s="88"/>
      <c r="W8" s="33" t="s">
        <v>7</v>
      </c>
      <c r="X8" s="88"/>
      <c r="Y8" s="88" t="s">
        <v>2</v>
      </c>
      <c r="Z8" s="88" t="s">
        <v>2</v>
      </c>
      <c r="AA8" s="88" t="s">
        <v>2</v>
      </c>
      <c r="AB8" s="88"/>
      <c r="AC8" s="88" t="s">
        <v>6</v>
      </c>
      <c r="AD8" s="88" t="s">
        <v>6</v>
      </c>
      <c r="AE8" s="88" t="s">
        <v>6</v>
      </c>
      <c r="AF8" s="88" t="s">
        <v>6</v>
      </c>
      <c r="AG8" s="3">
        <f t="shared" si="7"/>
        <v>176</v>
      </c>
      <c r="AH8" s="3">
        <f t="shared" si="2"/>
        <v>2</v>
      </c>
      <c r="AI8" s="3">
        <f t="shared" si="3"/>
        <v>6</v>
      </c>
      <c r="AJ8" s="3">
        <f t="shared" si="4"/>
        <v>12</v>
      </c>
      <c r="AK8" s="3">
        <f t="shared" si="5"/>
        <v>9</v>
      </c>
      <c r="AL8" s="3">
        <f t="shared" si="6"/>
        <v>2</v>
      </c>
      <c r="AM8" s="3">
        <f t="array" ref="AM8">SUMPRODUCT(($B$4:$AF$4=6)*(B8:AF8="off"))</f>
        <v>1</v>
      </c>
    </row>
    <row r="9" spans="1:39" ht="21.5">
      <c r="A9" s="6" t="s">
        <v>12</v>
      </c>
      <c r="B9" s="88" t="s">
        <v>2</v>
      </c>
      <c r="C9" s="88" t="s">
        <v>6</v>
      </c>
      <c r="D9" s="88" t="s">
        <v>6</v>
      </c>
      <c r="E9" s="88" t="s">
        <v>2</v>
      </c>
      <c r="F9" s="33" t="s">
        <v>2</v>
      </c>
      <c r="G9" s="33" t="s">
        <v>2</v>
      </c>
      <c r="H9" s="88" t="s">
        <v>7</v>
      </c>
      <c r="I9" s="88" t="s">
        <v>2</v>
      </c>
      <c r="J9" s="88" t="s">
        <v>7</v>
      </c>
      <c r="K9" s="62" t="s">
        <v>7</v>
      </c>
      <c r="L9" s="62" t="s">
        <v>6</v>
      </c>
      <c r="M9" s="88" t="s">
        <v>6</v>
      </c>
      <c r="N9" s="88" t="s">
        <v>6</v>
      </c>
      <c r="O9" s="88" t="s">
        <v>2</v>
      </c>
      <c r="P9" s="88" t="s">
        <v>2</v>
      </c>
      <c r="Q9" s="150"/>
      <c r="R9" s="150"/>
      <c r="S9" s="150"/>
      <c r="T9" s="150"/>
      <c r="U9" s="150"/>
      <c r="V9" s="88"/>
      <c r="W9" s="88"/>
      <c r="X9" s="150"/>
      <c r="Y9" s="150"/>
      <c r="Z9" s="150"/>
      <c r="AA9" s="150"/>
      <c r="AB9" s="150"/>
      <c r="AC9" s="88"/>
      <c r="AD9" s="88"/>
      <c r="AE9" s="150"/>
      <c r="AF9" s="150"/>
      <c r="AG9" s="3">
        <f t="shared" si="7"/>
        <v>216</v>
      </c>
      <c r="AH9" s="3">
        <f t="shared" si="2"/>
        <v>3</v>
      </c>
      <c r="AI9" s="3">
        <f t="shared" si="3"/>
        <v>5</v>
      </c>
      <c r="AJ9" s="3">
        <f t="shared" si="4"/>
        <v>7</v>
      </c>
      <c r="AK9" s="3">
        <f t="shared" si="5"/>
        <v>14</v>
      </c>
      <c r="AL9" s="3">
        <f t="shared" si="6"/>
        <v>2</v>
      </c>
      <c r="AM9" s="3">
        <f t="array" ref="AM9">SUMPRODUCT(($B$4:$AF$4=6)*(B9:AF9="off"))</f>
        <v>1</v>
      </c>
    </row>
    <row r="10" spans="1:39" ht="21.5">
      <c r="A10" s="6" t="s">
        <v>49</v>
      </c>
      <c r="B10" s="150" t="s">
        <v>6</v>
      </c>
      <c r="C10" s="150"/>
      <c r="D10" s="150"/>
      <c r="E10" s="150"/>
      <c r="F10" s="150"/>
      <c r="G10" s="151"/>
      <c r="H10" s="150"/>
      <c r="I10" s="88"/>
      <c r="J10" s="150"/>
      <c r="K10" s="151"/>
      <c r="L10" s="150"/>
      <c r="M10" s="150"/>
      <c r="N10" s="150"/>
      <c r="O10" s="150"/>
      <c r="P10" s="150"/>
      <c r="Q10" s="88" t="s">
        <v>7</v>
      </c>
      <c r="R10" s="88"/>
      <c r="S10" s="88" t="s">
        <v>2</v>
      </c>
      <c r="T10" s="88" t="s">
        <v>2</v>
      </c>
      <c r="U10" s="33" t="s">
        <v>2</v>
      </c>
      <c r="V10" s="33" t="s">
        <v>2</v>
      </c>
      <c r="W10" s="88" t="s">
        <v>2</v>
      </c>
      <c r="X10" s="88" t="s">
        <v>6</v>
      </c>
      <c r="Y10" s="88" t="s">
        <v>6</v>
      </c>
      <c r="Z10" s="88" t="s">
        <v>6</v>
      </c>
      <c r="AA10" s="88" t="s">
        <v>6</v>
      </c>
      <c r="AB10" s="88" t="s">
        <v>2</v>
      </c>
      <c r="AC10" s="88"/>
      <c r="AD10" s="88" t="s">
        <v>275</v>
      </c>
      <c r="AE10" s="88"/>
      <c r="AF10" s="88" t="s">
        <v>2</v>
      </c>
      <c r="AG10" s="3">
        <f t="shared" si="7"/>
        <v>208</v>
      </c>
      <c r="AH10" s="3">
        <f t="shared" si="2"/>
        <v>2</v>
      </c>
      <c r="AI10" s="3">
        <f t="shared" si="3"/>
        <v>5</v>
      </c>
      <c r="AJ10" s="3">
        <f t="shared" si="4"/>
        <v>7</v>
      </c>
      <c r="AK10" s="3">
        <f t="shared" si="5"/>
        <v>14</v>
      </c>
      <c r="AL10" s="3">
        <f t="shared" si="6"/>
        <v>3</v>
      </c>
      <c r="AM10" s="3">
        <f t="array" ref="AM10">SUMPRODUCT(($B$4:$AF$4=6)*(B10:AF10="off"))</f>
        <v>1</v>
      </c>
    </row>
    <row r="11" spans="1:39" ht="21.5">
      <c r="A11" s="6" t="s">
        <v>50</v>
      </c>
      <c r="B11" s="88" t="s">
        <v>2</v>
      </c>
      <c r="C11" s="88" t="s">
        <v>270</v>
      </c>
      <c r="D11" s="88" t="s">
        <v>2</v>
      </c>
      <c r="E11" s="88" t="s">
        <v>7</v>
      </c>
      <c r="F11" s="88" t="s">
        <v>7</v>
      </c>
      <c r="G11" s="33" t="s">
        <v>2</v>
      </c>
      <c r="H11" s="33" t="s">
        <v>2</v>
      </c>
      <c r="I11" s="62" t="s">
        <v>2</v>
      </c>
      <c r="J11" s="33" t="s">
        <v>2</v>
      </c>
      <c r="K11" s="33" t="s">
        <v>2</v>
      </c>
      <c r="L11" s="33" t="s">
        <v>2</v>
      </c>
      <c r="M11" s="33"/>
      <c r="N11" s="88"/>
      <c r="O11" s="33"/>
      <c r="P11" s="88" t="s">
        <v>2</v>
      </c>
      <c r="Q11" s="88"/>
      <c r="R11" s="88" t="s">
        <v>7</v>
      </c>
      <c r="S11" s="88"/>
      <c r="T11" s="88"/>
      <c r="U11" s="88" t="s">
        <v>7</v>
      </c>
      <c r="V11" s="88"/>
      <c r="W11" s="88" t="s">
        <v>2</v>
      </c>
      <c r="X11" s="88" t="s">
        <v>7</v>
      </c>
      <c r="Y11" s="88" t="s">
        <v>7</v>
      </c>
      <c r="Z11" s="88" t="s">
        <v>2</v>
      </c>
      <c r="AA11" s="88"/>
      <c r="AB11" s="88" t="s">
        <v>7</v>
      </c>
      <c r="AC11" s="88"/>
      <c r="AD11" s="88" t="s">
        <v>2</v>
      </c>
      <c r="AE11" s="88" t="s">
        <v>2</v>
      </c>
      <c r="AF11" s="88" t="s">
        <v>7</v>
      </c>
      <c r="AG11" s="3">
        <f t="shared" si="7"/>
        <v>156</v>
      </c>
      <c r="AH11" s="3">
        <f t="shared" si="2"/>
        <v>8</v>
      </c>
      <c r="AI11" s="3">
        <f t="shared" si="3"/>
        <v>0</v>
      </c>
      <c r="AJ11" s="3">
        <f t="shared" si="4"/>
        <v>13</v>
      </c>
      <c r="AK11" s="3">
        <f t="shared" si="5"/>
        <v>6</v>
      </c>
      <c r="AL11" s="3">
        <f t="shared" si="6"/>
        <v>3</v>
      </c>
      <c r="AM11" s="3">
        <f t="array" ref="AM11">SUMPRODUCT(($B$4:$AF$4=6)*(B11:AF11="off"))</f>
        <v>1</v>
      </c>
    </row>
    <row r="12" spans="1:39" ht="21.5">
      <c r="A12" s="6" t="s">
        <v>51</v>
      </c>
      <c r="B12" s="88" t="s">
        <v>2</v>
      </c>
      <c r="C12" s="33" t="s">
        <v>2</v>
      </c>
      <c r="D12" s="33" t="s">
        <v>2</v>
      </c>
      <c r="E12" s="88" t="s">
        <v>6</v>
      </c>
      <c r="F12" s="88" t="s">
        <v>6</v>
      </c>
      <c r="G12" s="88" t="s">
        <v>6</v>
      </c>
      <c r="H12" s="88" t="s">
        <v>6</v>
      </c>
      <c r="I12" s="88" t="s">
        <v>274</v>
      </c>
      <c r="J12" s="88" t="s">
        <v>2</v>
      </c>
      <c r="K12" s="88" t="s">
        <v>2</v>
      </c>
      <c r="L12" s="88" t="s">
        <v>7</v>
      </c>
      <c r="M12" s="88" t="s">
        <v>7</v>
      </c>
      <c r="N12" s="88" t="s">
        <v>7</v>
      </c>
      <c r="O12" s="88" t="s">
        <v>2</v>
      </c>
      <c r="P12" s="88" t="s">
        <v>2</v>
      </c>
      <c r="Q12" s="150"/>
      <c r="R12" s="150"/>
      <c r="S12" s="150"/>
      <c r="T12" s="150"/>
      <c r="U12" s="150"/>
      <c r="V12" s="88"/>
      <c r="W12" s="88"/>
      <c r="X12" s="150"/>
      <c r="Y12" s="150"/>
      <c r="Z12" s="150"/>
      <c r="AA12" s="150"/>
      <c r="AB12" s="150"/>
      <c r="AC12" s="88"/>
      <c r="AD12" s="88"/>
      <c r="AE12" s="150"/>
      <c r="AF12" s="150"/>
      <c r="AG12" s="3">
        <f t="shared" si="7"/>
        <v>216</v>
      </c>
      <c r="AH12" s="3">
        <f t="shared" si="2"/>
        <v>3</v>
      </c>
      <c r="AI12" s="3">
        <f t="shared" si="3"/>
        <v>5</v>
      </c>
      <c r="AJ12" s="3">
        <f t="shared" si="4"/>
        <v>7</v>
      </c>
      <c r="AK12" s="3">
        <f t="shared" si="5"/>
        <v>14</v>
      </c>
      <c r="AL12" s="3">
        <f t="shared" si="6"/>
        <v>2</v>
      </c>
      <c r="AM12" s="3">
        <f t="array" ref="AM12">SUMPRODUCT(($B$4:$AF$4=6)*(B12:AF12="off"))</f>
        <v>1</v>
      </c>
    </row>
    <row r="13" spans="1:39" ht="21.5">
      <c r="A13" s="93" t="s">
        <v>249</v>
      </c>
      <c r="B13" s="115">
        <f>IF(B4="","",IF(B4="日",2,IF(B4=6,4,IF(B4&lt;6,4))))</f>
        <v>2</v>
      </c>
      <c r="C13" s="115">
        <f t="shared" ref="C13:AF13" si="8">IF(C4="","",IF(C4="日",2,IF(C4=6,4,IF(C4&lt;6,4))))</f>
        <v>4</v>
      </c>
      <c r="D13" s="115">
        <f t="shared" si="8"/>
        <v>4</v>
      </c>
      <c r="E13" s="115">
        <f t="shared" si="8"/>
        <v>4</v>
      </c>
      <c r="F13" s="115">
        <f t="shared" si="8"/>
        <v>4</v>
      </c>
      <c r="G13" s="115">
        <f t="shared" si="8"/>
        <v>4</v>
      </c>
      <c r="H13" s="115">
        <f t="shared" si="8"/>
        <v>4</v>
      </c>
      <c r="I13" s="115">
        <f t="shared" si="8"/>
        <v>2</v>
      </c>
      <c r="J13" s="115">
        <f t="shared" si="8"/>
        <v>4</v>
      </c>
      <c r="K13" s="115">
        <f t="shared" si="8"/>
        <v>4</v>
      </c>
      <c r="L13" s="115">
        <f t="shared" si="8"/>
        <v>4</v>
      </c>
      <c r="M13" s="115">
        <f t="shared" si="8"/>
        <v>4</v>
      </c>
      <c r="N13" s="115">
        <f t="shared" si="8"/>
        <v>4</v>
      </c>
      <c r="O13" s="115">
        <f t="shared" si="8"/>
        <v>4</v>
      </c>
      <c r="P13" s="115">
        <f t="shared" si="8"/>
        <v>2</v>
      </c>
      <c r="Q13" s="115">
        <f t="shared" si="8"/>
        <v>4</v>
      </c>
      <c r="R13" s="115">
        <f t="shared" si="8"/>
        <v>4</v>
      </c>
      <c r="S13" s="115">
        <f t="shared" si="8"/>
        <v>4</v>
      </c>
      <c r="T13" s="115">
        <f t="shared" si="8"/>
        <v>4</v>
      </c>
      <c r="U13" s="115">
        <f t="shared" si="8"/>
        <v>4</v>
      </c>
      <c r="V13" s="115">
        <f t="shared" si="8"/>
        <v>4</v>
      </c>
      <c r="W13" s="115">
        <f t="shared" si="8"/>
        <v>2</v>
      </c>
      <c r="X13" s="115">
        <f t="shared" si="8"/>
        <v>4</v>
      </c>
      <c r="Y13" s="115">
        <f t="shared" si="8"/>
        <v>4</v>
      </c>
      <c r="Z13" s="115">
        <f t="shared" si="8"/>
        <v>4</v>
      </c>
      <c r="AA13" s="115">
        <f t="shared" si="8"/>
        <v>4</v>
      </c>
      <c r="AB13" s="115">
        <f t="shared" si="8"/>
        <v>4</v>
      </c>
      <c r="AC13" s="115">
        <f t="shared" si="8"/>
        <v>4</v>
      </c>
      <c r="AD13" s="115">
        <f t="shared" si="8"/>
        <v>2</v>
      </c>
      <c r="AE13" s="115">
        <f t="shared" si="8"/>
        <v>4</v>
      </c>
      <c r="AF13" s="115">
        <f t="shared" si="8"/>
        <v>4</v>
      </c>
      <c r="AG13" s="12"/>
      <c r="AH13" s="12"/>
      <c r="AI13" s="12"/>
      <c r="AJ13" s="12"/>
      <c r="AK13" s="12"/>
      <c r="AL13" s="12"/>
    </row>
    <row r="14" spans="1:39" ht="20.5">
      <c r="A14" s="93" t="s">
        <v>251</v>
      </c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39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3" t="s">
        <v>173</v>
      </c>
      <c r="D16" s="424"/>
      <c r="E16" s="425" t="s">
        <v>46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26"/>
      <c r="E17" s="425" t="s">
        <v>26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3 ... 7</v>
      </c>
      <c r="T17" s="44"/>
      <c r="U17" s="45"/>
      <c r="W17" s="13"/>
      <c r="X17" s="8" t="s">
        <v>20</v>
      </c>
      <c r="Y17" s="20" t="s">
        <v>3</v>
      </c>
      <c r="Z17" s="118">
        <v>3</v>
      </c>
      <c r="AA17" s="20" t="s">
        <v>5</v>
      </c>
      <c r="AB17" s="121">
        <v>5</v>
      </c>
      <c r="AC17" s="126">
        <v>4</v>
      </c>
      <c r="AD17" s="129">
        <v>4</v>
      </c>
      <c r="AE17" s="20">
        <f>SUM(Z17+AB17)</f>
        <v>8</v>
      </c>
      <c r="AF17" s="20">
        <v>13</v>
      </c>
      <c r="AG17" s="155">
        <v>1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26"/>
      <c r="E18" s="425" t="s">
        <v>27</v>
      </c>
      <c r="F18" s="425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3 ... 7</v>
      </c>
      <c r="T18" s="49"/>
      <c r="U18" s="45"/>
      <c r="X18" s="8" t="s">
        <v>21</v>
      </c>
      <c r="Y18" s="20" t="s">
        <v>3</v>
      </c>
      <c r="Z18" s="118">
        <v>2</v>
      </c>
      <c r="AA18" s="20" t="s">
        <v>5</v>
      </c>
      <c r="AB18" s="121">
        <v>5</v>
      </c>
      <c r="AC18" s="126">
        <v>4</v>
      </c>
      <c r="AD18" s="130">
        <v>3</v>
      </c>
      <c r="AE18" s="20">
        <f t="shared" ref="AE18:AE24" si="9">SUM(Z18+AB18)</f>
        <v>7</v>
      </c>
      <c r="AF18" s="20">
        <v>13</v>
      </c>
      <c r="AG18" s="155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26"/>
      <c r="E19" s="425" t="s">
        <v>17</v>
      </c>
      <c r="F19" s="425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16 ... 6</v>
      </c>
      <c r="T19" s="51"/>
      <c r="U19" s="52"/>
      <c r="X19" s="8" t="s">
        <v>22</v>
      </c>
      <c r="Y19" s="20" t="s">
        <v>3</v>
      </c>
      <c r="Z19" s="119">
        <v>8</v>
      </c>
      <c r="AA19" s="82" t="s">
        <v>5</v>
      </c>
      <c r="AB19" s="121">
        <v>0</v>
      </c>
      <c r="AC19" s="126">
        <v>4</v>
      </c>
      <c r="AD19" s="148">
        <v>4</v>
      </c>
      <c r="AE19" s="20">
        <f t="shared" si="9"/>
        <v>8</v>
      </c>
      <c r="AF19" s="20">
        <v>13</v>
      </c>
      <c r="AG19" s="106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26"/>
      <c r="E20" s="425" t="s">
        <v>16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30</v>
      </c>
      <c r="P20" s="13" t="s">
        <v>77</v>
      </c>
      <c r="Q20" s="13" t="s">
        <v>78</v>
      </c>
      <c r="R20" s="37">
        <f>COUNTIF(B4:AF4,"6")*((COUNTA(B16:B23))-J16)</f>
        <v>16</v>
      </c>
      <c r="S20" s="13" t="s">
        <v>79</v>
      </c>
      <c r="T20" s="53">
        <f>O20+R20</f>
        <v>46</v>
      </c>
      <c r="U20" s="13" t="s">
        <v>32</v>
      </c>
      <c r="V20" s="13"/>
      <c r="W20" s="54">
        <f>T20+T22</f>
        <v>134</v>
      </c>
      <c r="X20" s="8" t="s">
        <v>3</v>
      </c>
      <c r="Y20" s="20" t="s">
        <v>3</v>
      </c>
      <c r="Z20" s="119">
        <v>2</v>
      </c>
      <c r="AA20" s="20" t="s">
        <v>5</v>
      </c>
      <c r="AB20" s="122">
        <v>6</v>
      </c>
      <c r="AC20" s="126">
        <v>4</v>
      </c>
      <c r="AD20" s="131">
        <v>4</v>
      </c>
      <c r="AE20" s="20">
        <f t="shared" si="9"/>
        <v>8</v>
      </c>
      <c r="AF20" s="20">
        <v>13</v>
      </c>
      <c r="AG20" s="155">
        <v>1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26"/>
      <c r="E21" s="425" t="s">
        <v>18</v>
      </c>
      <c r="F21" s="425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0</v>
      </c>
      <c r="R21" s="102" t="s">
        <v>233</v>
      </c>
      <c r="S21" s="13"/>
      <c r="T21" s="37">
        <f>((COUNTA(B16:B23))-J18)*Q21</f>
        <v>0</v>
      </c>
      <c r="U21" s="13"/>
      <c r="V21" s="13"/>
      <c r="W21" s="13"/>
      <c r="X21" s="8" t="s">
        <v>23</v>
      </c>
      <c r="Y21" s="20" t="s">
        <v>3</v>
      </c>
      <c r="Z21" s="118">
        <v>3</v>
      </c>
      <c r="AA21" s="20" t="s">
        <v>5</v>
      </c>
      <c r="AB21" s="121">
        <v>5</v>
      </c>
      <c r="AC21" s="125">
        <v>4</v>
      </c>
      <c r="AD21" s="130">
        <v>4</v>
      </c>
      <c r="AE21" s="20">
        <f t="shared" si="9"/>
        <v>8</v>
      </c>
      <c r="AF21" s="149">
        <v>7</v>
      </c>
      <c r="AG21" s="107">
        <v>1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26"/>
      <c r="E22" s="425" t="s">
        <v>17</v>
      </c>
      <c r="F22" s="425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88</v>
      </c>
      <c r="U22" s="13"/>
      <c r="V22" s="13"/>
      <c r="W22" s="13"/>
      <c r="X22" s="8" t="s">
        <v>24</v>
      </c>
      <c r="Y22" s="20" t="s">
        <v>3</v>
      </c>
      <c r="Z22" s="119">
        <v>2</v>
      </c>
      <c r="AA22" s="20" t="s">
        <v>5</v>
      </c>
      <c r="AB22" s="121">
        <v>5</v>
      </c>
      <c r="AC22" s="126">
        <v>3</v>
      </c>
      <c r="AD22" s="145">
        <v>4</v>
      </c>
      <c r="AE22" s="20">
        <f t="shared" si="9"/>
        <v>7</v>
      </c>
      <c r="AF22" s="20">
        <v>7</v>
      </c>
      <c r="AG22" s="106">
        <v>1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>
        <v>8</v>
      </c>
      <c r="C23" s="424" t="s">
        <v>30</v>
      </c>
      <c r="D23" s="426"/>
      <c r="E23" s="425" t="s">
        <v>13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2 ... 0</v>
      </c>
      <c r="U23" s="431"/>
      <c r="V23" s="432"/>
      <c r="X23" s="8" t="s">
        <v>25</v>
      </c>
      <c r="Y23" s="20" t="s">
        <v>3</v>
      </c>
      <c r="Z23" s="118">
        <v>8</v>
      </c>
      <c r="AA23" s="82" t="s">
        <v>5</v>
      </c>
      <c r="AB23" s="122">
        <v>0</v>
      </c>
      <c r="AC23" s="127">
        <v>4</v>
      </c>
      <c r="AD23" s="131">
        <v>4</v>
      </c>
      <c r="AE23" s="20">
        <f t="shared" si="9"/>
        <v>8</v>
      </c>
      <c r="AF23" s="20">
        <v>14</v>
      </c>
      <c r="AG23" s="106">
        <v>1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3</v>
      </c>
      <c r="AA24" s="20" t="s">
        <v>5</v>
      </c>
      <c r="AB24" s="122">
        <v>5</v>
      </c>
      <c r="AC24" s="128">
        <v>4</v>
      </c>
      <c r="AD24" s="145">
        <v>4</v>
      </c>
      <c r="AE24" s="20">
        <f t="shared" si="9"/>
        <v>8</v>
      </c>
      <c r="AF24" s="20">
        <v>7</v>
      </c>
      <c r="AG24" s="157">
        <v>1</v>
      </c>
      <c r="AH24" t="s">
        <v>214</v>
      </c>
    </row>
    <row r="25" spans="1:39">
      <c r="Z25">
        <f>SUM(Z17:Z24)</f>
        <v>31</v>
      </c>
      <c r="AB25">
        <f>SUM(AB17:AB24)</f>
        <v>31</v>
      </c>
      <c r="AC25">
        <f>SUM(AC17:AC24)</f>
        <v>31</v>
      </c>
      <c r="AD25">
        <f>SUM(AD17:AD24)</f>
        <v>31</v>
      </c>
      <c r="AH25" t="s">
        <v>215</v>
      </c>
    </row>
    <row r="26" spans="1:39" ht="27.75" customHeight="1">
      <c r="L26" s="59" t="s">
        <v>273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L27" s="152"/>
      <c r="X27" s="110"/>
      <c r="Y27" s="429" t="s">
        <v>253</v>
      </c>
      <c r="Z27" s="429"/>
      <c r="AA27" s="429"/>
      <c r="AB27" s="429"/>
      <c r="AC27" s="429"/>
    </row>
    <row r="28" spans="1:39" ht="31">
      <c r="B28" s="7"/>
      <c r="K28" s="154"/>
      <c r="O28" s="154"/>
      <c r="Q28" s="156"/>
      <c r="X28" s="135"/>
      <c r="Y28" s="429" t="s">
        <v>257</v>
      </c>
      <c r="Z28" s="429"/>
      <c r="AA28" s="429"/>
      <c r="AB28" s="429"/>
      <c r="AC28" s="429"/>
    </row>
    <row r="29" spans="1:39" ht="27.5">
      <c r="B29" s="154"/>
      <c r="K29" s="154"/>
      <c r="O29" s="154"/>
      <c r="Q29" s="154"/>
    </row>
  </sheetData>
  <mergeCells count="23">
    <mergeCell ref="Y28:AC28"/>
    <mergeCell ref="C21:D21"/>
    <mergeCell ref="E21:F21"/>
    <mergeCell ref="C22:D22"/>
    <mergeCell ref="E22:F22"/>
    <mergeCell ref="C23:D23"/>
    <mergeCell ref="E23:F23"/>
    <mergeCell ref="C20:D20"/>
    <mergeCell ref="E20:F20"/>
    <mergeCell ref="T23:V23"/>
    <mergeCell ref="Y26:AC26"/>
    <mergeCell ref="Y27:AC27"/>
    <mergeCell ref="C17:D17"/>
    <mergeCell ref="E17:F17"/>
    <mergeCell ref="C18:D18"/>
    <mergeCell ref="E18:F18"/>
    <mergeCell ref="C19:D19"/>
    <mergeCell ref="E19:F19"/>
    <mergeCell ref="A1:B2"/>
    <mergeCell ref="AG4:AL4"/>
    <mergeCell ref="B15:C15"/>
    <mergeCell ref="C16:D16"/>
    <mergeCell ref="E16:F16"/>
  </mergeCells>
  <phoneticPr fontId="11" type="noConversion"/>
  <conditionalFormatting sqref="AG3">
    <cfRule type="expression" dxfId="2653" priority="60" stopIfTrue="1">
      <formula>WEEKDAY(AG$3)=7</formula>
    </cfRule>
    <cfRule type="expression" dxfId="2652" priority="61" stopIfTrue="1">
      <formula>WEEKDAY(AG$3)=1</formula>
    </cfRule>
    <cfRule type="expression" dxfId="2651" priority="62" stopIfTrue="1">
      <formula>WEEKDAY(AG$3)=7</formula>
    </cfRule>
    <cfRule type="expression" dxfId="2650" priority="63" stopIfTrue="1">
      <formula>WEEKDAY(AG$3)=1</formula>
    </cfRule>
  </conditionalFormatting>
  <conditionalFormatting sqref="B3:AF3">
    <cfRule type="expression" dxfId="2649" priority="58">
      <formula>WEEKDAY(B$3,2)=7</formula>
    </cfRule>
    <cfRule type="expression" dxfId="2648" priority="59">
      <formula>WEEKDAY(B$3,2)=6</formula>
    </cfRule>
  </conditionalFormatting>
  <conditionalFormatting sqref="B4:AF4">
    <cfRule type="expression" dxfId="2647" priority="56">
      <formula>WEEKDAY(B$3,2)=7</formula>
    </cfRule>
    <cfRule type="expression" dxfId="2646" priority="57">
      <formula>WEEKDAY(B$3,2)=6</formula>
    </cfRule>
  </conditionalFormatting>
  <conditionalFormatting sqref="B13:AF13">
    <cfRule type="expression" dxfId="2645" priority="46" stopIfTrue="1">
      <formula>8-COUNTIF(B$5:B$12,"off")&lt;&gt;B$13</formula>
    </cfRule>
  </conditionalFormatting>
  <conditionalFormatting sqref="Z17:Z24">
    <cfRule type="expression" dxfId="2644" priority="45" stopIfTrue="1">
      <formula>COUNTIF($B5:$AF5,"D")&lt;&gt;$Z17</formula>
    </cfRule>
  </conditionalFormatting>
  <conditionalFormatting sqref="AB17:AB24">
    <cfRule type="expression" dxfId="2643" priority="44" stopIfTrue="1">
      <formula>COUNTIF($B5:$AF5,"N")&lt;&gt;$AB17</formula>
    </cfRule>
  </conditionalFormatting>
  <conditionalFormatting sqref="B5:C5 E5:Q5 S5:T5 V5:X5 Z5:AF5 B6:AF12">
    <cfRule type="expression" dxfId="2642" priority="32">
      <formula>WEEKDAY(B$3,2)=7</formula>
    </cfRule>
    <cfRule type="expression" dxfId="2641" priority="33">
      <formula>WEEKDAY(B$3,2)=6</formula>
    </cfRule>
  </conditionalFormatting>
  <conditionalFormatting sqref="B5:C5 E5:Q5 S5:T5 V5:X5 Z5:AF5">
    <cfRule type="expression" dxfId="2640" priority="31">
      <formula>SEARCH("X", $A$5) &gt; 0</formula>
    </cfRule>
  </conditionalFormatting>
  <conditionalFormatting sqref="B6:AF6">
    <cfRule type="expression" dxfId="2639" priority="30">
      <formula>SEARCH("X", $A$6) &gt; 0</formula>
    </cfRule>
  </conditionalFormatting>
  <conditionalFormatting sqref="B7:AF7">
    <cfRule type="expression" dxfId="2638" priority="29">
      <formula>SEARCH("X", $A$7) &gt; 0</formula>
    </cfRule>
  </conditionalFormatting>
  <conditionalFormatting sqref="B8:AF8">
    <cfRule type="expression" dxfId="2637" priority="28">
      <formula>SEARCH("X", $A$8) &gt; 0</formula>
    </cfRule>
  </conditionalFormatting>
  <conditionalFormatting sqref="B9:AF9">
    <cfRule type="expression" dxfId="2636" priority="27">
      <formula>SEARCH("X", $A$9) &gt; 0</formula>
    </cfRule>
  </conditionalFormatting>
  <conditionalFormatting sqref="B10:AF10">
    <cfRule type="expression" dxfId="2635" priority="26">
      <formula>SEARCH("X", $A$10) &gt; 0</formula>
    </cfRule>
  </conditionalFormatting>
  <conditionalFormatting sqref="B11:AF11">
    <cfRule type="expression" dxfId="2634" priority="25">
      <formula>SEARCH("X", $A$11) &gt; 0</formula>
    </cfRule>
  </conditionalFormatting>
  <conditionalFormatting sqref="B12:AF12">
    <cfRule type="expression" dxfId="2633" priority="24">
      <formula>SEARCH("X", $A$12) &gt; 0</formula>
    </cfRule>
  </conditionalFormatting>
  <conditionalFormatting sqref="K10">
    <cfRule type="expression" dxfId="2632" priority="23">
      <formula>SEARCH("X", $A$9) &gt; 0</formula>
    </cfRule>
  </conditionalFormatting>
  <conditionalFormatting sqref="G10">
    <cfRule type="expression" dxfId="2631" priority="22">
      <formula>SEARCH("X", $A$9) &gt; 0</formula>
    </cfRule>
  </conditionalFormatting>
  <conditionalFormatting sqref="H7">
    <cfRule type="expression" dxfId="2630" priority="21">
      <formula>SEARCH("X", $A$9) &gt; 0</formula>
    </cfRule>
  </conditionalFormatting>
  <conditionalFormatting sqref="I8">
    <cfRule type="expression" dxfId="2629" priority="20">
      <formula>SEARCH("X", $A$7) &gt; 0</formula>
    </cfRule>
  </conditionalFormatting>
  <conditionalFormatting sqref="Z7">
    <cfRule type="expression" dxfId="2628" priority="19">
      <formula>SEARCH("X", $A$9) &gt; 0</formula>
    </cfRule>
  </conditionalFormatting>
  <conditionalFormatting sqref="AA7">
    <cfRule type="expression" dxfId="2627" priority="18">
      <formula>SEARCH("X", $A$9) &gt; 0</formula>
    </cfRule>
  </conditionalFormatting>
  <conditionalFormatting sqref="AB7">
    <cfRule type="expression" dxfId="2626" priority="17">
      <formula>SEARCH("X", $A$9) &gt; 0</formula>
    </cfRule>
  </conditionalFormatting>
  <conditionalFormatting sqref="AC7">
    <cfRule type="expression" dxfId="2625" priority="16">
      <formula>SEARCH("X", $A$9) &gt; 0</formula>
    </cfRule>
  </conditionalFormatting>
  <conditionalFormatting sqref="U10">
    <cfRule type="expression" dxfId="2624" priority="15">
      <formula>SEARCH("X", $A$11) &gt; 0</formula>
    </cfRule>
  </conditionalFormatting>
  <conditionalFormatting sqref="V10">
    <cfRule type="expression" dxfId="2623" priority="14">
      <formula>SEARCH("X", $A$11) &gt; 0</formula>
    </cfRule>
  </conditionalFormatting>
  <conditionalFormatting sqref="D5">
    <cfRule type="expression" dxfId="2622" priority="11">
      <formula>SEARCH("X", $A$5) &gt; 0</formula>
    </cfRule>
  </conditionalFormatting>
  <conditionalFormatting sqref="D5">
    <cfRule type="expression" dxfId="2621" priority="12">
      <formula>WEEKDAY(E$3,2)=7</formula>
    </cfRule>
    <cfRule type="expression" dxfId="2620" priority="13">
      <formula>WEEKDAY(E$3,2)=6</formula>
    </cfRule>
  </conditionalFormatting>
  <conditionalFormatting sqref="R5">
    <cfRule type="expression" dxfId="2619" priority="8">
      <formula>SEARCH("X", $A$5) &gt; 0</formula>
    </cfRule>
  </conditionalFormatting>
  <conditionalFormatting sqref="R5">
    <cfRule type="expression" dxfId="2618" priority="9">
      <formula>WEEKDAY(S$3,2)=7</formula>
    </cfRule>
    <cfRule type="expression" dxfId="2617" priority="10">
      <formula>WEEKDAY(S$3,2)=6</formula>
    </cfRule>
  </conditionalFormatting>
  <conditionalFormatting sqref="U5">
    <cfRule type="expression" dxfId="2616" priority="5">
      <formula>SEARCH("X", $A$5) &gt; 0</formula>
    </cfRule>
  </conditionalFormatting>
  <conditionalFormatting sqref="U5">
    <cfRule type="expression" dxfId="2615" priority="6">
      <formula>WEEKDAY(V$3,2)=7</formula>
    </cfRule>
    <cfRule type="expression" dxfId="2614" priority="7">
      <formula>WEEKDAY(V$3,2)=6</formula>
    </cfRule>
  </conditionalFormatting>
  <conditionalFormatting sqref="Y5">
    <cfRule type="expression" dxfId="2613" priority="2">
      <formula>SEARCH("X", $A$5) &gt; 0</formula>
    </cfRule>
  </conditionalFormatting>
  <conditionalFormatting sqref="Y5">
    <cfRule type="expression" dxfId="2612" priority="3">
      <formula>WEEKDAY(Z$3,2)=7</formula>
    </cfRule>
    <cfRule type="expression" dxfId="2611" priority="4">
      <formula>WEEKDAY(Z$3,2)=6</formula>
    </cfRule>
  </conditionalFormatting>
  <conditionalFormatting sqref="H9">
    <cfRule type="expression" dxfId="2610" priority="1">
      <formula>SEARCH("X", $A$5) &gt; 0</formula>
    </cfRule>
  </conditionalFormatting>
  <dataValidations count="12">
    <dataValidation type="list" allowBlank="1" showInputMessage="1" showErrorMessage="1" sqref="E16:F23" xr:uid="{C1CADD01-58C7-41F6-BA38-1C56066FFC14}">
      <formula1>$A$5:$A$12</formula1>
    </dataValidation>
    <dataValidation type="list" allowBlank="1" showInputMessage="1" sqref="A13:A14" xr:uid="{4899890B-E533-4E35-87C7-8B1FEB8AF274}">
      <formula1>$AI$23:$AJ$23</formula1>
    </dataValidation>
    <dataValidation type="list" allowBlank="1" showInputMessage="1" showErrorMessage="1" sqref="C16:D23" xr:uid="{2BC93A97-9BE0-48CC-AC91-0E967674BB35}">
      <formula1>$AM$17:$AM$20</formula1>
    </dataValidation>
    <dataValidation type="list" allowBlank="1" showInputMessage="1" sqref="B5:AF12" xr:uid="{E7302B05-7E6F-43AB-9AD3-CA5637AC72E8}">
      <formula1>$AH$14:$AH$24</formula1>
    </dataValidation>
    <dataValidation type="list" allowBlank="1" showInputMessage="1" showErrorMessage="1" sqref="A10" xr:uid="{30898FFB-35C2-43D8-BFF8-906A1E75F57C}">
      <formula1>$AI$21:$AJ$21</formula1>
    </dataValidation>
    <dataValidation type="list" allowBlank="1" showInputMessage="1" showErrorMessage="1" sqref="A9" xr:uid="{E03CACDB-69A1-4C1F-95A8-C6038C7C8248}">
      <formula1>$AI$20:$AJ$20</formula1>
    </dataValidation>
    <dataValidation type="list" allowBlank="1" showInputMessage="1" showErrorMessage="1" sqref="A6" xr:uid="{4136D8E8-3D62-4030-91E6-A398BD4F51FB}">
      <formula1>$AI$17:$AJ$17</formula1>
    </dataValidation>
    <dataValidation type="list" allowBlank="1" showInputMessage="1" showErrorMessage="1" sqref="A8" xr:uid="{5E500D0C-C34B-4A91-9481-F9F04AC1285C}">
      <formula1>$AI$19:$AJ$19</formula1>
    </dataValidation>
    <dataValidation type="list" allowBlank="1" showInputMessage="1" showErrorMessage="1" sqref="A7" xr:uid="{B5F0756F-EB76-4BB0-BB6D-12B7D68EE12C}">
      <formula1>$AI$18:$AJ$18</formula1>
    </dataValidation>
    <dataValidation type="list" allowBlank="1" showInputMessage="1" showErrorMessage="1" sqref="A5" xr:uid="{0036C495-B222-4513-99F1-AF32FF692560}">
      <formula1>$AI$16:$AJ$16</formula1>
    </dataValidation>
    <dataValidation type="list" allowBlank="1" showInputMessage="1" showErrorMessage="1" sqref="A11" xr:uid="{B96C2EB3-9FF5-4327-8604-CB94B21EE377}">
      <formula1>$AI$22:$AJ$22</formula1>
    </dataValidation>
    <dataValidation type="list" allowBlank="1" showInputMessage="1" showErrorMessage="1" sqref="A12" xr:uid="{0B1AA7EF-08A2-4E52-ACF8-0D432D710D90}">
      <formula1>$AI$23:$AJ$23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1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E3122-57A9-444F-B346-56AF9570D9A7}">
  <sheetPr codeName="工作表8">
    <pageSetUpPr fitToPage="1"/>
  </sheetPr>
  <dimension ref="A1:AM28"/>
  <sheetViews>
    <sheetView zoomScale="55" zoomScaleNormal="55" workbookViewId="0">
      <selection activeCell="J16" sqref="J16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419"/>
      <c r="C2" s="1"/>
      <c r="D2" s="1"/>
      <c r="F2" s="1"/>
      <c r="G2" s="26">
        <v>2025</v>
      </c>
      <c r="H2" s="27" t="str">
        <f>"("&amp;YEAR(B3)-1911&amp;" 年 "&amp;")"</f>
        <v>(114 年 )</v>
      </c>
      <c r="I2" s="22"/>
      <c r="J2" s="23">
        <v>1</v>
      </c>
      <c r="K2" s="28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65" t="s">
        <v>287</v>
      </c>
      <c r="AA2" s="11"/>
      <c r="AC2" s="165" t="s">
        <v>288</v>
      </c>
      <c r="AD2" s="160" t="s">
        <v>278</v>
      </c>
      <c r="AE2" s="11" t="s">
        <v>279</v>
      </c>
      <c r="AF2" s="11" t="s">
        <v>280</v>
      </c>
    </row>
    <row r="3" spans="1:39" ht="27.5">
      <c r="A3" s="19" t="s">
        <v>1</v>
      </c>
      <c r="B3" s="30">
        <f>DATE($G$2,$J$2,1)</f>
        <v>45658</v>
      </c>
      <c r="C3" s="30">
        <f>B3+1</f>
        <v>45659</v>
      </c>
      <c r="D3" s="30">
        <f t="shared" ref="D3:AB3" si="0">C3+1</f>
        <v>45660</v>
      </c>
      <c r="E3" s="30">
        <f t="shared" si="0"/>
        <v>45661</v>
      </c>
      <c r="F3" s="30">
        <f t="shared" si="0"/>
        <v>45662</v>
      </c>
      <c r="G3" s="30">
        <f t="shared" si="0"/>
        <v>45663</v>
      </c>
      <c r="H3" s="30">
        <f t="shared" si="0"/>
        <v>45664</v>
      </c>
      <c r="I3" s="30">
        <f t="shared" si="0"/>
        <v>45665</v>
      </c>
      <c r="J3" s="30">
        <f t="shared" si="0"/>
        <v>45666</v>
      </c>
      <c r="K3" s="30">
        <f t="shared" si="0"/>
        <v>45667</v>
      </c>
      <c r="L3" s="30">
        <f t="shared" si="0"/>
        <v>45668</v>
      </c>
      <c r="M3" s="30">
        <f t="shared" si="0"/>
        <v>45669</v>
      </c>
      <c r="N3" s="30">
        <f t="shared" si="0"/>
        <v>45670</v>
      </c>
      <c r="O3" s="30">
        <f t="shared" si="0"/>
        <v>45671</v>
      </c>
      <c r="P3" s="30">
        <f t="shared" si="0"/>
        <v>45672</v>
      </c>
      <c r="Q3" s="30">
        <f t="shared" si="0"/>
        <v>45673</v>
      </c>
      <c r="R3" s="30">
        <f t="shared" si="0"/>
        <v>45674</v>
      </c>
      <c r="S3" s="30">
        <f t="shared" si="0"/>
        <v>45675</v>
      </c>
      <c r="T3" s="30">
        <f t="shared" si="0"/>
        <v>45676</v>
      </c>
      <c r="U3" s="30">
        <f t="shared" si="0"/>
        <v>45677</v>
      </c>
      <c r="V3" s="30">
        <f t="shared" si="0"/>
        <v>45678</v>
      </c>
      <c r="W3" s="30">
        <f t="shared" si="0"/>
        <v>45679</v>
      </c>
      <c r="X3" s="30">
        <f t="shared" si="0"/>
        <v>45680</v>
      </c>
      <c r="Y3" s="30">
        <f t="shared" si="0"/>
        <v>45681</v>
      </c>
      <c r="Z3" s="30">
        <f t="shared" si="0"/>
        <v>45682</v>
      </c>
      <c r="AA3" s="30">
        <f t="shared" si="0"/>
        <v>45683</v>
      </c>
      <c r="AB3" s="30">
        <f t="shared" si="0"/>
        <v>45684</v>
      </c>
      <c r="AC3" s="30">
        <f>IFERROR(IF(MONTH(AB3+1)=$J$2,AB3+1,""),"")</f>
        <v>45685</v>
      </c>
      <c r="AD3" s="162">
        <f>IFERROR(IF(MONTH(AC3+1)=$J$2,AC3+1,""),"")</f>
        <v>45686</v>
      </c>
      <c r="AE3" s="162">
        <f>IFERROR(IF(MONTH(AD3+1)=$J$2,AD3+1,""),"")</f>
        <v>45687</v>
      </c>
      <c r="AF3" s="162">
        <f>IFERROR(IF(MONTH(AE3+1)=$J$2,AE3+1,""),"")</f>
        <v>45688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3</v>
      </c>
      <c r="C4" s="31">
        <f>IFERROR(IF(WEEKDAY(C3,2)=7,"日",WEEKDAY(C3,2)),"")</f>
        <v>4</v>
      </c>
      <c r="D4" s="31">
        <f t="shared" si="1"/>
        <v>5</v>
      </c>
      <c r="E4" s="31">
        <f t="shared" si="1"/>
        <v>6</v>
      </c>
      <c r="F4" s="31" t="str">
        <f t="shared" si="1"/>
        <v>日</v>
      </c>
      <c r="G4" s="31">
        <f t="shared" si="1"/>
        <v>1</v>
      </c>
      <c r="H4" s="31">
        <f t="shared" si="1"/>
        <v>2</v>
      </c>
      <c r="I4" s="31">
        <f t="shared" si="1"/>
        <v>3</v>
      </c>
      <c r="J4" s="31">
        <f t="shared" si="1"/>
        <v>4</v>
      </c>
      <c r="K4" s="31">
        <f t="shared" si="1"/>
        <v>5</v>
      </c>
      <c r="L4" s="31">
        <f t="shared" si="1"/>
        <v>6</v>
      </c>
      <c r="M4" s="31" t="str">
        <f t="shared" si="1"/>
        <v>日</v>
      </c>
      <c r="N4" s="31">
        <f t="shared" si="1"/>
        <v>1</v>
      </c>
      <c r="O4" s="31">
        <f t="shared" si="1"/>
        <v>2</v>
      </c>
      <c r="P4" s="31">
        <f t="shared" si="1"/>
        <v>3</v>
      </c>
      <c r="Q4" s="31">
        <f t="shared" si="1"/>
        <v>4</v>
      </c>
      <c r="R4" s="31">
        <f t="shared" si="1"/>
        <v>5</v>
      </c>
      <c r="S4" s="31">
        <f t="shared" si="1"/>
        <v>6</v>
      </c>
      <c r="T4" s="31" t="str">
        <f t="shared" si="1"/>
        <v>日</v>
      </c>
      <c r="U4" s="31">
        <f t="shared" si="1"/>
        <v>1</v>
      </c>
      <c r="V4" s="31">
        <f t="shared" si="1"/>
        <v>2</v>
      </c>
      <c r="W4" s="31">
        <f t="shared" si="1"/>
        <v>3</v>
      </c>
      <c r="X4" s="31">
        <f t="shared" si="1"/>
        <v>4</v>
      </c>
      <c r="Y4" s="31">
        <f t="shared" si="1"/>
        <v>5</v>
      </c>
      <c r="Z4" s="31">
        <f t="shared" si="1"/>
        <v>6</v>
      </c>
      <c r="AA4" s="31" t="str">
        <f t="shared" si="1"/>
        <v>日</v>
      </c>
      <c r="AB4" s="31">
        <f t="shared" si="1"/>
        <v>1</v>
      </c>
      <c r="AC4" s="31">
        <f t="shared" si="1"/>
        <v>2</v>
      </c>
      <c r="AD4" s="163">
        <f t="shared" si="1"/>
        <v>3</v>
      </c>
      <c r="AE4" s="163">
        <f t="shared" si="1"/>
        <v>4</v>
      </c>
      <c r="AF4" s="163">
        <f t="shared" si="1"/>
        <v>5</v>
      </c>
      <c r="AG4" s="420" t="s">
        <v>42</v>
      </c>
      <c r="AH4" s="421"/>
      <c r="AI4" s="421"/>
      <c r="AJ4" s="421"/>
      <c r="AK4" s="421"/>
      <c r="AL4" s="422"/>
    </row>
    <row r="5" spans="1:39" ht="21.5">
      <c r="A5" s="6" t="s">
        <v>9</v>
      </c>
      <c r="B5" s="166" t="s">
        <v>2</v>
      </c>
      <c r="C5" s="88"/>
      <c r="D5" s="88"/>
      <c r="E5" s="88"/>
      <c r="F5" s="62" t="s">
        <v>2</v>
      </c>
      <c r="G5" s="62" t="s">
        <v>2</v>
      </c>
      <c r="H5" s="88" t="s">
        <v>5</v>
      </c>
      <c r="I5" s="88" t="s">
        <v>5</v>
      </c>
      <c r="J5" s="88" t="s">
        <v>5</v>
      </c>
      <c r="K5" s="88" t="s">
        <v>5</v>
      </c>
      <c r="L5" s="62" t="s">
        <v>2</v>
      </c>
      <c r="M5" s="62" t="s">
        <v>2</v>
      </c>
      <c r="N5" s="62" t="s">
        <v>2</v>
      </c>
      <c r="O5" s="62" t="s">
        <v>2</v>
      </c>
      <c r="P5" s="62" t="s">
        <v>2</v>
      </c>
      <c r="Q5" s="62" t="s">
        <v>2</v>
      </c>
      <c r="R5" s="62" t="s">
        <v>2</v>
      </c>
      <c r="S5" s="88"/>
      <c r="T5" s="88" t="s">
        <v>271</v>
      </c>
      <c r="U5" s="62" t="s">
        <v>2</v>
      </c>
      <c r="V5" s="62" t="s">
        <v>2</v>
      </c>
      <c r="W5" s="88" t="s">
        <v>3</v>
      </c>
      <c r="X5" s="88"/>
      <c r="Y5" s="62" t="s">
        <v>2</v>
      </c>
      <c r="Z5" s="62" t="s">
        <v>2</v>
      </c>
      <c r="AA5" s="62" t="s">
        <v>2</v>
      </c>
      <c r="AB5" s="62" t="s">
        <v>2</v>
      </c>
      <c r="AC5" s="166" t="s">
        <v>2</v>
      </c>
      <c r="AD5" s="153" t="s">
        <v>5</v>
      </c>
      <c r="AE5" s="166" t="s">
        <v>2</v>
      </c>
      <c r="AF5" s="166" t="s">
        <v>2</v>
      </c>
      <c r="AG5" s="3">
        <f>(AH5*12)+(AI5*12)+(AK5*8)+(AL5*4)</f>
        <v>116</v>
      </c>
      <c r="AH5" s="3">
        <f>COUNTIF(B5:AF5,"D")</f>
        <v>2</v>
      </c>
      <c r="AI5" s="3">
        <f>COUNTIF(B5:AF5,"N")</f>
        <v>5</v>
      </c>
      <c r="AJ5" s="3">
        <f>COUNTIF(B5:AF5,"OFF")+COUNTIF(B5:AF5,"上課")</f>
        <v>19</v>
      </c>
      <c r="AK5" s="3">
        <f>COUNTIF(B5:AF5,"")-AL5+COUNTIF(B5:AF5,"h3")</f>
        <v>3</v>
      </c>
      <c r="AL5" s="3">
        <f>COUNTIFS($B$4:$AF$4,"6",B5:AF5,"")+COUNTIF(B5:AF5,"h3")</f>
        <v>2</v>
      </c>
      <c r="AM5" s="3">
        <f t="array" ref="AM5">SUMPRODUCT(($B$4:$AF$4=6)*(B5:AF5="off"))</f>
        <v>2</v>
      </c>
    </row>
    <row r="6" spans="1:39" ht="21.5">
      <c r="A6" s="6" t="s">
        <v>45</v>
      </c>
      <c r="B6" s="166" t="s">
        <v>2</v>
      </c>
      <c r="C6" s="62" t="s">
        <v>2</v>
      </c>
      <c r="D6" s="33" t="s">
        <v>2</v>
      </c>
      <c r="E6" s="62" t="s">
        <v>2</v>
      </c>
      <c r="F6" s="62" t="s">
        <v>2</v>
      </c>
      <c r="G6" s="88" t="s">
        <v>3</v>
      </c>
      <c r="H6" s="88"/>
      <c r="I6" s="88"/>
      <c r="J6" s="33" t="s">
        <v>85</v>
      </c>
      <c r="K6" s="33" t="s">
        <v>2</v>
      </c>
      <c r="L6" s="62" t="s">
        <v>2</v>
      </c>
      <c r="M6" s="62" t="s">
        <v>2</v>
      </c>
      <c r="N6" s="62" t="s">
        <v>2</v>
      </c>
      <c r="O6" s="62" t="s">
        <v>2</v>
      </c>
      <c r="P6" s="62" t="s">
        <v>2</v>
      </c>
      <c r="Q6" s="62" t="s">
        <v>2</v>
      </c>
      <c r="R6" s="62" t="s">
        <v>5</v>
      </c>
      <c r="S6" s="88" t="s">
        <v>272</v>
      </c>
      <c r="T6" s="88" t="s">
        <v>272</v>
      </c>
      <c r="U6" s="88" t="s">
        <v>5</v>
      </c>
      <c r="V6" s="62" t="s">
        <v>2</v>
      </c>
      <c r="W6" s="88"/>
      <c r="X6" s="88" t="s">
        <v>3</v>
      </c>
      <c r="Y6" s="88"/>
      <c r="Z6" s="88"/>
      <c r="AA6" s="62" t="s">
        <v>2</v>
      </c>
      <c r="AB6" s="62" t="s">
        <v>2</v>
      </c>
      <c r="AC6" s="166" t="s">
        <v>2</v>
      </c>
      <c r="AD6" s="166" t="s">
        <v>2</v>
      </c>
      <c r="AE6" s="166" t="s">
        <v>2</v>
      </c>
      <c r="AF6" s="166" t="s">
        <v>2</v>
      </c>
      <c r="AG6" s="3">
        <f>(AH6*12)+(AI6*12)+(AK6*8)+(AL6*4)</f>
        <v>108</v>
      </c>
      <c r="AH6" s="3">
        <f t="shared" ref="AH6:AH12" si="2">COUNTIF(B6:AF6,"D")</f>
        <v>2</v>
      </c>
      <c r="AI6" s="3">
        <f t="shared" ref="AI6:AI12" si="3">COUNTIF(B6:AF6,"N")</f>
        <v>4</v>
      </c>
      <c r="AJ6" s="3">
        <f t="shared" ref="AJ6:AJ12" si="4">COUNTIF(B6:AF6,"OFF")+COUNTIF(B6:AF6,"上課")</f>
        <v>19</v>
      </c>
      <c r="AK6" s="3">
        <f t="shared" ref="AK6:AK12" si="5">COUNTIF(B6:AF6,"")-AL6+COUNTIF(B6:AF6,"h3")</f>
        <v>4</v>
      </c>
      <c r="AL6" s="3">
        <f t="shared" ref="AL6:AL12" si="6">COUNTIFS($B$4:$AF$4,"6",B6:AF6,"")+COUNTIF(B6:AF6,"h3")</f>
        <v>1</v>
      </c>
      <c r="AM6" s="3">
        <f t="array" ref="AM6">SUMPRODUCT(($B$4:$AF$4=6)*(B6:AF6="off"))</f>
        <v>2</v>
      </c>
    </row>
    <row r="7" spans="1:39" ht="21.5">
      <c r="A7" s="6" t="s">
        <v>17</v>
      </c>
      <c r="B7" s="166" t="s">
        <v>2</v>
      </c>
      <c r="C7" s="88"/>
      <c r="D7" s="88" t="s">
        <v>3</v>
      </c>
      <c r="E7" s="62" t="s">
        <v>2</v>
      </c>
      <c r="F7" s="62" t="s">
        <v>2</v>
      </c>
      <c r="G7" s="62" t="s">
        <v>2</v>
      </c>
      <c r="H7" s="62" t="s">
        <v>2</v>
      </c>
      <c r="I7" s="88" t="s">
        <v>3</v>
      </c>
      <c r="J7" s="62" t="s">
        <v>2</v>
      </c>
      <c r="K7" s="62" t="s">
        <v>2</v>
      </c>
      <c r="L7" s="62" t="s">
        <v>2</v>
      </c>
      <c r="M7" s="62" t="s">
        <v>2</v>
      </c>
      <c r="O7" s="88" t="s">
        <v>3</v>
      </c>
      <c r="P7" s="62" t="s">
        <v>2</v>
      </c>
      <c r="Q7" s="88" t="s">
        <v>3</v>
      </c>
      <c r="S7" s="88"/>
      <c r="T7" s="62" t="s">
        <v>2</v>
      </c>
      <c r="U7" s="88"/>
      <c r="V7" s="88" t="s">
        <v>3</v>
      </c>
      <c r="W7" s="62" t="s">
        <v>2</v>
      </c>
      <c r="X7" s="88" t="s">
        <v>4</v>
      </c>
      <c r="Y7" s="88" t="s">
        <v>3</v>
      </c>
      <c r="Z7" s="88"/>
      <c r="AA7" s="62" t="s">
        <v>2</v>
      </c>
      <c r="AB7" s="62" t="s">
        <v>2</v>
      </c>
      <c r="AC7" s="166" t="s">
        <v>2</v>
      </c>
      <c r="AD7" s="166" t="s">
        <v>2</v>
      </c>
      <c r="AE7" s="166" t="s">
        <v>2</v>
      </c>
      <c r="AF7" s="166" t="s">
        <v>2</v>
      </c>
      <c r="AG7" s="3">
        <f t="shared" ref="AG7:AG12" si="7">(AH7*12)+(AI7*12)+(AK7*8)+(AL7*4)</f>
        <v>112</v>
      </c>
      <c r="AH7" s="3">
        <f t="shared" si="2"/>
        <v>6</v>
      </c>
      <c r="AI7" s="3">
        <f t="shared" si="3"/>
        <v>0</v>
      </c>
      <c r="AJ7" s="3">
        <f t="shared" si="4"/>
        <v>19</v>
      </c>
      <c r="AK7" s="3">
        <f t="shared" si="5"/>
        <v>4</v>
      </c>
      <c r="AL7" s="3">
        <f t="shared" si="6"/>
        <v>2</v>
      </c>
      <c r="AM7" s="3">
        <f t="array" ref="AM7">SUMPRODUCT(($B$4:$AF$4=6)*(B7:AF7="off"))</f>
        <v>2</v>
      </c>
    </row>
    <row r="8" spans="1:39" ht="21.5">
      <c r="A8" s="6" t="s">
        <v>46</v>
      </c>
      <c r="B8" s="166" t="s">
        <v>2</v>
      </c>
      <c r="C8" s="88" t="s">
        <v>5</v>
      </c>
      <c r="D8" s="88" t="s">
        <v>5</v>
      </c>
      <c r="E8" s="62" t="s">
        <v>2</v>
      </c>
      <c r="F8" s="62" t="s">
        <v>2</v>
      </c>
      <c r="G8" s="88"/>
      <c r="H8" s="88" t="s">
        <v>3</v>
      </c>
      <c r="I8" s="62" t="s">
        <v>2</v>
      </c>
      <c r="J8" s="88"/>
      <c r="K8" s="88" t="s">
        <v>3</v>
      </c>
      <c r="L8" s="33"/>
      <c r="M8" s="62" t="s">
        <v>2</v>
      </c>
      <c r="N8" s="62" t="s">
        <v>2</v>
      </c>
      <c r="O8" s="62" t="s">
        <v>2</v>
      </c>
      <c r="P8" s="62" t="s">
        <v>2</v>
      </c>
      <c r="Q8" s="62" t="s">
        <v>2</v>
      </c>
      <c r="R8" s="33" t="s">
        <v>2</v>
      </c>
      <c r="S8" s="33" t="s">
        <v>2</v>
      </c>
      <c r="T8" s="62" t="s">
        <v>2</v>
      </c>
      <c r="U8" s="33" t="s">
        <v>2</v>
      </c>
      <c r="V8" s="88" t="s">
        <v>5</v>
      </c>
      <c r="W8" s="88" t="s">
        <v>5</v>
      </c>
      <c r="X8" s="62" t="s">
        <v>2</v>
      </c>
      <c r="Y8" s="88"/>
      <c r="Z8" s="88"/>
      <c r="AA8" s="62" t="s">
        <v>2</v>
      </c>
      <c r="AB8" s="88" t="s">
        <v>3</v>
      </c>
      <c r="AC8" s="153" t="s">
        <v>285</v>
      </c>
      <c r="AD8" s="166" t="s">
        <v>2</v>
      </c>
      <c r="AE8" s="153" t="s">
        <v>286</v>
      </c>
      <c r="AF8" s="153" t="s">
        <v>285</v>
      </c>
      <c r="AG8" s="3">
        <f t="shared" si="7"/>
        <v>152</v>
      </c>
      <c r="AH8" s="3">
        <f t="shared" si="2"/>
        <v>4</v>
      </c>
      <c r="AI8" s="3">
        <f t="shared" si="3"/>
        <v>6</v>
      </c>
      <c r="AJ8" s="3">
        <f t="shared" si="4"/>
        <v>16</v>
      </c>
      <c r="AK8" s="3">
        <f t="shared" si="5"/>
        <v>3</v>
      </c>
      <c r="AL8" s="3">
        <f t="shared" si="6"/>
        <v>2</v>
      </c>
      <c r="AM8" s="3">
        <f t="array" ref="AM8">SUMPRODUCT(($B$4:$AF$4=6)*(B8:AF8="off"))</f>
        <v>2</v>
      </c>
    </row>
    <row r="9" spans="1:39" ht="21.5">
      <c r="A9" s="6" t="s">
        <v>12</v>
      </c>
      <c r="B9" s="153" t="s">
        <v>7</v>
      </c>
      <c r="C9" s="62" t="s">
        <v>2</v>
      </c>
      <c r="D9" s="62" t="s">
        <v>2</v>
      </c>
      <c r="E9" s="88" t="s">
        <v>272</v>
      </c>
      <c r="F9" s="88" t="s">
        <v>272</v>
      </c>
      <c r="G9" s="62" t="s">
        <v>5</v>
      </c>
      <c r="H9" s="62" t="s">
        <v>2</v>
      </c>
      <c r="I9" s="62" t="s">
        <v>2</v>
      </c>
      <c r="J9" s="62" t="s">
        <v>4</v>
      </c>
      <c r="K9" s="62" t="s">
        <v>2</v>
      </c>
      <c r="L9" s="62" t="s">
        <v>2</v>
      </c>
      <c r="M9" s="62" t="s">
        <v>2</v>
      </c>
      <c r="N9" s="88"/>
      <c r="O9" s="88"/>
      <c r="P9" s="88"/>
      <c r="Q9" s="88" t="s">
        <v>5</v>
      </c>
      <c r="R9" s="62" t="s">
        <v>2</v>
      </c>
      <c r="S9" s="62" t="s">
        <v>2</v>
      </c>
      <c r="T9" s="62" t="s">
        <v>2</v>
      </c>
      <c r="U9" s="62" t="s">
        <v>2</v>
      </c>
      <c r="V9" s="62" t="s">
        <v>2</v>
      </c>
      <c r="W9" s="62" t="s">
        <v>2</v>
      </c>
      <c r="X9" s="33" t="s">
        <v>2</v>
      </c>
      <c r="Y9" s="33" t="s">
        <v>2</v>
      </c>
      <c r="Z9" s="33" t="s">
        <v>2</v>
      </c>
      <c r="AA9" s="62" t="s">
        <v>2</v>
      </c>
      <c r="AB9" s="62" t="s">
        <v>2</v>
      </c>
      <c r="AC9" s="166" t="s">
        <v>2</v>
      </c>
      <c r="AD9" s="166" t="s">
        <v>2</v>
      </c>
      <c r="AE9" s="166" t="s">
        <v>2</v>
      </c>
      <c r="AF9" s="166" t="s">
        <v>2</v>
      </c>
      <c r="AG9" s="3">
        <f t="shared" si="7"/>
        <v>84</v>
      </c>
      <c r="AH9" s="3">
        <f t="shared" si="2"/>
        <v>1</v>
      </c>
      <c r="AI9" s="3">
        <f t="shared" si="3"/>
        <v>4</v>
      </c>
      <c r="AJ9" s="3">
        <f t="shared" si="4"/>
        <v>23</v>
      </c>
      <c r="AK9" s="3">
        <f t="shared" si="5"/>
        <v>3</v>
      </c>
      <c r="AL9" s="3">
        <f t="shared" si="6"/>
        <v>0</v>
      </c>
      <c r="AM9" s="3">
        <f t="array" ref="AM9">SUMPRODUCT(($B$4:$AF$4=6)*(B9:AF9="off"))</f>
        <v>3</v>
      </c>
    </row>
    <row r="10" spans="1:39" ht="21.5">
      <c r="A10" s="6" t="s">
        <v>49</v>
      </c>
      <c r="B10" s="166" t="s">
        <v>2</v>
      </c>
      <c r="C10" s="62" t="s">
        <v>2</v>
      </c>
      <c r="D10" s="33" t="s">
        <v>2</v>
      </c>
      <c r="E10" s="88" t="s">
        <v>271</v>
      </c>
      <c r="F10" s="62" t="s">
        <v>2</v>
      </c>
      <c r="G10" s="62" t="s">
        <v>2</v>
      </c>
      <c r="H10" s="33" t="s">
        <v>2</v>
      </c>
      <c r="I10" s="62" t="s">
        <v>2</v>
      </c>
      <c r="J10" s="62" t="s">
        <v>2</v>
      </c>
      <c r="K10" s="33"/>
      <c r="L10" s="88" t="s">
        <v>272</v>
      </c>
      <c r="M10" s="88" t="s">
        <v>272</v>
      </c>
      <c r="N10" s="62" t="s">
        <v>2</v>
      </c>
      <c r="O10" s="62" t="s">
        <v>2</v>
      </c>
      <c r="P10" s="88"/>
      <c r="Q10" s="88"/>
      <c r="R10" s="88" t="s">
        <v>3</v>
      </c>
      <c r="S10" s="62" t="s">
        <v>2</v>
      </c>
      <c r="T10" s="62" t="s">
        <v>2</v>
      </c>
      <c r="W10" s="62" t="s">
        <v>2</v>
      </c>
      <c r="X10" s="88" t="s">
        <v>5</v>
      </c>
      <c r="Y10" s="62" t="s">
        <v>5</v>
      </c>
      <c r="Z10" s="62" t="s">
        <v>2</v>
      </c>
      <c r="AA10" s="62" t="s">
        <v>2</v>
      </c>
      <c r="AB10" s="88"/>
      <c r="AC10" s="166" t="s">
        <v>2</v>
      </c>
      <c r="AD10" s="166" t="s">
        <v>2</v>
      </c>
      <c r="AE10" s="166" t="s">
        <v>2</v>
      </c>
      <c r="AF10" s="166" t="s">
        <v>2</v>
      </c>
      <c r="AG10" s="3">
        <f t="shared" si="7"/>
        <v>120</v>
      </c>
      <c r="AH10" s="3">
        <f t="shared" si="2"/>
        <v>2</v>
      </c>
      <c r="AI10" s="3">
        <f t="shared" si="3"/>
        <v>4</v>
      </c>
      <c r="AJ10" s="3">
        <f t="shared" si="4"/>
        <v>19</v>
      </c>
      <c r="AK10" s="3">
        <f t="shared" si="5"/>
        <v>6</v>
      </c>
      <c r="AL10" s="3">
        <f t="shared" si="6"/>
        <v>0</v>
      </c>
      <c r="AM10" s="3">
        <f t="array" ref="AM10">SUMPRODUCT(($B$4:$AF$4=6)*(B10:AF10="off"))</f>
        <v>2</v>
      </c>
    </row>
    <row r="11" spans="1:39" ht="21.5">
      <c r="A11" s="6" t="s">
        <v>50</v>
      </c>
      <c r="B11" s="166" t="s">
        <v>2</v>
      </c>
      <c r="C11" s="88" t="s">
        <v>3</v>
      </c>
      <c r="D11" s="88"/>
      <c r="E11" s="88"/>
      <c r="F11" s="88" t="s">
        <v>271</v>
      </c>
      <c r="G11" s="62" t="s">
        <v>2</v>
      </c>
      <c r="H11" s="62" t="s">
        <v>2</v>
      </c>
      <c r="I11" s="62" t="s">
        <v>2</v>
      </c>
      <c r="J11" s="62" t="s">
        <v>2</v>
      </c>
      <c r="K11" s="33"/>
      <c r="L11" s="88" t="s">
        <v>271</v>
      </c>
      <c r="M11" s="62" t="s">
        <v>2</v>
      </c>
      <c r="N11" s="88" t="s">
        <v>3</v>
      </c>
      <c r="P11" s="88" t="s">
        <v>3</v>
      </c>
      <c r="Q11" s="88"/>
      <c r="R11" s="62" t="s">
        <v>2</v>
      </c>
      <c r="S11" s="33" t="s">
        <v>2</v>
      </c>
      <c r="T11" s="62" t="s">
        <v>2</v>
      </c>
      <c r="U11" s="62" t="s">
        <v>2</v>
      </c>
      <c r="V11" s="62" t="s">
        <v>2</v>
      </c>
      <c r="W11" s="62" t="s">
        <v>2</v>
      </c>
      <c r="X11" s="62" t="s">
        <v>2</v>
      </c>
      <c r="Y11" s="62" t="s">
        <v>2</v>
      </c>
      <c r="Z11" s="62" t="s">
        <v>2</v>
      </c>
      <c r="AA11" s="62" t="s">
        <v>2</v>
      </c>
      <c r="AB11" s="62" t="s">
        <v>2</v>
      </c>
      <c r="AC11" s="166" t="s">
        <v>2</v>
      </c>
      <c r="AD11" s="166" t="s">
        <v>2</v>
      </c>
      <c r="AE11" s="166" t="s">
        <v>2</v>
      </c>
      <c r="AF11" s="166" t="s">
        <v>2</v>
      </c>
      <c r="AG11" s="3">
        <f t="shared" si="7"/>
        <v>96</v>
      </c>
      <c r="AH11" s="3">
        <f t="shared" si="2"/>
        <v>5</v>
      </c>
      <c r="AI11" s="3">
        <f t="shared" si="3"/>
        <v>0</v>
      </c>
      <c r="AJ11" s="3">
        <f t="shared" si="4"/>
        <v>21</v>
      </c>
      <c r="AK11" s="3">
        <f t="shared" si="5"/>
        <v>4</v>
      </c>
      <c r="AL11" s="3">
        <f t="shared" si="6"/>
        <v>1</v>
      </c>
      <c r="AM11" s="3">
        <f t="array" ref="AM11">SUMPRODUCT(($B$4:$AF$4=6)*(B11:AF11="off"))</f>
        <v>2</v>
      </c>
    </row>
    <row r="12" spans="1:39" ht="21.5">
      <c r="A12" s="6" t="s">
        <v>51</v>
      </c>
      <c r="B12" s="153" t="s">
        <v>6</v>
      </c>
      <c r="C12" s="62" t="s">
        <v>2</v>
      </c>
      <c r="D12" s="62" t="s">
        <v>2</v>
      </c>
      <c r="E12" s="62" t="s">
        <v>2</v>
      </c>
      <c r="F12" s="62" t="s">
        <v>2</v>
      </c>
      <c r="G12" s="88"/>
      <c r="H12" s="88"/>
      <c r="I12" s="33"/>
      <c r="J12" s="62" t="s">
        <v>3</v>
      </c>
      <c r="K12" s="62" t="s">
        <v>2</v>
      </c>
      <c r="L12" s="88"/>
      <c r="M12" s="88" t="s">
        <v>271</v>
      </c>
      <c r="N12" s="88" t="s">
        <v>5</v>
      </c>
      <c r="O12" s="88" t="s">
        <v>5</v>
      </c>
      <c r="P12" s="88" t="s">
        <v>5</v>
      </c>
      <c r="Q12" s="62" t="s">
        <v>2</v>
      </c>
      <c r="R12" s="88"/>
      <c r="S12" s="88" t="s">
        <v>271</v>
      </c>
      <c r="T12" s="62" t="s">
        <v>2</v>
      </c>
      <c r="U12" s="88" t="s">
        <v>3</v>
      </c>
      <c r="V12" s="88"/>
      <c r="W12" s="88"/>
      <c r="X12" s="62" t="s">
        <v>2</v>
      </c>
      <c r="Y12" s="62" t="s">
        <v>2</v>
      </c>
      <c r="Z12" s="62" t="s">
        <v>2</v>
      </c>
      <c r="AA12" s="62" t="s">
        <v>2</v>
      </c>
      <c r="AB12" s="62" t="s">
        <v>2</v>
      </c>
      <c r="AC12" s="166" t="s">
        <v>2</v>
      </c>
      <c r="AD12" s="153" t="s">
        <v>286</v>
      </c>
      <c r="AE12" s="153" t="s">
        <v>5</v>
      </c>
      <c r="AF12" s="166" t="s">
        <v>2</v>
      </c>
      <c r="AG12" s="3">
        <f t="shared" si="7"/>
        <v>172</v>
      </c>
      <c r="AH12" s="3">
        <f t="shared" si="2"/>
        <v>5</v>
      </c>
      <c r="AI12" s="3">
        <f t="shared" si="3"/>
        <v>5</v>
      </c>
      <c r="AJ12" s="3">
        <f t="shared" si="4"/>
        <v>14</v>
      </c>
      <c r="AK12" s="3">
        <f t="shared" si="5"/>
        <v>6</v>
      </c>
      <c r="AL12" s="3">
        <f t="shared" si="6"/>
        <v>1</v>
      </c>
      <c r="AM12" s="3">
        <f t="array" ref="AM12">SUMPRODUCT(($B$4:$AF$4=6)*(B12:AF12="off"))</f>
        <v>2</v>
      </c>
    </row>
    <row r="13" spans="1:39" ht="21.5">
      <c r="A13" s="93" t="s">
        <v>249</v>
      </c>
      <c r="B13" s="115">
        <f>IF(B4="","",IF(B4="日",2,IF(B4=6,4,IF(B4&lt;6,4))))</f>
        <v>4</v>
      </c>
      <c r="C13" s="115">
        <f t="shared" ref="C13:AF13" si="8">IF(C4="","",IF(C4="日",2,IF(C4=6,4,IF(C4&lt;6,4))))</f>
        <v>4</v>
      </c>
      <c r="D13" s="115">
        <f t="shared" si="8"/>
        <v>4</v>
      </c>
      <c r="E13" s="115">
        <f t="shared" si="8"/>
        <v>4</v>
      </c>
      <c r="F13" s="115">
        <f t="shared" si="8"/>
        <v>2</v>
      </c>
      <c r="G13" s="115">
        <f t="shared" si="8"/>
        <v>4</v>
      </c>
      <c r="H13" s="115">
        <f t="shared" si="8"/>
        <v>4</v>
      </c>
      <c r="I13" s="115">
        <f t="shared" si="8"/>
        <v>4</v>
      </c>
      <c r="J13" s="115">
        <f t="shared" si="8"/>
        <v>4</v>
      </c>
      <c r="K13" s="115">
        <f t="shared" si="8"/>
        <v>4</v>
      </c>
      <c r="L13" s="115">
        <f t="shared" si="8"/>
        <v>4</v>
      </c>
      <c r="M13" s="115">
        <f t="shared" si="8"/>
        <v>2</v>
      </c>
      <c r="N13" s="115">
        <f t="shared" si="8"/>
        <v>4</v>
      </c>
      <c r="O13" s="115">
        <f t="shared" si="8"/>
        <v>4</v>
      </c>
      <c r="P13" s="115">
        <f t="shared" si="8"/>
        <v>4</v>
      </c>
      <c r="Q13" s="115">
        <f t="shared" si="8"/>
        <v>4</v>
      </c>
      <c r="R13" s="115">
        <f t="shared" si="8"/>
        <v>4</v>
      </c>
      <c r="S13" s="115">
        <f t="shared" si="8"/>
        <v>4</v>
      </c>
      <c r="T13" s="115">
        <f t="shared" si="8"/>
        <v>2</v>
      </c>
      <c r="U13" s="115">
        <f t="shared" si="8"/>
        <v>4</v>
      </c>
      <c r="V13" s="115">
        <f t="shared" si="8"/>
        <v>4</v>
      </c>
      <c r="W13" s="115">
        <f t="shared" si="8"/>
        <v>4</v>
      </c>
      <c r="X13" s="115">
        <f t="shared" si="8"/>
        <v>4</v>
      </c>
      <c r="Y13" s="115">
        <f t="shared" si="8"/>
        <v>4</v>
      </c>
      <c r="Z13" s="115">
        <f t="shared" si="8"/>
        <v>4</v>
      </c>
      <c r="AA13" s="115">
        <f t="shared" si="8"/>
        <v>2</v>
      </c>
      <c r="AB13" s="115">
        <f t="shared" si="8"/>
        <v>4</v>
      </c>
      <c r="AC13" s="115">
        <f t="shared" si="8"/>
        <v>4</v>
      </c>
      <c r="AD13" s="161">
        <f t="shared" si="8"/>
        <v>4</v>
      </c>
      <c r="AE13" s="161">
        <f t="shared" si="8"/>
        <v>4</v>
      </c>
      <c r="AF13" s="161">
        <f t="shared" si="8"/>
        <v>4</v>
      </c>
      <c r="AG13" s="12"/>
      <c r="AH13" s="12"/>
      <c r="AI13" s="12"/>
      <c r="AJ13" s="12"/>
      <c r="AK13" s="12"/>
      <c r="AL13" s="12"/>
    </row>
    <row r="14" spans="1:39" ht="20.5">
      <c r="A14" s="93" t="s">
        <v>251</v>
      </c>
      <c r="B14" s="114" t="s">
        <v>250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 t="s">
        <v>250</v>
      </c>
      <c r="AE14" s="114" t="s">
        <v>250</v>
      </c>
      <c r="AF14" s="114" t="s">
        <v>250</v>
      </c>
      <c r="AG14" s="12"/>
      <c r="AH14" s="12"/>
      <c r="AI14" s="12"/>
      <c r="AJ14" s="12"/>
      <c r="AK14" s="12"/>
      <c r="AL14" s="12"/>
    </row>
    <row r="15" spans="1:39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3" t="s">
        <v>173</v>
      </c>
      <c r="D16" s="424"/>
      <c r="E16" s="425" t="s">
        <v>46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26"/>
      <c r="E17" s="425" t="s">
        <v>26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3 ... 7</v>
      </c>
      <c r="T17" s="44"/>
      <c r="U17" s="45"/>
      <c r="W17" s="13"/>
      <c r="X17" s="8" t="s">
        <v>20</v>
      </c>
      <c r="Y17" s="20" t="s">
        <v>3</v>
      </c>
      <c r="Z17" s="118">
        <v>2</v>
      </c>
      <c r="AA17" s="73" t="s">
        <v>5</v>
      </c>
      <c r="AB17" s="121">
        <v>4</v>
      </c>
      <c r="AC17" s="118">
        <v>3</v>
      </c>
      <c r="AD17" s="121">
        <v>3</v>
      </c>
      <c r="AE17" s="20">
        <v>6</v>
      </c>
      <c r="AF17" s="73">
        <v>15</v>
      </c>
      <c r="AG17" s="106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26"/>
      <c r="E18" s="425" t="s">
        <v>27</v>
      </c>
      <c r="F18" s="425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3 ... 7</v>
      </c>
      <c r="T18" s="49"/>
      <c r="U18" s="45"/>
      <c r="X18" s="8" t="s">
        <v>21</v>
      </c>
      <c r="Y18" s="20" t="s">
        <v>3</v>
      </c>
      <c r="Z18" s="118">
        <v>2</v>
      </c>
      <c r="AA18" s="73" t="s">
        <v>5</v>
      </c>
      <c r="AB18" s="121">
        <v>4</v>
      </c>
      <c r="AC18" s="118">
        <v>3</v>
      </c>
      <c r="AD18" s="121">
        <v>3</v>
      </c>
      <c r="AE18" s="20">
        <v>6</v>
      </c>
      <c r="AF18" s="20">
        <v>15</v>
      </c>
      <c r="AG18" s="106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26"/>
      <c r="E19" s="425" t="s">
        <v>17</v>
      </c>
      <c r="F19" s="425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14 ... 4</v>
      </c>
      <c r="T19" s="51"/>
      <c r="U19" s="52"/>
      <c r="X19" s="8" t="s">
        <v>22</v>
      </c>
      <c r="Y19" s="20" t="s">
        <v>3</v>
      </c>
      <c r="Z19" s="119">
        <v>6</v>
      </c>
      <c r="AA19" s="82" t="s">
        <v>5</v>
      </c>
      <c r="AB19" s="121">
        <v>0</v>
      </c>
      <c r="AC19" s="119">
        <v>3</v>
      </c>
      <c r="AD19" s="121">
        <v>3</v>
      </c>
      <c r="AE19" s="20">
        <v>6</v>
      </c>
      <c r="AF19" s="20">
        <v>15</v>
      </c>
      <c r="AG19" s="155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26"/>
      <c r="E20" s="425" t="s">
        <v>16</v>
      </c>
      <c r="F20" s="425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24</v>
      </c>
      <c r="P20" s="13" t="s">
        <v>77</v>
      </c>
      <c r="Q20" s="13" t="s">
        <v>78</v>
      </c>
      <c r="R20" s="37">
        <f>COUNTIF(B4:AF4,"6")*((COUNTA(B16:B23))-J16)</f>
        <v>16</v>
      </c>
      <c r="S20" s="13" t="s">
        <v>79</v>
      </c>
      <c r="T20" s="53">
        <f>O20+R20</f>
        <v>40</v>
      </c>
      <c r="U20" s="13" t="s">
        <v>32</v>
      </c>
      <c r="V20" s="13"/>
      <c r="W20" s="54">
        <f>T20+T22</f>
        <v>116</v>
      </c>
      <c r="X20" s="8" t="s">
        <v>3</v>
      </c>
      <c r="Y20" s="20" t="s">
        <v>3</v>
      </c>
      <c r="Z20" s="119">
        <v>2</v>
      </c>
      <c r="AA20" s="20" t="s">
        <v>5</v>
      </c>
      <c r="AB20" s="122">
        <v>4</v>
      </c>
      <c r="AC20" s="119">
        <v>3</v>
      </c>
      <c r="AD20" s="122">
        <v>3</v>
      </c>
      <c r="AE20" s="20">
        <v>6</v>
      </c>
      <c r="AF20" s="20">
        <v>15</v>
      </c>
      <c r="AG20" s="155">
        <v>2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26"/>
      <c r="E21" s="425" t="s">
        <v>18</v>
      </c>
      <c r="F21" s="425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4</v>
      </c>
      <c r="R21" s="102" t="s">
        <v>233</v>
      </c>
      <c r="S21" s="13"/>
      <c r="T21" s="37">
        <f>((COUNTA(B16:B23))-J18)*Q21</f>
        <v>24</v>
      </c>
      <c r="U21" s="13"/>
      <c r="V21" s="13"/>
      <c r="W21" s="13"/>
      <c r="X21" s="8" t="s">
        <v>23</v>
      </c>
      <c r="Y21" s="20" t="s">
        <v>3</v>
      </c>
      <c r="Z21" s="118">
        <v>2</v>
      </c>
      <c r="AA21" s="20" t="s">
        <v>5</v>
      </c>
      <c r="AB21" s="121">
        <v>4</v>
      </c>
      <c r="AC21" s="118">
        <v>3</v>
      </c>
      <c r="AD21" s="121">
        <v>3</v>
      </c>
      <c r="AE21" s="20">
        <v>6</v>
      </c>
      <c r="AF21" s="20">
        <v>15</v>
      </c>
      <c r="AG21" s="107">
        <v>3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26"/>
      <c r="E22" s="425" t="s">
        <v>17</v>
      </c>
      <c r="F22" s="425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76</v>
      </c>
      <c r="U22" s="13"/>
      <c r="V22" s="13"/>
      <c r="W22" s="13"/>
      <c r="X22" s="8" t="s">
        <v>24</v>
      </c>
      <c r="Y22" s="20" t="s">
        <v>3</v>
      </c>
      <c r="Z22" s="119">
        <v>2</v>
      </c>
      <c r="AA22" s="20" t="s">
        <v>5</v>
      </c>
      <c r="AB22" s="121">
        <v>4</v>
      </c>
      <c r="AC22" s="119">
        <v>3</v>
      </c>
      <c r="AD22" s="121">
        <v>3</v>
      </c>
      <c r="AE22" s="20">
        <v>6</v>
      </c>
      <c r="AF22" s="134">
        <v>16</v>
      </c>
      <c r="AG22" s="106">
        <v>2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>
        <v>8</v>
      </c>
      <c r="C23" s="424" t="s">
        <v>30</v>
      </c>
      <c r="D23" s="426"/>
      <c r="E23" s="425" t="s">
        <v>13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2 ... 0</v>
      </c>
      <c r="U23" s="431"/>
      <c r="V23" s="432"/>
      <c r="X23" s="8" t="s">
        <v>25</v>
      </c>
      <c r="Y23" s="20" t="s">
        <v>3</v>
      </c>
      <c r="Z23" s="118">
        <v>6</v>
      </c>
      <c r="AA23" s="82" t="s">
        <v>5</v>
      </c>
      <c r="AB23" s="122">
        <v>0</v>
      </c>
      <c r="AC23" s="118">
        <v>3</v>
      </c>
      <c r="AD23" s="122">
        <v>3</v>
      </c>
      <c r="AE23" s="20">
        <v>6</v>
      </c>
      <c r="AF23" s="20">
        <v>16</v>
      </c>
      <c r="AG23" s="106">
        <v>2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2</v>
      </c>
      <c r="AA24" s="20" t="s">
        <v>5</v>
      </c>
      <c r="AB24" s="122">
        <v>4</v>
      </c>
      <c r="AC24" s="118">
        <v>3</v>
      </c>
      <c r="AD24" s="122">
        <v>3</v>
      </c>
      <c r="AE24" s="20">
        <v>6</v>
      </c>
      <c r="AF24" s="20">
        <v>16</v>
      </c>
      <c r="AG24" s="108">
        <v>2</v>
      </c>
      <c r="AH24" t="s">
        <v>214</v>
      </c>
    </row>
    <row r="25" spans="1:39">
      <c r="Z25">
        <f>SUM(Z17:Z24)</f>
        <v>24</v>
      </c>
      <c r="AB25">
        <f>SUM(AB17:AB24)</f>
        <v>24</v>
      </c>
      <c r="AC25">
        <f>SUM(AC17:AC24)</f>
        <v>24</v>
      </c>
      <c r="AD25">
        <f>SUM(AD17:AD24)</f>
        <v>24</v>
      </c>
      <c r="AH25" t="s">
        <v>215</v>
      </c>
    </row>
    <row r="26" spans="1:39" ht="27.75" customHeight="1">
      <c r="L26" s="59" t="s">
        <v>216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X27" s="110"/>
      <c r="Y27" s="429" t="s">
        <v>253</v>
      </c>
      <c r="Z27" s="429"/>
      <c r="AA27" s="429"/>
      <c r="AB27" s="429"/>
      <c r="AC27" s="429"/>
    </row>
    <row r="28" spans="1:39" ht="27.5">
      <c r="X28" s="135"/>
      <c r="Y28" s="429" t="s">
        <v>257</v>
      </c>
      <c r="Z28" s="429"/>
      <c r="AA28" s="429"/>
      <c r="AB28" s="429"/>
      <c r="AC28" s="429"/>
    </row>
  </sheetData>
  <mergeCells count="23">
    <mergeCell ref="Y28:AC28"/>
    <mergeCell ref="C21:D21"/>
    <mergeCell ref="E21:F21"/>
    <mergeCell ref="C22:D22"/>
    <mergeCell ref="E22:F22"/>
    <mergeCell ref="C23:D23"/>
    <mergeCell ref="E23:F23"/>
    <mergeCell ref="C20:D20"/>
    <mergeCell ref="E20:F20"/>
    <mergeCell ref="T23:V23"/>
    <mergeCell ref="Y26:AC26"/>
    <mergeCell ref="Y27:AC27"/>
    <mergeCell ref="C17:D17"/>
    <mergeCell ref="E17:F17"/>
    <mergeCell ref="C18:D18"/>
    <mergeCell ref="E18:F18"/>
    <mergeCell ref="C19:D19"/>
    <mergeCell ref="E19:F19"/>
    <mergeCell ref="A1:B2"/>
    <mergeCell ref="AG4:AL4"/>
    <mergeCell ref="B15:C15"/>
    <mergeCell ref="C16:D16"/>
    <mergeCell ref="E16:F16"/>
  </mergeCells>
  <phoneticPr fontId="11" type="noConversion"/>
  <conditionalFormatting sqref="AG3">
    <cfRule type="expression" dxfId="2609" priority="624" stopIfTrue="1">
      <formula>WEEKDAY(AG$3)=7</formula>
    </cfRule>
    <cfRule type="expression" dxfId="2608" priority="625" stopIfTrue="1">
      <formula>WEEKDAY(AG$3)=1</formula>
    </cfRule>
    <cfRule type="expression" dxfId="2607" priority="626" stopIfTrue="1">
      <formula>WEEKDAY(AG$3)=7</formula>
    </cfRule>
    <cfRule type="expression" dxfId="2606" priority="627" stopIfTrue="1">
      <formula>WEEKDAY(AG$3)=1</formula>
    </cfRule>
  </conditionalFormatting>
  <conditionalFormatting sqref="B3:AF3 B8:AF8 B7:H7 I9 W10:AF10 S7:AF7 J7:M7 N11 O7:Q7 P11:T11 V11:AF11 U12 X12:AF12 V9:W9 R10:T10 B6:AF6 B5:U5 W5:AF5">
    <cfRule type="expression" dxfId="2605" priority="622">
      <formula>WEEKDAY(B$3,2)=7</formula>
    </cfRule>
    <cfRule type="expression" dxfId="2604" priority="623">
      <formula>WEEKDAY(B$3,2)=6</formula>
    </cfRule>
  </conditionalFormatting>
  <conditionalFormatting sqref="B4:AF4">
    <cfRule type="expression" dxfId="2603" priority="620">
      <formula>WEEKDAY(B$3,2)=7</formula>
    </cfRule>
    <cfRule type="expression" dxfId="2602" priority="621">
      <formula>WEEKDAY(B$3,2)=6</formula>
    </cfRule>
  </conditionalFormatting>
  <conditionalFormatting sqref="X13:AF13 B13:U13">
    <cfRule type="expression" dxfId="2601" priority="610" stopIfTrue="1">
      <formula>8-COUNTIF(B$5:B$12,"off")&lt;&gt;B$13</formula>
    </cfRule>
  </conditionalFormatting>
  <conditionalFormatting sqref="Z17:Z24 AC17:AC24">
    <cfRule type="expression" dxfId="2600" priority="609" stopIfTrue="1">
      <formula>COUNTIF($B5:$AF5,"D")&lt;&gt;$Z17</formula>
    </cfRule>
  </conditionalFormatting>
  <conditionalFormatting sqref="AB17:AB24 AD17:AD24">
    <cfRule type="expression" dxfId="2599" priority="608" stopIfTrue="1">
      <formula>COUNTIF($B5:$AF5,"N")&lt;&gt;$AB17</formula>
    </cfRule>
  </conditionalFormatting>
  <conditionalFormatting sqref="B12:T12 B9:H9 J9:U9 B10:Q10 B11:M11 X9:AF9">
    <cfRule type="expression" dxfId="2598" priority="606">
      <formula>WEEKDAY(B$3,2)=7</formula>
    </cfRule>
    <cfRule type="expression" dxfId="2597" priority="607">
      <formula>WEEKDAY(B$3,2)=6</formula>
    </cfRule>
  </conditionalFormatting>
  <conditionalFormatting sqref="B5:T5 I6 X12 V9:W9 W5:AF5">
    <cfRule type="expression" dxfId="2596" priority="605">
      <formula>SEARCH("X", $A$5) &gt; 0</formula>
    </cfRule>
  </conditionalFormatting>
  <conditionalFormatting sqref="G7:H7 J7:L7 I9 B6:AF6 X12 V9:W9">
    <cfRule type="expression" dxfId="2595" priority="604">
      <formula>SEARCH("X", $A$6) &gt; 0</formula>
    </cfRule>
  </conditionalFormatting>
  <conditionalFormatting sqref="B7:H7 I9 S7:U7 R10 W7:AF7 J7:M7 P7:Q7 N11 X12 V9:W9">
    <cfRule type="expression" dxfId="2594" priority="603">
      <formula>SEARCH("X", $A$7) &gt; 0</formula>
    </cfRule>
  </conditionalFormatting>
  <conditionalFormatting sqref="B8:AF8 G7:H7 J7:L7 I9 X12 V9:W9">
    <cfRule type="expression" dxfId="2593" priority="602">
      <formula>SEARCH("X", $A$8) &gt; 0</formula>
    </cfRule>
  </conditionalFormatting>
  <conditionalFormatting sqref="B9:H9 X12 J9:AF9">
    <cfRule type="expression" dxfId="2592" priority="601">
      <formula>SEARCH("X", $A$9) &gt; 0</formula>
    </cfRule>
  </conditionalFormatting>
  <conditionalFormatting sqref="B10:Q10 W10:AF10 V7 X12 V9:W9 S10:T10 U5">
    <cfRule type="expression" dxfId="2591" priority="600">
      <formula>SEARCH("X", $A$10) &gt; 0</formula>
    </cfRule>
  </conditionalFormatting>
  <conditionalFormatting sqref="B11:M11 O7 P11:T11 V11:AF11 U12">
    <cfRule type="expression" dxfId="2590" priority="599">
      <formula>SEARCH("X", $A$11) &gt; 0</formula>
    </cfRule>
  </conditionalFormatting>
  <conditionalFormatting sqref="B12:T12 X12:AF12 V9:W9">
    <cfRule type="expression" dxfId="2589" priority="598">
      <formula>SEARCH("X", $A$12) &gt; 0</formula>
    </cfRule>
  </conditionalFormatting>
  <conditionalFormatting sqref="K10">
    <cfRule type="expression" dxfId="2588" priority="597">
      <formula>SEARCH("X", $A$9) &gt; 0</formula>
    </cfRule>
  </conditionalFormatting>
  <conditionalFormatting sqref="D10">
    <cfRule type="expression" dxfId="2587" priority="596">
      <formula>SEARCH("X", $A$8) &gt; 0</formula>
    </cfRule>
  </conditionalFormatting>
  <conditionalFormatting sqref="Y10">
    <cfRule type="expression" dxfId="2586" priority="595">
      <formula>SEARCH("X", $A$8) &gt; 0</formula>
    </cfRule>
  </conditionalFormatting>
  <conditionalFormatting sqref="H10">
    <cfRule type="expression" dxfId="2585" priority="592">
      <formula>SEARCH("X", $A$8) &gt; 0</formula>
    </cfRule>
  </conditionalFormatting>
  <conditionalFormatting sqref="C6">
    <cfRule type="expression" dxfId="2584" priority="591">
      <formula>SEARCH("X", $A$8) &gt; 0</formula>
    </cfRule>
  </conditionalFormatting>
  <conditionalFormatting sqref="D6">
    <cfRule type="expression" dxfId="2583" priority="590">
      <formula>SEARCH("X", $A$8) &gt; 0</formula>
    </cfRule>
  </conditionalFormatting>
  <conditionalFormatting sqref="D6">
    <cfRule type="expression" dxfId="2582" priority="589">
      <formula>SEARCH("X", $A$10) &gt; 0</formula>
    </cfRule>
  </conditionalFormatting>
  <conditionalFormatting sqref="D6">
    <cfRule type="expression" dxfId="2581" priority="588">
      <formula>SEARCH("X", $A$8) &gt; 0</formula>
    </cfRule>
  </conditionalFormatting>
  <conditionalFormatting sqref="B5">
    <cfRule type="expression" dxfId="2580" priority="587">
      <formula>SEARCH("X", $A$6) &gt; 0</formula>
    </cfRule>
  </conditionalFormatting>
  <conditionalFormatting sqref="B5">
    <cfRule type="expression" dxfId="2579" priority="586">
      <formula>SEARCH("X", $A$8) &gt; 0</formula>
    </cfRule>
  </conditionalFormatting>
  <conditionalFormatting sqref="B11">
    <cfRule type="expression" dxfId="2578" priority="585">
      <formula>SEARCH("X", $A$6) &gt; 0</formula>
    </cfRule>
  </conditionalFormatting>
  <conditionalFormatting sqref="B11">
    <cfRule type="expression" dxfId="2577" priority="584">
      <formula>SEARCH("X", $A$8) &gt; 0</formula>
    </cfRule>
  </conditionalFormatting>
  <conditionalFormatting sqref="B10">
    <cfRule type="expression" dxfId="2576" priority="583">
      <formula>SEARCH("X", $A$6) &gt; 0</formula>
    </cfRule>
  </conditionalFormatting>
  <conditionalFormatting sqref="B10">
    <cfRule type="expression" dxfId="2575" priority="582">
      <formula>SEARCH("X", $A$8) &gt; 0</formula>
    </cfRule>
  </conditionalFormatting>
  <conditionalFormatting sqref="B8">
    <cfRule type="expression" dxfId="2574" priority="581">
      <formula>SEARCH("X", $A$6) &gt; 0</formula>
    </cfRule>
  </conditionalFormatting>
  <conditionalFormatting sqref="B8">
    <cfRule type="expression" dxfId="2573" priority="580">
      <formula>SEARCH("X", $A$8) &gt; 0</formula>
    </cfRule>
  </conditionalFormatting>
  <conditionalFormatting sqref="B7">
    <cfRule type="expression" dxfId="2572" priority="579">
      <formula>SEARCH("X", $A$6) &gt; 0</formula>
    </cfRule>
  </conditionalFormatting>
  <conditionalFormatting sqref="B7">
    <cfRule type="expression" dxfId="2571" priority="578">
      <formula>SEARCH("X", $A$8) &gt; 0</formula>
    </cfRule>
  </conditionalFormatting>
  <conditionalFormatting sqref="B6">
    <cfRule type="expression" dxfId="2570" priority="577">
      <formula>SEARCH("X", $A$8) &gt; 0</formula>
    </cfRule>
  </conditionalFormatting>
  <conditionalFormatting sqref="F5">
    <cfRule type="expression" dxfId="2569" priority="576">
      <formula>SEARCH("X", $A$6) &gt; 0</formula>
    </cfRule>
  </conditionalFormatting>
  <conditionalFormatting sqref="F5">
    <cfRule type="expression" dxfId="2568" priority="575">
      <formula>SEARCH("X", $A$8) &gt; 0</formula>
    </cfRule>
  </conditionalFormatting>
  <conditionalFormatting sqref="F12">
    <cfRule type="expression" dxfId="2567" priority="574">
      <formula>SEARCH("X", $A$6) &gt; 0</formula>
    </cfRule>
  </conditionalFormatting>
  <conditionalFormatting sqref="F12">
    <cfRule type="expression" dxfId="2566" priority="573">
      <formula>SEARCH("X", $A$8) &gt; 0</formula>
    </cfRule>
  </conditionalFormatting>
  <conditionalFormatting sqref="F10">
    <cfRule type="expression" dxfId="2565" priority="572">
      <formula>SEARCH("X", $A$6) &gt; 0</formula>
    </cfRule>
  </conditionalFormatting>
  <conditionalFormatting sqref="F10">
    <cfRule type="expression" dxfId="2564" priority="571">
      <formula>SEARCH("X", $A$8) &gt; 0</formula>
    </cfRule>
  </conditionalFormatting>
  <conditionalFormatting sqref="F8">
    <cfRule type="expression" dxfId="2563" priority="570">
      <formula>SEARCH("X", $A$6) &gt; 0</formula>
    </cfRule>
  </conditionalFormatting>
  <conditionalFormatting sqref="F8">
    <cfRule type="expression" dxfId="2562" priority="569">
      <formula>SEARCH("X", $A$8) &gt; 0</formula>
    </cfRule>
  </conditionalFormatting>
  <conditionalFormatting sqref="F7">
    <cfRule type="expression" dxfId="2561" priority="568">
      <formula>SEARCH("X", $A$6) &gt; 0</formula>
    </cfRule>
  </conditionalFormatting>
  <conditionalFormatting sqref="F7">
    <cfRule type="expression" dxfId="2560" priority="567">
      <formula>SEARCH("X", $A$8) &gt; 0</formula>
    </cfRule>
  </conditionalFormatting>
  <conditionalFormatting sqref="F6">
    <cfRule type="expression" dxfId="2559" priority="566">
      <formula>SEARCH("X", $A$8) &gt; 0</formula>
    </cfRule>
  </conditionalFormatting>
  <conditionalFormatting sqref="M11">
    <cfRule type="expression" dxfId="2558" priority="565">
      <formula>SEARCH("X", $A$6) &gt; 0</formula>
    </cfRule>
  </conditionalFormatting>
  <conditionalFormatting sqref="M11">
    <cfRule type="expression" dxfId="2557" priority="564">
      <formula>SEARCH("X", $A$8) &gt; 0</formula>
    </cfRule>
  </conditionalFormatting>
  <conditionalFormatting sqref="M9">
    <cfRule type="expression" dxfId="2556" priority="563">
      <formula>SEARCH("X", $A$6) &gt; 0</formula>
    </cfRule>
  </conditionalFormatting>
  <conditionalFormatting sqref="M9">
    <cfRule type="expression" dxfId="2555" priority="562">
      <formula>SEARCH("X", $A$8) &gt; 0</formula>
    </cfRule>
  </conditionalFormatting>
  <conditionalFormatting sqref="M8">
    <cfRule type="expression" dxfId="2554" priority="561">
      <formula>SEARCH("X", $A$6) &gt; 0</formula>
    </cfRule>
  </conditionalFormatting>
  <conditionalFormatting sqref="M8">
    <cfRule type="expression" dxfId="2553" priority="560">
      <formula>SEARCH("X", $A$8) &gt; 0</formula>
    </cfRule>
  </conditionalFormatting>
  <conditionalFormatting sqref="M7">
    <cfRule type="expression" dxfId="2552" priority="559">
      <formula>SEARCH("X", $A$6) &gt; 0</formula>
    </cfRule>
  </conditionalFormatting>
  <conditionalFormatting sqref="M7">
    <cfRule type="expression" dxfId="2551" priority="558">
      <formula>SEARCH("X", $A$8) &gt; 0</formula>
    </cfRule>
  </conditionalFormatting>
  <conditionalFormatting sqref="M6">
    <cfRule type="expression" dxfId="2550" priority="557">
      <formula>SEARCH("X", $A$8) &gt; 0</formula>
    </cfRule>
  </conditionalFormatting>
  <conditionalFormatting sqref="M5">
    <cfRule type="expression" dxfId="2549" priority="556">
      <formula>SEARCH("X", $A$6) &gt; 0</formula>
    </cfRule>
  </conditionalFormatting>
  <conditionalFormatting sqref="M5">
    <cfRule type="expression" dxfId="2548" priority="555">
      <formula>SEARCH("X", $A$8) &gt; 0</formula>
    </cfRule>
  </conditionalFormatting>
  <conditionalFormatting sqref="AA12">
    <cfRule type="expression" dxfId="2547" priority="554">
      <formula>SEARCH("X", $A$6) &gt; 0</formula>
    </cfRule>
  </conditionalFormatting>
  <conditionalFormatting sqref="AA12">
    <cfRule type="expression" dxfId="2546" priority="553">
      <formula>SEARCH("X", $A$8) &gt; 0</formula>
    </cfRule>
  </conditionalFormatting>
  <conditionalFormatting sqref="AA11">
    <cfRule type="expression" dxfId="2545" priority="552">
      <formula>SEARCH("X", $A$6) &gt; 0</formula>
    </cfRule>
  </conditionalFormatting>
  <conditionalFormatting sqref="AA11">
    <cfRule type="expression" dxfId="2544" priority="551">
      <formula>SEARCH("X", $A$8) &gt; 0</formula>
    </cfRule>
  </conditionalFormatting>
  <conditionalFormatting sqref="AA10">
    <cfRule type="expression" dxfId="2543" priority="550">
      <formula>SEARCH("X", $A$6) &gt; 0</formula>
    </cfRule>
  </conditionalFormatting>
  <conditionalFormatting sqref="AA10">
    <cfRule type="expression" dxfId="2542" priority="549">
      <formula>SEARCH("X", $A$8) &gt; 0</formula>
    </cfRule>
  </conditionalFormatting>
  <conditionalFormatting sqref="AA9">
    <cfRule type="expression" dxfId="2541" priority="548">
      <formula>SEARCH("X", $A$6) &gt; 0</formula>
    </cfRule>
  </conditionalFormatting>
  <conditionalFormatting sqref="AA9">
    <cfRule type="expression" dxfId="2540" priority="547">
      <formula>SEARCH("X", $A$8) &gt; 0</formula>
    </cfRule>
  </conditionalFormatting>
  <conditionalFormatting sqref="AA8">
    <cfRule type="expression" dxfId="2539" priority="546">
      <formula>SEARCH("X", $A$6) &gt; 0</formula>
    </cfRule>
  </conditionalFormatting>
  <conditionalFormatting sqref="AA8">
    <cfRule type="expression" dxfId="2538" priority="545">
      <formula>SEARCH("X", $A$8) &gt; 0</formula>
    </cfRule>
  </conditionalFormatting>
  <conditionalFormatting sqref="AA7">
    <cfRule type="expression" dxfId="2537" priority="544">
      <formula>SEARCH("X", $A$6) &gt; 0</formula>
    </cfRule>
  </conditionalFormatting>
  <conditionalFormatting sqref="AA7">
    <cfRule type="expression" dxfId="2536" priority="543">
      <formula>SEARCH("X", $A$8) &gt; 0</formula>
    </cfRule>
  </conditionalFormatting>
  <conditionalFormatting sqref="AA6">
    <cfRule type="expression" dxfId="2535" priority="542">
      <formula>SEARCH("X", $A$8) &gt; 0</formula>
    </cfRule>
  </conditionalFormatting>
  <conditionalFormatting sqref="AA5">
    <cfRule type="expression" dxfId="2534" priority="541">
      <formula>SEARCH("X", $A$6) &gt; 0</formula>
    </cfRule>
  </conditionalFormatting>
  <conditionalFormatting sqref="AA5">
    <cfRule type="expression" dxfId="2533" priority="540">
      <formula>SEARCH("X", $A$8) &gt; 0</formula>
    </cfRule>
  </conditionalFormatting>
  <conditionalFormatting sqref="AB12">
    <cfRule type="expression" dxfId="2532" priority="539">
      <formula>SEARCH("X", $A$6) &gt; 0</formula>
    </cfRule>
  </conditionalFormatting>
  <conditionalFormatting sqref="AB12">
    <cfRule type="expression" dxfId="2531" priority="538">
      <formula>SEARCH("X", $A$8) &gt; 0</formula>
    </cfRule>
  </conditionalFormatting>
  <conditionalFormatting sqref="AB11">
    <cfRule type="expression" dxfId="2530" priority="537">
      <formula>SEARCH("X", $A$6) &gt; 0</formula>
    </cfRule>
  </conditionalFormatting>
  <conditionalFormatting sqref="AB11">
    <cfRule type="expression" dxfId="2529" priority="536">
      <formula>SEARCH("X", $A$8) &gt; 0</formula>
    </cfRule>
  </conditionalFormatting>
  <conditionalFormatting sqref="AB9">
    <cfRule type="expression" dxfId="2528" priority="535">
      <formula>SEARCH("X", $A$6) &gt; 0</formula>
    </cfRule>
  </conditionalFormatting>
  <conditionalFormatting sqref="AB9">
    <cfRule type="expression" dxfId="2527" priority="534">
      <formula>SEARCH("X", $A$8) &gt; 0</formula>
    </cfRule>
  </conditionalFormatting>
  <conditionalFormatting sqref="AB7">
    <cfRule type="expression" dxfId="2526" priority="533">
      <formula>SEARCH("X", $A$6) &gt; 0</formula>
    </cfRule>
  </conditionalFormatting>
  <conditionalFormatting sqref="AB7">
    <cfRule type="expression" dxfId="2525" priority="532">
      <formula>SEARCH("X", $A$8) &gt; 0</formula>
    </cfRule>
  </conditionalFormatting>
  <conditionalFormatting sqref="AB6">
    <cfRule type="expression" dxfId="2524" priority="531">
      <formula>SEARCH("X", $A$8) &gt; 0</formula>
    </cfRule>
  </conditionalFormatting>
  <conditionalFormatting sqref="AB5">
    <cfRule type="expression" dxfId="2523" priority="530">
      <formula>SEARCH("X", $A$6) &gt; 0</formula>
    </cfRule>
  </conditionalFormatting>
  <conditionalFormatting sqref="AB5">
    <cfRule type="expression" dxfId="2522" priority="529">
      <formula>SEARCH("X", $A$8) &gt; 0</formula>
    </cfRule>
  </conditionalFormatting>
  <conditionalFormatting sqref="Z12">
    <cfRule type="expression" dxfId="2521" priority="528">
      <formula>SEARCH("X", $A$6) &gt; 0</formula>
    </cfRule>
  </conditionalFormatting>
  <conditionalFormatting sqref="Z12">
    <cfRule type="expression" dxfId="2520" priority="527">
      <formula>SEARCH("X", $A$8) &gt; 0</formula>
    </cfRule>
  </conditionalFormatting>
  <conditionalFormatting sqref="Z11">
    <cfRule type="expression" dxfId="2519" priority="526">
      <formula>SEARCH("X", $A$6) &gt; 0</formula>
    </cfRule>
  </conditionalFormatting>
  <conditionalFormatting sqref="Z11">
    <cfRule type="expression" dxfId="2518" priority="525">
      <formula>SEARCH("X", $A$8) &gt; 0</formula>
    </cfRule>
  </conditionalFormatting>
  <conditionalFormatting sqref="Z10">
    <cfRule type="expression" dxfId="2517" priority="524">
      <formula>SEARCH("X", $A$6) &gt; 0</formula>
    </cfRule>
  </conditionalFormatting>
  <conditionalFormatting sqref="Z10">
    <cfRule type="expression" dxfId="2516" priority="523">
      <formula>SEARCH("X", $A$8) &gt; 0</formula>
    </cfRule>
  </conditionalFormatting>
  <conditionalFormatting sqref="Z5">
    <cfRule type="expression" dxfId="2515" priority="522">
      <formula>SEARCH("X", $A$10) &gt; 0</formula>
    </cfRule>
  </conditionalFormatting>
  <conditionalFormatting sqref="Z5">
    <cfRule type="expression" dxfId="2514" priority="521">
      <formula>SEARCH("X", $A$6) &gt; 0</formula>
    </cfRule>
  </conditionalFormatting>
  <conditionalFormatting sqref="Z5">
    <cfRule type="expression" dxfId="2513" priority="520">
      <formula>SEARCH("X", $A$8) &gt; 0</formula>
    </cfRule>
  </conditionalFormatting>
  <conditionalFormatting sqref="Y5">
    <cfRule type="expression" dxfId="2512" priority="519">
      <formula>SEARCH("X", $A$10) &gt; 0</formula>
    </cfRule>
  </conditionalFormatting>
  <conditionalFormatting sqref="Y5">
    <cfRule type="expression" dxfId="2511" priority="518">
      <formula>SEARCH("X", $A$6) &gt; 0</formula>
    </cfRule>
  </conditionalFormatting>
  <conditionalFormatting sqref="Y5">
    <cfRule type="expression" dxfId="2510" priority="517">
      <formula>SEARCH("X", $A$8) &gt; 0</formula>
    </cfRule>
  </conditionalFormatting>
  <conditionalFormatting sqref="Y12">
    <cfRule type="expression" dxfId="2509" priority="516">
      <formula>SEARCH("X", $A$10) &gt; 0</formula>
    </cfRule>
  </conditionalFormatting>
  <conditionalFormatting sqref="Y12">
    <cfRule type="expression" dxfId="2508" priority="515">
      <formula>SEARCH("X", $A$6) &gt; 0</formula>
    </cfRule>
  </conditionalFormatting>
  <conditionalFormatting sqref="Y12">
    <cfRule type="expression" dxfId="2507" priority="514">
      <formula>SEARCH("X", $A$8) &gt; 0</formula>
    </cfRule>
  </conditionalFormatting>
  <conditionalFormatting sqref="Y11">
    <cfRule type="expression" dxfId="2506" priority="513">
      <formula>SEARCH("X", $A$10) &gt; 0</formula>
    </cfRule>
  </conditionalFormatting>
  <conditionalFormatting sqref="Y11">
    <cfRule type="expression" dxfId="2505" priority="512">
      <formula>SEARCH("X", $A$6) &gt; 0</formula>
    </cfRule>
  </conditionalFormatting>
  <conditionalFormatting sqref="Y11">
    <cfRule type="expression" dxfId="2504" priority="511">
      <formula>SEARCH("X", $A$8) &gt; 0</formula>
    </cfRule>
  </conditionalFormatting>
  <conditionalFormatting sqref="X11">
    <cfRule type="expression" dxfId="2503" priority="510">
      <formula>SEARCH("X", $A$10) &gt; 0</formula>
    </cfRule>
  </conditionalFormatting>
  <conditionalFormatting sqref="X11">
    <cfRule type="expression" dxfId="2502" priority="509">
      <formula>SEARCH("X", $A$6) &gt; 0</formula>
    </cfRule>
  </conditionalFormatting>
  <conditionalFormatting sqref="X11">
    <cfRule type="expression" dxfId="2501" priority="508">
      <formula>SEARCH("X", $A$8) &gt; 0</formula>
    </cfRule>
  </conditionalFormatting>
  <conditionalFormatting sqref="C9">
    <cfRule type="expression" dxfId="2500" priority="507">
      <formula>SEARCH("X", $A$6) &gt; 0</formula>
    </cfRule>
  </conditionalFormatting>
  <conditionalFormatting sqref="C9">
    <cfRule type="expression" dxfId="2499" priority="506">
      <formula>SEARCH("X", $A$8) &gt; 0</formula>
    </cfRule>
  </conditionalFormatting>
  <conditionalFormatting sqref="C12">
    <cfRule type="expression" dxfId="2498" priority="505">
      <formula>SEARCH("X", $A$6) &gt; 0</formula>
    </cfRule>
  </conditionalFormatting>
  <conditionalFormatting sqref="C12">
    <cfRule type="expression" dxfId="2497" priority="504">
      <formula>SEARCH("X", $A$8) &gt; 0</formula>
    </cfRule>
  </conditionalFormatting>
  <conditionalFormatting sqref="C10">
    <cfRule type="expression" dxfId="2496" priority="503">
      <formula>SEARCH("X", $A$9) &gt; 0</formula>
    </cfRule>
  </conditionalFormatting>
  <conditionalFormatting sqref="C10">
    <cfRule type="expression" dxfId="2495" priority="502">
      <formula>SEARCH("X", $A$6) &gt; 0</formula>
    </cfRule>
  </conditionalFormatting>
  <conditionalFormatting sqref="C10">
    <cfRule type="expression" dxfId="2494" priority="501">
      <formula>SEARCH("X", $A$8) &gt; 0</formula>
    </cfRule>
  </conditionalFormatting>
  <conditionalFormatting sqref="D12">
    <cfRule type="expression" dxfId="2493" priority="500">
      <formula>SEARCH("X", $A$9) &gt; 0</formula>
    </cfRule>
  </conditionalFormatting>
  <conditionalFormatting sqref="D12">
    <cfRule type="expression" dxfId="2492" priority="499">
      <formula>SEARCH("X", $A$6) &gt; 0</formula>
    </cfRule>
  </conditionalFormatting>
  <conditionalFormatting sqref="D12">
    <cfRule type="expression" dxfId="2491" priority="498">
      <formula>SEARCH("X", $A$8) &gt; 0</formula>
    </cfRule>
  </conditionalFormatting>
  <conditionalFormatting sqref="E12">
    <cfRule type="expression" dxfId="2490" priority="497">
      <formula>SEARCH("X", $A$9) &gt; 0</formula>
    </cfRule>
  </conditionalFormatting>
  <conditionalFormatting sqref="E12">
    <cfRule type="expression" dxfId="2489" priority="496">
      <formula>SEARCH("X", $A$6) &gt; 0</formula>
    </cfRule>
  </conditionalFormatting>
  <conditionalFormatting sqref="E12">
    <cfRule type="expression" dxfId="2488" priority="495">
      <formula>SEARCH("X", $A$8) &gt; 0</formula>
    </cfRule>
  </conditionalFormatting>
  <conditionalFormatting sqref="D9">
    <cfRule type="expression" dxfId="2487" priority="494">
      <formula>SEARCH("X", $A$6) &gt; 0</formula>
    </cfRule>
  </conditionalFormatting>
  <conditionalFormatting sqref="D9">
    <cfRule type="expression" dxfId="2486" priority="493">
      <formula>SEARCH("X", $A$8) &gt; 0</formula>
    </cfRule>
  </conditionalFormatting>
  <conditionalFormatting sqref="G5">
    <cfRule type="expression" dxfId="2485" priority="492">
      <formula>SEARCH("X", $A$9) &gt; 0</formula>
    </cfRule>
  </conditionalFormatting>
  <conditionalFormatting sqref="G5">
    <cfRule type="expression" dxfId="2484" priority="491">
      <formula>SEARCH("X", $A$6) &gt; 0</formula>
    </cfRule>
  </conditionalFormatting>
  <conditionalFormatting sqref="G5">
    <cfRule type="expression" dxfId="2483" priority="490">
      <formula>SEARCH("X", $A$8) &gt; 0</formula>
    </cfRule>
  </conditionalFormatting>
  <conditionalFormatting sqref="L5">
    <cfRule type="expression" dxfId="2482" priority="489">
      <formula>SEARCH("X", $A$12) &gt; 0</formula>
    </cfRule>
  </conditionalFormatting>
  <conditionalFormatting sqref="L5">
    <cfRule type="expression" dxfId="2481" priority="488">
      <formula>SEARCH("X", $A$9) &gt; 0</formula>
    </cfRule>
  </conditionalFormatting>
  <conditionalFormatting sqref="L5">
    <cfRule type="expression" dxfId="2480" priority="487">
      <formula>SEARCH("X", $A$6) &gt; 0</formula>
    </cfRule>
  </conditionalFormatting>
  <conditionalFormatting sqref="L5">
    <cfRule type="expression" dxfId="2479" priority="486">
      <formula>SEARCH("X", $A$8) &gt; 0</formula>
    </cfRule>
  </conditionalFormatting>
  <conditionalFormatting sqref="N5">
    <cfRule type="expression" dxfId="2478" priority="485">
      <formula>SEARCH("X", $A$12) &gt; 0</formula>
    </cfRule>
  </conditionalFormatting>
  <conditionalFormatting sqref="N5">
    <cfRule type="expression" dxfId="2477" priority="484">
      <formula>SEARCH("X", $A$9) &gt; 0</formula>
    </cfRule>
  </conditionalFormatting>
  <conditionalFormatting sqref="N5">
    <cfRule type="expression" dxfId="2476" priority="483">
      <formula>SEARCH("X", $A$6) &gt; 0</formula>
    </cfRule>
  </conditionalFormatting>
  <conditionalFormatting sqref="N5">
    <cfRule type="expression" dxfId="2475" priority="482">
      <formula>SEARCH("X", $A$8) &gt; 0</formula>
    </cfRule>
  </conditionalFormatting>
  <conditionalFormatting sqref="O5">
    <cfRule type="expression" dxfId="2474" priority="481">
      <formula>SEARCH("X", $A$12) &gt; 0</formula>
    </cfRule>
  </conditionalFormatting>
  <conditionalFormatting sqref="O5">
    <cfRule type="expression" dxfId="2473" priority="480">
      <formula>SEARCH("X", $A$9) &gt; 0</formula>
    </cfRule>
  </conditionalFormatting>
  <conditionalFormatting sqref="O5">
    <cfRule type="expression" dxfId="2472" priority="479">
      <formula>SEARCH("X", $A$6) &gt; 0</formula>
    </cfRule>
  </conditionalFormatting>
  <conditionalFormatting sqref="O5">
    <cfRule type="expression" dxfId="2471" priority="478">
      <formula>SEARCH("X", $A$8) &gt; 0</formula>
    </cfRule>
  </conditionalFormatting>
  <conditionalFormatting sqref="P5">
    <cfRule type="expression" dxfId="2470" priority="477">
      <formula>SEARCH("X", $A$12) &gt; 0</formula>
    </cfRule>
  </conditionalFormatting>
  <conditionalFormatting sqref="P5">
    <cfRule type="expression" dxfId="2469" priority="476">
      <formula>SEARCH("X", $A$9) &gt; 0</formula>
    </cfRule>
  </conditionalFormatting>
  <conditionalFormatting sqref="P5">
    <cfRule type="expression" dxfId="2468" priority="475">
      <formula>SEARCH("X", $A$6) &gt; 0</formula>
    </cfRule>
  </conditionalFormatting>
  <conditionalFormatting sqref="P5">
    <cfRule type="expression" dxfId="2467" priority="474">
      <formula>SEARCH("X", $A$8) &gt; 0</formula>
    </cfRule>
  </conditionalFormatting>
  <conditionalFormatting sqref="Q5">
    <cfRule type="expression" dxfId="2466" priority="473">
      <formula>SEARCH("X", $A$12) &gt; 0</formula>
    </cfRule>
  </conditionalFormatting>
  <conditionalFormatting sqref="Q5">
    <cfRule type="expression" dxfId="2465" priority="472">
      <formula>SEARCH("X", $A$9) &gt; 0</formula>
    </cfRule>
  </conditionalFormatting>
  <conditionalFormatting sqref="Q5">
    <cfRule type="expression" dxfId="2464" priority="471">
      <formula>SEARCH("X", $A$6) &gt; 0</formula>
    </cfRule>
  </conditionalFormatting>
  <conditionalFormatting sqref="Q5">
    <cfRule type="expression" dxfId="2463" priority="470">
      <formula>SEARCH("X", $A$8) &gt; 0</formula>
    </cfRule>
  </conditionalFormatting>
  <conditionalFormatting sqref="Q5:R5">
    <cfRule type="expression" dxfId="2462" priority="469">
      <formula>SEARCH("X", $A$12) &gt; 0</formula>
    </cfRule>
  </conditionalFormatting>
  <conditionalFormatting sqref="Q5:R5">
    <cfRule type="expression" dxfId="2461" priority="468">
      <formula>SEARCH("X", $A$9) &gt; 0</formula>
    </cfRule>
  </conditionalFormatting>
  <conditionalFormatting sqref="Q5:R5">
    <cfRule type="expression" dxfId="2460" priority="467">
      <formula>SEARCH("X", $A$6) &gt; 0</formula>
    </cfRule>
  </conditionalFormatting>
  <conditionalFormatting sqref="Q5:R5">
    <cfRule type="expression" dxfId="2459" priority="466">
      <formula>SEARCH("X", $A$8) &gt; 0</formula>
    </cfRule>
  </conditionalFormatting>
  <conditionalFormatting sqref="E6">
    <cfRule type="expression" dxfId="2458" priority="461">
      <formula>SEARCH("X", $A$8) &gt; 0</formula>
    </cfRule>
  </conditionalFormatting>
  <conditionalFormatting sqref="K6">
    <cfRule type="expression" dxfId="2457" priority="460">
      <formula>SEARCH("X", $A$8) &gt; 0</formula>
    </cfRule>
  </conditionalFormatting>
  <conditionalFormatting sqref="K6">
    <cfRule type="expression" dxfId="2456" priority="459">
      <formula>SEARCH("X", $A$10) &gt; 0</formula>
    </cfRule>
  </conditionalFormatting>
  <conditionalFormatting sqref="K6">
    <cfRule type="expression" dxfId="2455" priority="458">
      <formula>SEARCH("X", $A$8) &gt; 0</formula>
    </cfRule>
  </conditionalFormatting>
  <conditionalFormatting sqref="L6">
    <cfRule type="expression" dxfId="2454" priority="457">
      <formula>SEARCH("X", $A$5) &gt; 0</formula>
    </cfRule>
  </conditionalFormatting>
  <conditionalFormatting sqref="L6">
    <cfRule type="expression" dxfId="2453" priority="456">
      <formula>SEARCH("X", $A$12) &gt; 0</formula>
    </cfRule>
  </conditionalFormatting>
  <conditionalFormatting sqref="L6">
    <cfRule type="expression" dxfId="2452" priority="455">
      <formula>SEARCH("X", $A$9) &gt; 0</formula>
    </cfRule>
  </conditionalFormatting>
  <conditionalFormatting sqref="L6">
    <cfRule type="expression" dxfId="2451" priority="454">
      <formula>SEARCH("X", $A$6) &gt; 0</formula>
    </cfRule>
  </conditionalFormatting>
  <conditionalFormatting sqref="L6">
    <cfRule type="expression" dxfId="2450" priority="453">
      <formula>SEARCH("X", $A$8) &gt; 0</formula>
    </cfRule>
  </conditionalFormatting>
  <conditionalFormatting sqref="N6">
    <cfRule type="expression" dxfId="2449" priority="452">
      <formula>SEARCH("X", $A$5) &gt; 0</formula>
    </cfRule>
  </conditionalFormatting>
  <conditionalFormatting sqref="N6">
    <cfRule type="expression" dxfId="2448" priority="451">
      <formula>SEARCH("X", $A$12) &gt; 0</formula>
    </cfRule>
  </conditionalFormatting>
  <conditionalFormatting sqref="N6">
    <cfRule type="expression" dxfId="2447" priority="450">
      <formula>SEARCH("X", $A$9) &gt; 0</formula>
    </cfRule>
  </conditionalFormatting>
  <conditionalFormatting sqref="N6">
    <cfRule type="expression" dxfId="2446" priority="449">
      <formula>SEARCH("X", $A$6) &gt; 0</formula>
    </cfRule>
  </conditionalFormatting>
  <conditionalFormatting sqref="N6">
    <cfRule type="expression" dxfId="2445" priority="448">
      <formula>SEARCH("X", $A$8) &gt; 0</formula>
    </cfRule>
  </conditionalFormatting>
  <conditionalFormatting sqref="N6:O6">
    <cfRule type="expression" dxfId="2444" priority="447">
      <formula>SEARCH("X", $A$5) &gt; 0</formula>
    </cfRule>
  </conditionalFormatting>
  <conditionalFormatting sqref="N6:O6">
    <cfRule type="expression" dxfId="2443" priority="446">
      <formula>SEARCH("X", $A$12) &gt; 0</formula>
    </cfRule>
  </conditionalFormatting>
  <conditionalFormatting sqref="N6:O6">
    <cfRule type="expression" dxfId="2442" priority="445">
      <formula>SEARCH("X", $A$9) &gt; 0</formula>
    </cfRule>
  </conditionalFormatting>
  <conditionalFormatting sqref="N6:O6">
    <cfRule type="expression" dxfId="2441" priority="444">
      <formula>SEARCH("X", $A$6) &gt; 0</formula>
    </cfRule>
  </conditionalFormatting>
  <conditionalFormatting sqref="N6:O6">
    <cfRule type="expression" dxfId="2440" priority="443">
      <formula>SEARCH("X", $A$8) &gt; 0</formula>
    </cfRule>
  </conditionalFormatting>
  <conditionalFormatting sqref="N6:P6">
    <cfRule type="expression" dxfId="2439" priority="442">
      <formula>SEARCH("X", $A$5) &gt; 0</formula>
    </cfRule>
  </conditionalFormatting>
  <conditionalFormatting sqref="N6:P6">
    <cfRule type="expression" dxfId="2438" priority="441">
      <formula>SEARCH("X", $A$12) &gt; 0</formula>
    </cfRule>
  </conditionalFormatting>
  <conditionalFormatting sqref="N6:P6">
    <cfRule type="expression" dxfId="2437" priority="440">
      <formula>SEARCH("X", $A$9) &gt; 0</formula>
    </cfRule>
  </conditionalFormatting>
  <conditionalFormatting sqref="N6:P6">
    <cfRule type="expression" dxfId="2436" priority="439">
      <formula>SEARCH("X", $A$6) &gt; 0</formula>
    </cfRule>
  </conditionalFormatting>
  <conditionalFormatting sqref="N6:P6">
    <cfRule type="expression" dxfId="2435" priority="438">
      <formula>SEARCH("X", $A$8) &gt; 0</formula>
    </cfRule>
  </conditionalFormatting>
  <conditionalFormatting sqref="N6:Q6">
    <cfRule type="expression" dxfId="2434" priority="437">
      <formula>SEARCH("X", $A$5) &gt; 0</formula>
    </cfRule>
  </conditionalFormatting>
  <conditionalFormatting sqref="N6:Q6">
    <cfRule type="expression" dxfId="2433" priority="436">
      <formula>SEARCH("X", $A$12) &gt; 0</formula>
    </cfRule>
  </conditionalFormatting>
  <conditionalFormatting sqref="N6:Q6">
    <cfRule type="expression" dxfId="2432" priority="435">
      <formula>SEARCH("X", $A$9) &gt; 0</formula>
    </cfRule>
  </conditionalFormatting>
  <conditionalFormatting sqref="N6:Q6">
    <cfRule type="expression" dxfId="2431" priority="434">
      <formula>SEARCH("X", $A$6) &gt; 0</formula>
    </cfRule>
  </conditionalFormatting>
  <conditionalFormatting sqref="N6:Q6">
    <cfRule type="expression" dxfId="2430" priority="433">
      <formula>SEARCH("X", $A$8) &gt; 0</formula>
    </cfRule>
  </conditionalFormatting>
  <conditionalFormatting sqref="N6:R6">
    <cfRule type="expression" dxfId="2429" priority="432">
      <formula>SEARCH("X", $A$5) &gt; 0</formula>
    </cfRule>
  </conditionalFormatting>
  <conditionalFormatting sqref="N6:R6">
    <cfRule type="expression" dxfId="2428" priority="431">
      <formula>SEARCH("X", $A$12) &gt; 0</formula>
    </cfRule>
  </conditionalFormatting>
  <conditionalFormatting sqref="N6:R6">
    <cfRule type="expression" dxfId="2427" priority="430">
      <formula>SEARCH("X", $A$9) &gt; 0</formula>
    </cfRule>
  </conditionalFormatting>
  <conditionalFormatting sqref="N6:R6">
    <cfRule type="expression" dxfId="2426" priority="429">
      <formula>SEARCH("X", $A$6) &gt; 0</formula>
    </cfRule>
  </conditionalFormatting>
  <conditionalFormatting sqref="N6:R6">
    <cfRule type="expression" dxfId="2425" priority="428">
      <formula>SEARCH("X", $A$8) &gt; 0</formula>
    </cfRule>
  </conditionalFormatting>
  <conditionalFormatting sqref="V6">
    <cfRule type="expression" dxfId="2424" priority="427">
      <formula>SEARCH("X", $A$5) &gt; 0</formula>
    </cfRule>
  </conditionalFormatting>
  <conditionalFormatting sqref="V6">
    <cfRule type="expression" dxfId="2423" priority="426">
      <formula>SEARCH("X", $A$12) &gt; 0</formula>
    </cfRule>
  </conditionalFormatting>
  <conditionalFormatting sqref="V6">
    <cfRule type="expression" dxfId="2422" priority="425">
      <formula>SEARCH("X", $A$9) &gt; 0</formula>
    </cfRule>
  </conditionalFormatting>
  <conditionalFormatting sqref="V6">
    <cfRule type="expression" dxfId="2421" priority="424">
      <formula>SEARCH("X", $A$6) &gt; 0</formula>
    </cfRule>
  </conditionalFormatting>
  <conditionalFormatting sqref="V6">
    <cfRule type="expression" dxfId="2420" priority="423">
      <formula>SEARCH("X", $A$8) &gt; 0</formula>
    </cfRule>
  </conditionalFormatting>
  <conditionalFormatting sqref="E7">
    <cfRule type="expression" dxfId="2419" priority="422">
      <formula>SEARCH("X", $A$6) &gt; 0</formula>
    </cfRule>
  </conditionalFormatting>
  <conditionalFormatting sqref="E7">
    <cfRule type="expression" dxfId="2418" priority="421">
      <formula>SEARCH("X", $A$8) &gt; 0</formula>
    </cfRule>
  </conditionalFormatting>
  <conditionalFormatting sqref="G7">
    <cfRule type="expression" dxfId="2417" priority="420">
      <formula>SEARCH("X", $A$6) &gt; 0</formula>
    </cfRule>
  </conditionalFormatting>
  <conditionalFormatting sqref="G7">
    <cfRule type="expression" dxfId="2416" priority="419">
      <formula>SEARCH("X", $A$8) &gt; 0</formula>
    </cfRule>
  </conditionalFormatting>
  <conditionalFormatting sqref="G7:H7">
    <cfRule type="expression" dxfId="2415" priority="418">
      <formula>SEARCH("X", $A$6) &gt; 0</formula>
    </cfRule>
  </conditionalFormatting>
  <conditionalFormatting sqref="G7:H7">
    <cfRule type="expression" dxfId="2414" priority="417">
      <formula>SEARCH("X", $A$8) &gt; 0</formula>
    </cfRule>
  </conditionalFormatting>
  <conditionalFormatting sqref="P7">
    <cfRule type="expression" dxfId="2413" priority="408">
      <formula>SEARCH("X", $A$6) &gt; 0</formula>
    </cfRule>
  </conditionalFormatting>
  <conditionalFormatting sqref="P7">
    <cfRule type="expression" dxfId="2412" priority="407">
      <formula>SEARCH("X", $A$5) &gt; 0</formula>
    </cfRule>
  </conditionalFormatting>
  <conditionalFormatting sqref="P7">
    <cfRule type="expression" dxfId="2411" priority="406">
      <formula>SEARCH("X", $A$12) &gt; 0</formula>
    </cfRule>
  </conditionalFormatting>
  <conditionalFormatting sqref="P7">
    <cfRule type="expression" dxfId="2410" priority="405">
      <formula>SEARCH("X", $A$9) &gt; 0</formula>
    </cfRule>
  </conditionalFormatting>
  <conditionalFormatting sqref="P7">
    <cfRule type="expression" dxfId="2409" priority="404">
      <formula>SEARCH("X", $A$6) &gt; 0</formula>
    </cfRule>
  </conditionalFormatting>
  <conditionalFormatting sqref="P7">
    <cfRule type="expression" dxfId="2408" priority="403">
      <formula>SEARCH("X", $A$8) &gt; 0</formula>
    </cfRule>
  </conditionalFormatting>
  <conditionalFormatting sqref="P7">
    <cfRule type="expression" dxfId="2407" priority="402">
      <formula>SEARCH("X", $A$5) &gt; 0</formula>
    </cfRule>
  </conditionalFormatting>
  <conditionalFormatting sqref="P7">
    <cfRule type="expression" dxfId="2406" priority="401">
      <formula>SEARCH("X", $A$12) &gt; 0</formula>
    </cfRule>
  </conditionalFormatting>
  <conditionalFormatting sqref="P7">
    <cfRule type="expression" dxfId="2405" priority="400">
      <formula>SEARCH("X", $A$9) &gt; 0</formula>
    </cfRule>
  </conditionalFormatting>
  <conditionalFormatting sqref="P7">
    <cfRule type="expression" dxfId="2404" priority="399">
      <formula>SEARCH("X", $A$6) &gt; 0</formula>
    </cfRule>
  </conditionalFormatting>
  <conditionalFormatting sqref="P7">
    <cfRule type="expression" dxfId="2403" priority="398">
      <formula>SEARCH("X", $A$8) &gt; 0</formula>
    </cfRule>
  </conditionalFormatting>
  <conditionalFormatting sqref="P7">
    <cfRule type="expression" dxfId="2402" priority="397">
      <formula>SEARCH("X", $A$5) &gt; 0</formula>
    </cfRule>
  </conditionalFormatting>
  <conditionalFormatting sqref="P7">
    <cfRule type="expression" dxfId="2401" priority="396">
      <formula>SEARCH("X", $A$12) &gt; 0</formula>
    </cfRule>
  </conditionalFormatting>
  <conditionalFormatting sqref="P7">
    <cfRule type="expression" dxfId="2400" priority="395">
      <formula>SEARCH("X", $A$9) &gt; 0</formula>
    </cfRule>
  </conditionalFormatting>
  <conditionalFormatting sqref="P7">
    <cfRule type="expression" dxfId="2399" priority="394">
      <formula>SEARCH("X", $A$6) &gt; 0</formula>
    </cfRule>
  </conditionalFormatting>
  <conditionalFormatting sqref="P7">
    <cfRule type="expression" dxfId="2398" priority="393">
      <formula>SEARCH("X", $A$8) &gt; 0</formula>
    </cfRule>
  </conditionalFormatting>
  <conditionalFormatting sqref="T7">
    <cfRule type="expression" dxfId="2397" priority="392">
      <formula>SEARCH("X", $A$8) &gt; 0</formula>
    </cfRule>
  </conditionalFormatting>
  <conditionalFormatting sqref="T10:T12 T7">
    <cfRule type="expression" dxfId="2396" priority="391">
      <formula>SEARCH("X", $A$8) &gt; 0</formula>
    </cfRule>
  </conditionalFormatting>
  <conditionalFormatting sqref="T9">
    <cfRule type="expression" dxfId="2395" priority="390">
      <formula>SEARCH("X", $A$8) &gt; 0</formula>
    </cfRule>
  </conditionalFormatting>
  <conditionalFormatting sqref="W7">
    <cfRule type="expression" dxfId="2394" priority="389">
      <formula>SEARCH("X", $A$6) &gt; 0</formula>
    </cfRule>
  </conditionalFormatting>
  <conditionalFormatting sqref="W7">
    <cfRule type="expression" dxfId="2393" priority="388">
      <formula>SEARCH("X", $A$5) &gt; 0</formula>
    </cfRule>
  </conditionalFormatting>
  <conditionalFormatting sqref="W7">
    <cfRule type="expression" dxfId="2392" priority="387">
      <formula>SEARCH("X", $A$12) &gt; 0</formula>
    </cfRule>
  </conditionalFormatting>
  <conditionalFormatting sqref="W7">
    <cfRule type="expression" dxfId="2391" priority="386">
      <formula>SEARCH("X", $A$9) &gt; 0</formula>
    </cfRule>
  </conditionalFormatting>
  <conditionalFormatting sqref="W7">
    <cfRule type="expression" dxfId="2390" priority="385">
      <formula>SEARCH("X", $A$6) &gt; 0</formula>
    </cfRule>
  </conditionalFormatting>
  <conditionalFormatting sqref="W7">
    <cfRule type="expression" dxfId="2389" priority="384">
      <formula>SEARCH("X", $A$8) &gt; 0</formula>
    </cfRule>
  </conditionalFormatting>
  <conditionalFormatting sqref="N8">
    <cfRule type="expression" dxfId="2388" priority="383">
      <formula>SEARCH("X", $A$6) &gt; 0</formula>
    </cfRule>
  </conditionalFormatting>
  <conditionalFormatting sqref="N8">
    <cfRule type="expression" dxfId="2387" priority="382">
      <formula>SEARCH("X", $A$5) &gt; 0</formula>
    </cfRule>
  </conditionalFormatting>
  <conditionalFormatting sqref="N8">
    <cfRule type="expression" dxfId="2386" priority="381">
      <formula>SEARCH("X", $A$12) &gt; 0</formula>
    </cfRule>
  </conditionalFormatting>
  <conditionalFormatting sqref="N8">
    <cfRule type="expression" dxfId="2385" priority="380">
      <formula>SEARCH("X", $A$9) &gt; 0</formula>
    </cfRule>
  </conditionalFormatting>
  <conditionalFormatting sqref="N8">
    <cfRule type="expression" dxfId="2384" priority="379">
      <formula>SEARCH("X", $A$6) &gt; 0</formula>
    </cfRule>
  </conditionalFormatting>
  <conditionalFormatting sqref="N8">
    <cfRule type="expression" dxfId="2383" priority="378">
      <formula>SEARCH("X", $A$8) &gt; 0</formula>
    </cfRule>
  </conditionalFormatting>
  <conditionalFormatting sqref="N8">
    <cfRule type="expression" dxfId="2382" priority="377">
      <formula>SEARCH("X", $A$5) &gt; 0</formula>
    </cfRule>
  </conditionalFormatting>
  <conditionalFormatting sqref="N8">
    <cfRule type="expression" dxfId="2381" priority="376">
      <formula>SEARCH("X", $A$12) &gt; 0</formula>
    </cfRule>
  </conditionalFormatting>
  <conditionalFormatting sqref="N8">
    <cfRule type="expression" dxfId="2380" priority="375">
      <formula>SEARCH("X", $A$9) &gt; 0</formula>
    </cfRule>
  </conditionalFormatting>
  <conditionalFormatting sqref="N8">
    <cfRule type="expression" dxfId="2379" priority="374">
      <formula>SEARCH("X", $A$6) &gt; 0</formula>
    </cfRule>
  </conditionalFormatting>
  <conditionalFormatting sqref="N8">
    <cfRule type="expression" dxfId="2378" priority="373">
      <formula>SEARCH("X", $A$8) &gt; 0</formula>
    </cfRule>
  </conditionalFormatting>
  <conditionalFormatting sqref="N8">
    <cfRule type="expression" dxfId="2377" priority="372">
      <formula>SEARCH("X", $A$5) &gt; 0</formula>
    </cfRule>
  </conditionalFormatting>
  <conditionalFormatting sqref="N8">
    <cfRule type="expression" dxfId="2376" priority="371">
      <formula>SEARCH("X", $A$12) &gt; 0</formula>
    </cfRule>
  </conditionalFormatting>
  <conditionalFormatting sqref="N8">
    <cfRule type="expression" dxfId="2375" priority="370">
      <formula>SEARCH("X", $A$9) &gt; 0</formula>
    </cfRule>
  </conditionalFormatting>
  <conditionalFormatting sqref="N8">
    <cfRule type="expression" dxfId="2374" priority="369">
      <formula>SEARCH("X", $A$6) &gt; 0</formula>
    </cfRule>
  </conditionalFormatting>
  <conditionalFormatting sqref="N8">
    <cfRule type="expression" dxfId="2373" priority="368">
      <formula>SEARCH("X", $A$8) &gt; 0</formula>
    </cfRule>
  </conditionalFormatting>
  <conditionalFormatting sqref="N8">
    <cfRule type="expression" dxfId="2372" priority="367">
      <formula>SEARCH("X", $A$5) &gt; 0</formula>
    </cfRule>
  </conditionalFormatting>
  <conditionalFormatting sqref="N8">
    <cfRule type="expression" dxfId="2371" priority="366">
      <formula>SEARCH("X", $A$12) &gt; 0</formula>
    </cfRule>
  </conditionalFormatting>
  <conditionalFormatting sqref="N8">
    <cfRule type="expression" dxfId="2370" priority="365">
      <formula>SEARCH("X", $A$9) &gt; 0</formula>
    </cfRule>
  </conditionalFormatting>
  <conditionalFormatting sqref="N8">
    <cfRule type="expression" dxfId="2369" priority="364">
      <formula>SEARCH("X", $A$6) &gt; 0</formula>
    </cfRule>
  </conditionalFormatting>
  <conditionalFormatting sqref="N8">
    <cfRule type="expression" dxfId="2368" priority="363">
      <formula>SEARCH("X", $A$8) &gt; 0</formula>
    </cfRule>
  </conditionalFormatting>
  <conditionalFormatting sqref="N8">
    <cfRule type="expression" dxfId="2367" priority="362">
      <formula>SEARCH("X", $A$5) &gt; 0</formula>
    </cfRule>
  </conditionalFormatting>
  <conditionalFormatting sqref="N8">
    <cfRule type="expression" dxfId="2366" priority="361">
      <formula>SEARCH("X", $A$12) &gt; 0</formula>
    </cfRule>
  </conditionalFormatting>
  <conditionalFormatting sqref="N8">
    <cfRule type="expression" dxfId="2365" priority="360">
      <formula>SEARCH("X", $A$9) &gt; 0</formula>
    </cfRule>
  </conditionalFormatting>
  <conditionalFormatting sqref="N8">
    <cfRule type="expression" dxfId="2364" priority="359">
      <formula>SEARCH("X", $A$6) &gt; 0</formula>
    </cfRule>
  </conditionalFormatting>
  <conditionalFormatting sqref="N8">
    <cfRule type="expression" dxfId="2363" priority="358">
      <formula>SEARCH("X", $A$8) &gt; 0</formula>
    </cfRule>
  </conditionalFormatting>
  <conditionalFormatting sqref="N8:O8">
    <cfRule type="expression" dxfId="2362" priority="357">
      <formula>SEARCH("X", $A$6) &gt; 0</formula>
    </cfRule>
  </conditionalFormatting>
  <conditionalFormatting sqref="N8:O8">
    <cfRule type="expression" dxfId="2361" priority="356">
      <formula>SEARCH("X", $A$5) &gt; 0</formula>
    </cfRule>
  </conditionalFormatting>
  <conditionalFormatting sqref="N8:O8">
    <cfRule type="expression" dxfId="2360" priority="355">
      <formula>SEARCH("X", $A$12) &gt; 0</formula>
    </cfRule>
  </conditionalFormatting>
  <conditionalFormatting sqref="N8:O8">
    <cfRule type="expression" dxfId="2359" priority="354">
      <formula>SEARCH("X", $A$9) &gt; 0</formula>
    </cfRule>
  </conditionalFormatting>
  <conditionalFormatting sqref="N8:O8">
    <cfRule type="expression" dxfId="2358" priority="353">
      <formula>SEARCH("X", $A$6) &gt; 0</formula>
    </cfRule>
  </conditionalFormatting>
  <conditionalFormatting sqref="N8:O8">
    <cfRule type="expression" dxfId="2357" priority="352">
      <formula>SEARCH("X", $A$8) &gt; 0</formula>
    </cfRule>
  </conditionalFormatting>
  <conditionalFormatting sqref="N8:O8">
    <cfRule type="expression" dxfId="2356" priority="351">
      <formula>SEARCH("X", $A$5) &gt; 0</formula>
    </cfRule>
  </conditionalFormatting>
  <conditionalFormatting sqref="N8:O8">
    <cfRule type="expression" dxfId="2355" priority="350">
      <formula>SEARCH("X", $A$12) &gt; 0</formula>
    </cfRule>
  </conditionalFormatting>
  <conditionalFormatting sqref="N8:O8">
    <cfRule type="expression" dxfId="2354" priority="349">
      <formula>SEARCH("X", $A$9) &gt; 0</formula>
    </cfRule>
  </conditionalFormatting>
  <conditionalFormatting sqref="N8:O8">
    <cfRule type="expression" dxfId="2353" priority="348">
      <formula>SEARCH("X", $A$6) &gt; 0</formula>
    </cfRule>
  </conditionalFormatting>
  <conditionalFormatting sqref="N8:O8">
    <cfRule type="expression" dxfId="2352" priority="347">
      <formula>SEARCH("X", $A$8) &gt; 0</formula>
    </cfRule>
  </conditionalFormatting>
  <conditionalFormatting sqref="N8:O8">
    <cfRule type="expression" dxfId="2351" priority="346">
      <formula>SEARCH("X", $A$5) &gt; 0</formula>
    </cfRule>
  </conditionalFormatting>
  <conditionalFormatting sqref="N8:O8">
    <cfRule type="expression" dxfId="2350" priority="345">
      <formula>SEARCH("X", $A$12) &gt; 0</formula>
    </cfRule>
  </conditionalFormatting>
  <conditionalFormatting sqref="N8:O8">
    <cfRule type="expression" dxfId="2349" priority="344">
      <formula>SEARCH("X", $A$9) &gt; 0</formula>
    </cfRule>
  </conditionalFormatting>
  <conditionalFormatting sqref="N8:O8">
    <cfRule type="expression" dxfId="2348" priority="343">
      <formula>SEARCH("X", $A$6) &gt; 0</formula>
    </cfRule>
  </conditionalFormatting>
  <conditionalFormatting sqref="N8:O8">
    <cfRule type="expression" dxfId="2347" priority="342">
      <formula>SEARCH("X", $A$8) &gt; 0</formula>
    </cfRule>
  </conditionalFormatting>
  <conditionalFormatting sqref="N8:O8">
    <cfRule type="expression" dxfId="2346" priority="341">
      <formula>SEARCH("X", $A$5) &gt; 0</formula>
    </cfRule>
  </conditionalFormatting>
  <conditionalFormatting sqref="N8:O8">
    <cfRule type="expression" dxfId="2345" priority="340">
      <formula>SEARCH("X", $A$12) &gt; 0</formula>
    </cfRule>
  </conditionalFormatting>
  <conditionalFormatting sqref="N8:O8">
    <cfRule type="expression" dxfId="2344" priority="339">
      <formula>SEARCH("X", $A$9) &gt; 0</formula>
    </cfRule>
  </conditionalFormatting>
  <conditionalFormatting sqref="N8:O8">
    <cfRule type="expression" dxfId="2343" priority="338">
      <formula>SEARCH("X", $A$6) &gt; 0</formula>
    </cfRule>
  </conditionalFormatting>
  <conditionalFormatting sqref="N8:O8">
    <cfRule type="expression" dxfId="2342" priority="337">
      <formula>SEARCH("X", $A$8) &gt; 0</formula>
    </cfRule>
  </conditionalFormatting>
  <conditionalFormatting sqref="N8:O8">
    <cfRule type="expression" dxfId="2341" priority="336">
      <formula>SEARCH("X", $A$5) &gt; 0</formula>
    </cfRule>
  </conditionalFormatting>
  <conditionalFormatting sqref="N8:O8">
    <cfRule type="expression" dxfId="2340" priority="335">
      <formula>SEARCH("X", $A$12) &gt; 0</formula>
    </cfRule>
  </conditionalFormatting>
  <conditionalFormatting sqref="N8:O8">
    <cfRule type="expression" dxfId="2339" priority="334">
      <formula>SEARCH("X", $A$9) &gt; 0</formula>
    </cfRule>
  </conditionalFormatting>
  <conditionalFormatting sqref="N8:O8">
    <cfRule type="expression" dxfId="2338" priority="333">
      <formula>SEARCH("X", $A$6) &gt; 0</formula>
    </cfRule>
  </conditionalFormatting>
  <conditionalFormatting sqref="N8:O8">
    <cfRule type="expression" dxfId="2337" priority="332">
      <formula>SEARCH("X", $A$8) &gt; 0</formula>
    </cfRule>
  </conditionalFormatting>
  <conditionalFormatting sqref="N8:P8">
    <cfRule type="expression" dxfId="2336" priority="331">
      <formula>SEARCH("X", $A$6) &gt; 0</formula>
    </cfRule>
  </conditionalFormatting>
  <conditionalFormatting sqref="N8:P8">
    <cfRule type="expression" dxfId="2335" priority="330">
      <formula>SEARCH("X", $A$5) &gt; 0</formula>
    </cfRule>
  </conditionalFormatting>
  <conditionalFormatting sqref="N8:P8">
    <cfRule type="expression" dxfId="2334" priority="329">
      <formula>SEARCH("X", $A$12) &gt; 0</formula>
    </cfRule>
  </conditionalFormatting>
  <conditionalFormatting sqref="N8:P8">
    <cfRule type="expression" dxfId="2333" priority="328">
      <formula>SEARCH("X", $A$9) &gt; 0</formula>
    </cfRule>
  </conditionalFormatting>
  <conditionalFormatting sqref="N8:P8">
    <cfRule type="expression" dxfId="2332" priority="327">
      <formula>SEARCH("X", $A$6) &gt; 0</formula>
    </cfRule>
  </conditionalFormatting>
  <conditionalFormatting sqref="N8:P8">
    <cfRule type="expression" dxfId="2331" priority="326">
      <formula>SEARCH("X", $A$8) &gt; 0</formula>
    </cfRule>
  </conditionalFormatting>
  <conditionalFormatting sqref="N8:P8">
    <cfRule type="expression" dxfId="2330" priority="325">
      <formula>SEARCH("X", $A$5) &gt; 0</formula>
    </cfRule>
  </conditionalFormatting>
  <conditionalFormatting sqref="N8:P8">
    <cfRule type="expression" dxfId="2329" priority="324">
      <formula>SEARCH("X", $A$12) &gt; 0</formula>
    </cfRule>
  </conditionalFormatting>
  <conditionalFormatting sqref="N8:P8">
    <cfRule type="expression" dxfId="2328" priority="323">
      <formula>SEARCH("X", $A$9) &gt; 0</formula>
    </cfRule>
  </conditionalFormatting>
  <conditionalFormatting sqref="N8:P8">
    <cfRule type="expression" dxfId="2327" priority="322">
      <formula>SEARCH("X", $A$6) &gt; 0</formula>
    </cfRule>
  </conditionalFormatting>
  <conditionalFormatting sqref="N8:P8">
    <cfRule type="expression" dxfId="2326" priority="321">
      <formula>SEARCH("X", $A$8) &gt; 0</formula>
    </cfRule>
  </conditionalFormatting>
  <conditionalFormatting sqref="N8:P8">
    <cfRule type="expression" dxfId="2325" priority="320">
      <formula>SEARCH("X", $A$5) &gt; 0</formula>
    </cfRule>
  </conditionalFormatting>
  <conditionalFormatting sqref="N8:P8">
    <cfRule type="expression" dxfId="2324" priority="319">
      <formula>SEARCH("X", $A$12) &gt; 0</formula>
    </cfRule>
  </conditionalFormatting>
  <conditionalFormatting sqref="N8:P8">
    <cfRule type="expression" dxfId="2323" priority="318">
      <formula>SEARCH("X", $A$9) &gt; 0</formula>
    </cfRule>
  </conditionalFormatting>
  <conditionalFormatting sqref="N8:P8">
    <cfRule type="expression" dxfId="2322" priority="317">
      <formula>SEARCH("X", $A$6) &gt; 0</formula>
    </cfRule>
  </conditionalFormatting>
  <conditionalFormatting sqref="N8:P8">
    <cfRule type="expression" dxfId="2321" priority="316">
      <formula>SEARCH("X", $A$8) &gt; 0</formula>
    </cfRule>
  </conditionalFormatting>
  <conditionalFormatting sqref="N8:P8">
    <cfRule type="expression" dxfId="2320" priority="315">
      <formula>SEARCH("X", $A$5) &gt; 0</formula>
    </cfRule>
  </conditionalFormatting>
  <conditionalFormatting sqref="N8:P8">
    <cfRule type="expression" dxfId="2319" priority="314">
      <formula>SEARCH("X", $A$12) &gt; 0</formula>
    </cfRule>
  </conditionalFormatting>
  <conditionalFormatting sqref="N8:P8">
    <cfRule type="expression" dxfId="2318" priority="313">
      <formula>SEARCH("X", $A$9) &gt; 0</formula>
    </cfRule>
  </conditionalFormatting>
  <conditionalFormatting sqref="N8:P8">
    <cfRule type="expression" dxfId="2317" priority="312">
      <formula>SEARCH("X", $A$6) &gt; 0</formula>
    </cfRule>
  </conditionalFormatting>
  <conditionalFormatting sqref="N8:P8">
    <cfRule type="expression" dxfId="2316" priority="311">
      <formula>SEARCH("X", $A$8) &gt; 0</formula>
    </cfRule>
  </conditionalFormatting>
  <conditionalFormatting sqref="N8:P8">
    <cfRule type="expression" dxfId="2315" priority="310">
      <formula>SEARCH("X", $A$5) &gt; 0</formula>
    </cfRule>
  </conditionalFormatting>
  <conditionalFormatting sqref="N8:P8">
    <cfRule type="expression" dxfId="2314" priority="309">
      <formula>SEARCH("X", $A$12) &gt; 0</formula>
    </cfRule>
  </conditionalFormatting>
  <conditionalFormatting sqref="N8:P8">
    <cfRule type="expression" dxfId="2313" priority="308">
      <formula>SEARCH("X", $A$9) &gt; 0</formula>
    </cfRule>
  </conditionalFormatting>
  <conditionalFormatting sqref="N8:P8">
    <cfRule type="expression" dxfId="2312" priority="307">
      <formula>SEARCH("X", $A$6) &gt; 0</formula>
    </cfRule>
  </conditionalFormatting>
  <conditionalFormatting sqref="N8:P8">
    <cfRule type="expression" dxfId="2311" priority="306">
      <formula>SEARCH("X", $A$8) &gt; 0</formula>
    </cfRule>
  </conditionalFormatting>
  <conditionalFormatting sqref="N8:Q8">
    <cfRule type="expression" dxfId="2310" priority="305">
      <formula>SEARCH("X", $A$6) &gt; 0</formula>
    </cfRule>
  </conditionalFormatting>
  <conditionalFormatting sqref="N8:Q8">
    <cfRule type="expression" dxfId="2309" priority="304">
      <formula>SEARCH("X", $A$5) &gt; 0</formula>
    </cfRule>
  </conditionalFormatting>
  <conditionalFormatting sqref="N8:Q8">
    <cfRule type="expression" dxfId="2308" priority="303">
      <formula>SEARCH("X", $A$12) &gt; 0</formula>
    </cfRule>
  </conditionalFormatting>
  <conditionalFormatting sqref="N8:Q8">
    <cfRule type="expression" dxfId="2307" priority="302">
      <formula>SEARCH("X", $A$9) &gt; 0</formula>
    </cfRule>
  </conditionalFormatting>
  <conditionalFormatting sqref="N8:Q8">
    <cfRule type="expression" dxfId="2306" priority="301">
      <formula>SEARCH("X", $A$6) &gt; 0</formula>
    </cfRule>
  </conditionalFormatting>
  <conditionalFormatting sqref="N8:Q8">
    <cfRule type="expression" dxfId="2305" priority="300">
      <formula>SEARCH("X", $A$8) &gt; 0</formula>
    </cfRule>
  </conditionalFormatting>
  <conditionalFormatting sqref="N8:Q8">
    <cfRule type="expression" dxfId="2304" priority="299">
      <formula>SEARCH("X", $A$5) &gt; 0</formula>
    </cfRule>
  </conditionalFormatting>
  <conditionalFormatting sqref="N8:Q8">
    <cfRule type="expression" dxfId="2303" priority="298">
      <formula>SEARCH("X", $A$12) &gt; 0</formula>
    </cfRule>
  </conditionalFormatting>
  <conditionalFormatting sqref="N8:Q8">
    <cfRule type="expression" dxfId="2302" priority="297">
      <formula>SEARCH("X", $A$9) &gt; 0</formula>
    </cfRule>
  </conditionalFormatting>
  <conditionalFormatting sqref="N8:Q8">
    <cfRule type="expression" dxfId="2301" priority="296">
      <formula>SEARCH("X", $A$6) &gt; 0</formula>
    </cfRule>
  </conditionalFormatting>
  <conditionalFormatting sqref="N8:Q8">
    <cfRule type="expression" dxfId="2300" priority="295">
      <formula>SEARCH("X", $A$8) &gt; 0</formula>
    </cfRule>
  </conditionalFormatting>
  <conditionalFormatting sqref="N8:Q8">
    <cfRule type="expression" dxfId="2299" priority="294">
      <formula>SEARCH("X", $A$5) &gt; 0</formula>
    </cfRule>
  </conditionalFormatting>
  <conditionalFormatting sqref="N8:Q8">
    <cfRule type="expression" dxfId="2298" priority="293">
      <formula>SEARCH("X", $A$12) &gt; 0</formula>
    </cfRule>
  </conditionalFormatting>
  <conditionalFormatting sqref="N8:Q8">
    <cfRule type="expression" dxfId="2297" priority="292">
      <formula>SEARCH("X", $A$9) &gt; 0</formula>
    </cfRule>
  </conditionalFormatting>
  <conditionalFormatting sqref="N8:Q8">
    <cfRule type="expression" dxfId="2296" priority="291">
      <formula>SEARCH("X", $A$6) &gt; 0</formula>
    </cfRule>
  </conditionalFormatting>
  <conditionalFormatting sqref="N8:Q8">
    <cfRule type="expression" dxfId="2295" priority="290">
      <formula>SEARCH("X", $A$8) &gt; 0</formula>
    </cfRule>
  </conditionalFormatting>
  <conditionalFormatting sqref="N8:Q8">
    <cfRule type="expression" dxfId="2294" priority="289">
      <formula>SEARCH("X", $A$5) &gt; 0</formula>
    </cfRule>
  </conditionalFormatting>
  <conditionalFormatting sqref="N8:Q8">
    <cfRule type="expression" dxfId="2293" priority="288">
      <formula>SEARCH("X", $A$12) &gt; 0</formula>
    </cfRule>
  </conditionalFormatting>
  <conditionalFormatting sqref="N8:Q8">
    <cfRule type="expression" dxfId="2292" priority="287">
      <formula>SEARCH("X", $A$9) &gt; 0</formula>
    </cfRule>
  </conditionalFormatting>
  <conditionalFormatting sqref="N8:Q8">
    <cfRule type="expression" dxfId="2291" priority="286">
      <formula>SEARCH("X", $A$6) &gt; 0</formula>
    </cfRule>
  </conditionalFormatting>
  <conditionalFormatting sqref="N8:Q8">
    <cfRule type="expression" dxfId="2290" priority="285">
      <formula>SEARCH("X", $A$8) &gt; 0</formula>
    </cfRule>
  </conditionalFormatting>
  <conditionalFormatting sqref="N8:Q8">
    <cfRule type="expression" dxfId="2289" priority="284">
      <formula>SEARCH("X", $A$5) &gt; 0</formula>
    </cfRule>
  </conditionalFormatting>
  <conditionalFormatting sqref="N8:Q8">
    <cfRule type="expression" dxfId="2288" priority="283">
      <formula>SEARCH("X", $A$12) &gt; 0</formula>
    </cfRule>
  </conditionalFormatting>
  <conditionalFormatting sqref="N8:Q8">
    <cfRule type="expression" dxfId="2287" priority="282">
      <formula>SEARCH("X", $A$9) &gt; 0</formula>
    </cfRule>
  </conditionalFormatting>
  <conditionalFormatting sqref="N8:Q8">
    <cfRule type="expression" dxfId="2286" priority="281">
      <formula>SEARCH("X", $A$6) &gt; 0</formula>
    </cfRule>
  </conditionalFormatting>
  <conditionalFormatting sqref="N8:Q8">
    <cfRule type="expression" dxfId="2285" priority="280">
      <formula>SEARCH("X", $A$8) &gt; 0</formula>
    </cfRule>
  </conditionalFormatting>
  <conditionalFormatting sqref="E8">
    <cfRule type="expression" dxfId="2284" priority="279">
      <formula>SEARCH("X", $A$7) &gt; 0</formula>
    </cfRule>
  </conditionalFormatting>
  <conditionalFormatting sqref="E8">
    <cfRule type="expression" dxfId="2283" priority="278">
      <formula>SEARCH("X", $A$6) &gt; 0</formula>
    </cfRule>
  </conditionalFormatting>
  <conditionalFormatting sqref="E8">
    <cfRule type="expression" dxfId="2282" priority="277">
      <formula>SEARCH("X", $A$8) &gt; 0</formula>
    </cfRule>
  </conditionalFormatting>
  <conditionalFormatting sqref="I8">
    <cfRule type="expression" dxfId="2281" priority="276">
      <formula>SEARCH("X", $A$7) &gt; 0</formula>
    </cfRule>
  </conditionalFormatting>
  <conditionalFormatting sqref="I8">
    <cfRule type="expression" dxfId="2280" priority="275">
      <formula>SEARCH("X", $A$6) &gt; 0</formula>
    </cfRule>
  </conditionalFormatting>
  <conditionalFormatting sqref="I8">
    <cfRule type="expression" dxfId="2279" priority="274">
      <formula>SEARCH("X", $A$8) &gt; 0</formula>
    </cfRule>
  </conditionalFormatting>
  <conditionalFormatting sqref="I8">
    <cfRule type="expression" dxfId="2278" priority="273">
      <formula>SEARCH("X", $A$6) &gt; 0</formula>
    </cfRule>
  </conditionalFormatting>
  <conditionalFormatting sqref="I8">
    <cfRule type="expression" dxfId="2277" priority="272">
      <formula>SEARCH("X", $A$8) &gt; 0</formula>
    </cfRule>
  </conditionalFormatting>
  <conditionalFormatting sqref="I8">
    <cfRule type="expression" dxfId="2276" priority="271">
      <formula>SEARCH("X", $A$6) &gt; 0</formula>
    </cfRule>
  </conditionalFormatting>
  <conditionalFormatting sqref="I8">
    <cfRule type="expression" dxfId="2275" priority="270">
      <formula>SEARCH("X", $A$8) &gt; 0</formula>
    </cfRule>
  </conditionalFormatting>
  <conditionalFormatting sqref="I8">
    <cfRule type="expression" dxfId="2274" priority="269">
      <formula>SEARCH("X", $A$6) &gt; 0</formula>
    </cfRule>
  </conditionalFormatting>
  <conditionalFormatting sqref="I8">
    <cfRule type="expression" dxfId="2273" priority="268">
      <formula>SEARCH("X", $A$8) &gt; 0</formula>
    </cfRule>
  </conditionalFormatting>
  <conditionalFormatting sqref="X8">
    <cfRule type="expression" dxfId="2272" priority="267">
      <formula>SEARCH("X", $A$11) &gt; 0</formula>
    </cfRule>
  </conditionalFormatting>
  <conditionalFormatting sqref="X8">
    <cfRule type="expression" dxfId="2271" priority="266">
      <formula>SEARCH("X", $A$10) &gt; 0</formula>
    </cfRule>
  </conditionalFormatting>
  <conditionalFormatting sqref="X8">
    <cfRule type="expression" dxfId="2270" priority="265">
      <formula>SEARCH("X", $A$6) &gt; 0</formula>
    </cfRule>
  </conditionalFormatting>
  <conditionalFormatting sqref="X8">
    <cfRule type="expression" dxfId="2269" priority="264">
      <formula>SEARCH("X", $A$8) &gt; 0</formula>
    </cfRule>
  </conditionalFormatting>
  <conditionalFormatting sqref="H9">
    <cfRule type="expression" dxfId="2268" priority="263">
      <formula>SEARCH("X", $A$7) &gt; 0</formula>
    </cfRule>
  </conditionalFormatting>
  <conditionalFormatting sqref="H9">
    <cfRule type="expression" dxfId="2267" priority="262">
      <formula>SEARCH("X", $A$6) &gt; 0</formula>
    </cfRule>
  </conditionalFormatting>
  <conditionalFormatting sqref="H9">
    <cfRule type="expression" dxfId="2266" priority="261">
      <formula>SEARCH("X", $A$8) &gt; 0</formula>
    </cfRule>
  </conditionalFormatting>
  <conditionalFormatting sqref="H9">
    <cfRule type="expression" dxfId="2265" priority="260">
      <formula>SEARCH("X", $A$6) &gt; 0</formula>
    </cfRule>
  </conditionalFormatting>
  <conditionalFormatting sqref="H9">
    <cfRule type="expression" dxfId="2264" priority="259">
      <formula>SEARCH("X", $A$8) &gt; 0</formula>
    </cfRule>
  </conditionalFormatting>
  <conditionalFormatting sqref="H9">
    <cfRule type="expression" dxfId="2263" priority="258">
      <formula>SEARCH("X", $A$6) &gt; 0</formula>
    </cfRule>
  </conditionalFormatting>
  <conditionalFormatting sqref="H9">
    <cfRule type="expression" dxfId="2262" priority="257">
      <formula>SEARCH("X", $A$8) &gt; 0</formula>
    </cfRule>
  </conditionalFormatting>
  <conditionalFormatting sqref="H9">
    <cfRule type="expression" dxfId="2261" priority="256">
      <formula>SEARCH("X", $A$6) &gt; 0</formula>
    </cfRule>
  </conditionalFormatting>
  <conditionalFormatting sqref="H9">
    <cfRule type="expression" dxfId="2260" priority="255">
      <formula>SEARCH("X", $A$8) &gt; 0</formula>
    </cfRule>
  </conditionalFormatting>
  <conditionalFormatting sqref="H9">
    <cfRule type="expression" dxfId="2259" priority="254">
      <formula>SEARCH("X", $A$6) &gt; 0</formula>
    </cfRule>
  </conditionalFormatting>
  <conditionalFormatting sqref="H9">
    <cfRule type="expression" dxfId="2258" priority="253">
      <formula>SEARCH("X", $A$8) &gt; 0</formula>
    </cfRule>
  </conditionalFormatting>
  <conditionalFormatting sqref="K9">
    <cfRule type="expression" dxfId="2257" priority="252">
      <formula>SEARCH("X", $A$7) &gt; 0</formula>
    </cfRule>
  </conditionalFormatting>
  <conditionalFormatting sqref="K9">
    <cfRule type="expression" dxfId="2256" priority="251">
      <formula>SEARCH("X", $A$6) &gt; 0</formula>
    </cfRule>
  </conditionalFormatting>
  <conditionalFormatting sqref="K9">
    <cfRule type="expression" dxfId="2255" priority="250">
      <formula>SEARCH("X", $A$8) &gt; 0</formula>
    </cfRule>
  </conditionalFormatting>
  <conditionalFormatting sqref="K9">
    <cfRule type="expression" dxfId="2254" priority="249">
      <formula>SEARCH("X", $A$6) &gt; 0</formula>
    </cfRule>
  </conditionalFormatting>
  <conditionalFormatting sqref="K9">
    <cfRule type="expression" dxfId="2253" priority="248">
      <formula>SEARCH("X", $A$8) &gt; 0</formula>
    </cfRule>
  </conditionalFormatting>
  <conditionalFormatting sqref="K9:L9">
    <cfRule type="expression" dxfId="2252" priority="247">
      <formula>SEARCH("X", $A$7) &gt; 0</formula>
    </cfRule>
  </conditionalFormatting>
  <conditionalFormatting sqref="K9:L9">
    <cfRule type="expression" dxfId="2251" priority="246">
      <formula>SEARCH("X", $A$6) &gt; 0</formula>
    </cfRule>
  </conditionalFormatting>
  <conditionalFormatting sqref="K9:L9">
    <cfRule type="expression" dxfId="2250" priority="245">
      <formula>SEARCH("X", $A$8) &gt; 0</formula>
    </cfRule>
  </conditionalFormatting>
  <conditionalFormatting sqref="K9:L9">
    <cfRule type="expression" dxfId="2249" priority="244">
      <formula>SEARCH("X", $A$6) &gt; 0</formula>
    </cfRule>
  </conditionalFormatting>
  <conditionalFormatting sqref="K9:L9">
    <cfRule type="expression" dxfId="2248" priority="243">
      <formula>SEARCH("X", $A$8) &gt; 0</formula>
    </cfRule>
  </conditionalFormatting>
  <conditionalFormatting sqref="R9">
    <cfRule type="expression" dxfId="2247" priority="242">
      <formula>SEARCH("X", $A$5) &gt; 0</formula>
    </cfRule>
  </conditionalFormatting>
  <conditionalFormatting sqref="R9">
    <cfRule type="expression" dxfId="2246" priority="241">
      <formula>SEARCH("X", $A$12) &gt; 0</formula>
    </cfRule>
  </conditionalFormatting>
  <conditionalFormatting sqref="R9">
    <cfRule type="expression" dxfId="2245" priority="240">
      <formula>SEARCH("X", $A$9) &gt; 0</formula>
    </cfRule>
  </conditionalFormatting>
  <conditionalFormatting sqref="R9">
    <cfRule type="expression" dxfId="2244" priority="239">
      <formula>SEARCH("X", $A$6) &gt; 0</formula>
    </cfRule>
  </conditionalFormatting>
  <conditionalFormatting sqref="R9">
    <cfRule type="expression" dxfId="2243" priority="238">
      <formula>SEARCH("X", $A$8) &gt; 0</formula>
    </cfRule>
  </conditionalFormatting>
  <conditionalFormatting sqref="R9:S9">
    <cfRule type="expression" dxfId="2242" priority="237">
      <formula>SEARCH("X", $A$5) &gt; 0</formula>
    </cfRule>
  </conditionalFormatting>
  <conditionalFormatting sqref="R9:S9">
    <cfRule type="expression" dxfId="2241" priority="236">
      <formula>SEARCH("X", $A$12) &gt; 0</formula>
    </cfRule>
  </conditionalFormatting>
  <conditionalFormatting sqref="R9:S9">
    <cfRule type="expression" dxfId="2240" priority="235">
      <formula>SEARCH("X", $A$9) &gt; 0</formula>
    </cfRule>
  </conditionalFormatting>
  <conditionalFormatting sqref="R9:S9">
    <cfRule type="expression" dxfId="2239" priority="234">
      <formula>SEARCH("X", $A$6) &gt; 0</formula>
    </cfRule>
  </conditionalFormatting>
  <conditionalFormatting sqref="R9:S9">
    <cfRule type="expression" dxfId="2238" priority="233">
      <formula>SEARCH("X", $A$8) &gt; 0</formula>
    </cfRule>
  </conditionalFormatting>
  <conditionalFormatting sqref="U9 R9:S9">
    <cfRule type="expression" dxfId="2237" priority="232">
      <formula>SEARCH("X", $A$5) &gt; 0</formula>
    </cfRule>
  </conditionalFormatting>
  <conditionalFormatting sqref="U9 R9:S9">
    <cfRule type="expression" dxfId="2236" priority="231">
      <formula>SEARCH("X", $A$12) &gt; 0</formula>
    </cfRule>
  </conditionalFormatting>
  <conditionalFormatting sqref="U9 R9:S9">
    <cfRule type="expression" dxfId="2235" priority="230">
      <formula>SEARCH("X", $A$9) &gt; 0</formula>
    </cfRule>
  </conditionalFormatting>
  <conditionalFormatting sqref="U9 R9:S9">
    <cfRule type="expression" dxfId="2234" priority="229">
      <formula>SEARCH("X", $A$6) &gt; 0</formula>
    </cfRule>
  </conditionalFormatting>
  <conditionalFormatting sqref="U9 R9:S9">
    <cfRule type="expression" dxfId="2233" priority="228">
      <formula>SEARCH("X", $A$8) &gt; 0</formula>
    </cfRule>
  </conditionalFormatting>
  <conditionalFormatting sqref="G10">
    <cfRule type="expression" dxfId="2232" priority="227">
      <formula>SEARCH("X", $A$9) &gt; 0</formula>
    </cfRule>
  </conditionalFormatting>
  <conditionalFormatting sqref="G10">
    <cfRule type="expression" dxfId="2231" priority="226">
      <formula>SEARCH("X", $A$6) &gt; 0</formula>
    </cfRule>
  </conditionalFormatting>
  <conditionalFormatting sqref="G10">
    <cfRule type="expression" dxfId="2230" priority="225">
      <formula>SEARCH("X", $A$8) &gt; 0</formula>
    </cfRule>
  </conditionalFormatting>
  <conditionalFormatting sqref="I10">
    <cfRule type="expression" dxfId="2229" priority="224">
      <formula>SEARCH("X", $A$9) &gt; 0</formula>
    </cfRule>
  </conditionalFormatting>
  <conditionalFormatting sqref="I10">
    <cfRule type="expression" dxfId="2228" priority="223">
      <formula>SEARCH("X", $A$6) &gt; 0</formula>
    </cfRule>
  </conditionalFormatting>
  <conditionalFormatting sqref="I10">
    <cfRule type="expression" dxfId="2227" priority="222">
      <formula>SEARCH("X", $A$8) &gt; 0</formula>
    </cfRule>
  </conditionalFormatting>
  <conditionalFormatting sqref="I10:J10">
    <cfRule type="expression" dxfId="2226" priority="221">
      <formula>SEARCH("X", $A$9) &gt; 0</formula>
    </cfRule>
  </conditionalFormatting>
  <conditionalFormatting sqref="I10:J10">
    <cfRule type="expression" dxfId="2225" priority="220">
      <formula>SEARCH("X", $A$6) &gt; 0</formula>
    </cfRule>
  </conditionalFormatting>
  <conditionalFormatting sqref="I10:J10">
    <cfRule type="expression" dxfId="2224" priority="219">
      <formula>SEARCH("X", $A$8) &gt; 0</formula>
    </cfRule>
  </conditionalFormatting>
  <conditionalFormatting sqref="N10">
    <cfRule type="expression" dxfId="2223" priority="218">
      <formula>SEARCH("X", $A$9) &gt; 0</formula>
    </cfRule>
  </conditionalFormatting>
  <conditionalFormatting sqref="N10">
    <cfRule type="expression" dxfId="2222" priority="217">
      <formula>SEARCH("X", $A$6) &gt; 0</formula>
    </cfRule>
  </conditionalFormatting>
  <conditionalFormatting sqref="N10">
    <cfRule type="expression" dxfId="2221" priority="216">
      <formula>SEARCH("X", $A$8) &gt; 0</formula>
    </cfRule>
  </conditionalFormatting>
  <conditionalFormatting sqref="N10:O10">
    <cfRule type="expression" dxfId="2220" priority="215">
      <formula>SEARCH("X", $A$9) &gt; 0</formula>
    </cfRule>
  </conditionalFormatting>
  <conditionalFormatting sqref="N10:O10">
    <cfRule type="expression" dxfId="2219" priority="214">
      <formula>SEARCH("X", $A$6) &gt; 0</formula>
    </cfRule>
  </conditionalFormatting>
  <conditionalFormatting sqref="N10:O10">
    <cfRule type="expression" dxfId="2218" priority="213">
      <formula>SEARCH("X", $A$8) &gt; 0</formula>
    </cfRule>
  </conditionalFormatting>
  <conditionalFormatting sqref="S10">
    <cfRule type="expression" dxfId="2217" priority="212">
      <formula>SEARCH("X", $A$9) &gt; 0</formula>
    </cfRule>
  </conditionalFormatting>
  <conditionalFormatting sqref="S10">
    <cfRule type="expression" dxfId="2216" priority="211">
      <formula>SEARCH("X", $A$6) &gt; 0</formula>
    </cfRule>
  </conditionalFormatting>
  <conditionalFormatting sqref="S10">
    <cfRule type="expression" dxfId="2215" priority="210">
      <formula>SEARCH("X", $A$8) &gt; 0</formula>
    </cfRule>
  </conditionalFormatting>
  <conditionalFormatting sqref="U5">
    <cfRule type="expression" dxfId="2214" priority="209">
      <formula>SEARCH("X", $A$9) &gt; 0</formula>
    </cfRule>
  </conditionalFormatting>
  <conditionalFormatting sqref="U5">
    <cfRule type="expression" dxfId="2213" priority="208">
      <formula>SEARCH("X", $A$6) &gt; 0</formula>
    </cfRule>
  </conditionalFormatting>
  <conditionalFormatting sqref="U5">
    <cfRule type="expression" dxfId="2212" priority="207">
      <formula>SEARCH("X", $A$8) &gt; 0</formula>
    </cfRule>
  </conditionalFormatting>
  <conditionalFormatting sqref="W10">
    <cfRule type="expression" dxfId="2211" priority="206">
      <formula>SEARCH("X", $A$7) &gt; 0</formula>
    </cfRule>
  </conditionalFormatting>
  <conditionalFormatting sqref="W10">
    <cfRule type="expression" dxfId="2210" priority="205">
      <formula>SEARCH("X", $A$6) &gt; 0</formula>
    </cfRule>
  </conditionalFormatting>
  <conditionalFormatting sqref="W10">
    <cfRule type="expression" dxfId="2209" priority="204">
      <formula>SEARCH("X", $A$5) &gt; 0</formula>
    </cfRule>
  </conditionalFormatting>
  <conditionalFormatting sqref="W10">
    <cfRule type="expression" dxfId="2208" priority="203">
      <formula>SEARCH("X", $A$12) &gt; 0</formula>
    </cfRule>
  </conditionalFormatting>
  <conditionalFormatting sqref="W10">
    <cfRule type="expression" dxfId="2207" priority="202">
      <formula>SEARCH("X", $A$9) &gt; 0</formula>
    </cfRule>
  </conditionalFormatting>
  <conditionalFormatting sqref="W10">
    <cfRule type="expression" dxfId="2206" priority="201">
      <formula>SEARCH("X", $A$6) &gt; 0</formula>
    </cfRule>
  </conditionalFormatting>
  <conditionalFormatting sqref="W10">
    <cfRule type="expression" dxfId="2205" priority="200">
      <formula>SEARCH("X", $A$8) &gt; 0</formula>
    </cfRule>
  </conditionalFormatting>
  <conditionalFormatting sqref="G11">
    <cfRule type="expression" dxfId="2204" priority="199">
      <formula>SEARCH("X", $A$10) &gt; 0</formula>
    </cfRule>
  </conditionalFormatting>
  <conditionalFormatting sqref="G11">
    <cfRule type="expression" dxfId="2203" priority="198">
      <formula>SEARCH("X", $A$9) &gt; 0</formula>
    </cfRule>
  </conditionalFormatting>
  <conditionalFormatting sqref="G11">
    <cfRule type="expression" dxfId="2202" priority="197">
      <formula>SEARCH("X", $A$6) &gt; 0</formula>
    </cfRule>
  </conditionalFormatting>
  <conditionalFormatting sqref="G11">
    <cfRule type="expression" dxfId="2201" priority="196">
      <formula>SEARCH("X", $A$8) &gt; 0</formula>
    </cfRule>
  </conditionalFormatting>
  <conditionalFormatting sqref="G11:H11">
    <cfRule type="expression" dxfId="2200" priority="195">
      <formula>SEARCH("X", $A$10) &gt; 0</formula>
    </cfRule>
  </conditionalFormatting>
  <conditionalFormatting sqref="G11:H11">
    <cfRule type="expression" dxfId="2199" priority="194">
      <formula>SEARCH("X", $A$9) &gt; 0</formula>
    </cfRule>
  </conditionalFormatting>
  <conditionalFormatting sqref="G11:H11">
    <cfRule type="expression" dxfId="2198" priority="193">
      <formula>SEARCH("X", $A$6) &gt; 0</formula>
    </cfRule>
  </conditionalFormatting>
  <conditionalFormatting sqref="G11:H11">
    <cfRule type="expression" dxfId="2197" priority="192">
      <formula>SEARCH("X", $A$8) &gt; 0</formula>
    </cfRule>
  </conditionalFormatting>
  <conditionalFormatting sqref="G11:I11">
    <cfRule type="expression" dxfId="2196" priority="191">
      <formula>SEARCH("X", $A$10) &gt; 0</formula>
    </cfRule>
  </conditionalFormatting>
  <conditionalFormatting sqref="G11:I11">
    <cfRule type="expression" dxfId="2195" priority="190">
      <formula>SEARCH("X", $A$9) &gt; 0</formula>
    </cfRule>
  </conditionalFormatting>
  <conditionalFormatting sqref="G11:I11">
    <cfRule type="expression" dxfId="2194" priority="189">
      <formula>SEARCH("X", $A$6) &gt; 0</formula>
    </cfRule>
  </conditionalFormatting>
  <conditionalFormatting sqref="G11:I11">
    <cfRule type="expression" dxfId="2193" priority="188">
      <formula>SEARCH("X", $A$8) &gt; 0</formula>
    </cfRule>
  </conditionalFormatting>
  <conditionalFormatting sqref="G11:J11">
    <cfRule type="expression" dxfId="2192" priority="187">
      <formula>SEARCH("X", $A$10) &gt; 0</formula>
    </cfRule>
  </conditionalFormatting>
  <conditionalFormatting sqref="G11:J11">
    <cfRule type="expression" dxfId="2191" priority="186">
      <formula>SEARCH("X", $A$9) &gt; 0</formula>
    </cfRule>
  </conditionalFormatting>
  <conditionalFormatting sqref="G11:J11">
    <cfRule type="expression" dxfId="2190" priority="185">
      <formula>SEARCH("X", $A$6) &gt; 0</formula>
    </cfRule>
  </conditionalFormatting>
  <conditionalFormatting sqref="G11:J11">
    <cfRule type="expression" dxfId="2189" priority="184">
      <formula>SEARCH("X", $A$8) &gt; 0</formula>
    </cfRule>
  </conditionalFormatting>
  <conditionalFormatting sqref="R11">
    <cfRule type="expression" dxfId="2188" priority="183">
      <formula>SEARCH("X", $A$9) &gt; 0</formula>
    </cfRule>
  </conditionalFormatting>
  <conditionalFormatting sqref="R11">
    <cfRule type="expression" dxfId="2187" priority="182">
      <formula>SEARCH("X", $A$5) &gt; 0</formula>
    </cfRule>
  </conditionalFormatting>
  <conditionalFormatting sqref="R11">
    <cfRule type="expression" dxfId="2186" priority="181">
      <formula>SEARCH("X", $A$12) &gt; 0</formula>
    </cfRule>
  </conditionalFormatting>
  <conditionalFormatting sqref="R11">
    <cfRule type="expression" dxfId="2185" priority="180">
      <formula>SEARCH("X", $A$9) &gt; 0</formula>
    </cfRule>
  </conditionalFormatting>
  <conditionalFormatting sqref="R11">
    <cfRule type="expression" dxfId="2184" priority="179">
      <formula>SEARCH("X", $A$6) &gt; 0</formula>
    </cfRule>
  </conditionalFormatting>
  <conditionalFormatting sqref="R11">
    <cfRule type="expression" dxfId="2183" priority="178">
      <formula>SEARCH("X", $A$8) &gt; 0</formula>
    </cfRule>
  </conditionalFormatting>
  <conditionalFormatting sqref="R11">
    <cfRule type="expression" dxfId="2182" priority="177">
      <formula>SEARCH("X", $A$5) &gt; 0</formula>
    </cfRule>
  </conditionalFormatting>
  <conditionalFormatting sqref="R11">
    <cfRule type="expression" dxfId="2181" priority="176">
      <formula>SEARCH("X", $A$12) &gt; 0</formula>
    </cfRule>
  </conditionalFormatting>
  <conditionalFormatting sqref="R11">
    <cfRule type="expression" dxfId="2180" priority="175">
      <formula>SEARCH("X", $A$9) &gt; 0</formula>
    </cfRule>
  </conditionalFormatting>
  <conditionalFormatting sqref="R11">
    <cfRule type="expression" dxfId="2179" priority="174">
      <formula>SEARCH("X", $A$6) &gt; 0</formula>
    </cfRule>
  </conditionalFormatting>
  <conditionalFormatting sqref="R11">
    <cfRule type="expression" dxfId="2178" priority="173">
      <formula>SEARCH("X", $A$8) &gt; 0</formula>
    </cfRule>
  </conditionalFormatting>
  <conditionalFormatting sqref="R11">
    <cfRule type="expression" dxfId="2177" priority="172">
      <formula>SEARCH("X", $A$5) &gt; 0</formula>
    </cfRule>
  </conditionalFormatting>
  <conditionalFormatting sqref="R11">
    <cfRule type="expression" dxfId="2176" priority="171">
      <formula>SEARCH("X", $A$12) &gt; 0</formula>
    </cfRule>
  </conditionalFormatting>
  <conditionalFormatting sqref="R11">
    <cfRule type="expression" dxfId="2175" priority="170">
      <formula>SEARCH("X", $A$9) &gt; 0</formula>
    </cfRule>
  </conditionalFormatting>
  <conditionalFormatting sqref="R11">
    <cfRule type="expression" dxfId="2174" priority="169">
      <formula>SEARCH("X", $A$6) &gt; 0</formula>
    </cfRule>
  </conditionalFormatting>
  <conditionalFormatting sqref="R11">
    <cfRule type="expression" dxfId="2173" priority="168">
      <formula>SEARCH("X", $A$8) &gt; 0</formula>
    </cfRule>
  </conditionalFormatting>
  <conditionalFormatting sqref="V11">
    <cfRule type="expression" dxfId="2172" priority="167">
      <formula>SEARCH("X", $A$10) &gt; 0</formula>
    </cfRule>
  </conditionalFormatting>
  <conditionalFormatting sqref="V11">
    <cfRule type="expression" dxfId="2171" priority="166">
      <formula>SEARCH("X", $A$7) &gt; 0</formula>
    </cfRule>
  </conditionalFormatting>
  <conditionalFormatting sqref="V11">
    <cfRule type="expression" dxfId="2170" priority="165">
      <formula>SEARCH("X", $A$6) &gt; 0</formula>
    </cfRule>
  </conditionalFormatting>
  <conditionalFormatting sqref="V11">
    <cfRule type="expression" dxfId="2169" priority="164">
      <formula>SEARCH("X", $A$5) &gt; 0</formula>
    </cfRule>
  </conditionalFormatting>
  <conditionalFormatting sqref="V11">
    <cfRule type="expression" dxfId="2168" priority="163">
      <formula>SEARCH("X", $A$12) &gt; 0</formula>
    </cfRule>
  </conditionalFormatting>
  <conditionalFormatting sqref="V11">
    <cfRule type="expression" dxfId="2167" priority="162">
      <formula>SEARCH("X", $A$9) &gt; 0</formula>
    </cfRule>
  </conditionalFormatting>
  <conditionalFormatting sqref="V11">
    <cfRule type="expression" dxfId="2166" priority="161">
      <formula>SEARCH("X", $A$6) &gt; 0</formula>
    </cfRule>
  </conditionalFormatting>
  <conditionalFormatting sqref="V11">
    <cfRule type="expression" dxfId="2165" priority="160">
      <formula>SEARCH("X", $A$8) &gt; 0</formula>
    </cfRule>
  </conditionalFormatting>
  <conditionalFormatting sqref="V11:W11">
    <cfRule type="expression" dxfId="2164" priority="159">
      <formula>SEARCH("X", $A$10) &gt; 0</formula>
    </cfRule>
  </conditionalFormatting>
  <conditionalFormatting sqref="V11:W11">
    <cfRule type="expression" dxfId="2163" priority="158">
      <formula>SEARCH("X", $A$7) &gt; 0</formula>
    </cfRule>
  </conditionalFormatting>
  <conditionalFormatting sqref="V11:W11">
    <cfRule type="expression" dxfId="2162" priority="157">
      <formula>SEARCH("X", $A$6) &gt; 0</formula>
    </cfRule>
  </conditionalFormatting>
  <conditionalFormatting sqref="V11:W11">
    <cfRule type="expression" dxfId="2161" priority="156">
      <formula>SEARCH("X", $A$5) &gt; 0</formula>
    </cfRule>
  </conditionalFormatting>
  <conditionalFormatting sqref="V11:W11">
    <cfRule type="expression" dxfId="2160" priority="155">
      <formula>SEARCH("X", $A$12) &gt; 0</formula>
    </cfRule>
  </conditionalFormatting>
  <conditionalFormatting sqref="V11:W11">
    <cfRule type="expression" dxfId="2159" priority="154">
      <formula>SEARCH("X", $A$9) &gt; 0</formula>
    </cfRule>
  </conditionalFormatting>
  <conditionalFormatting sqref="V11:W11">
    <cfRule type="expression" dxfId="2158" priority="153">
      <formula>SEARCH("X", $A$6) &gt; 0</formula>
    </cfRule>
  </conditionalFormatting>
  <conditionalFormatting sqref="V11:W11">
    <cfRule type="expression" dxfId="2157" priority="152">
      <formula>SEARCH("X", $A$8) &gt; 0</formula>
    </cfRule>
  </conditionalFormatting>
  <conditionalFormatting sqref="X12 V11:W11">
    <cfRule type="expression" dxfId="2156" priority="151">
      <formula>SEARCH("X", $A$10) &gt; 0</formula>
    </cfRule>
  </conditionalFormatting>
  <conditionalFormatting sqref="X12 V11:W11">
    <cfRule type="expression" dxfId="2155" priority="150">
      <formula>SEARCH("X", $A$7) &gt; 0</formula>
    </cfRule>
  </conditionalFormatting>
  <conditionalFormatting sqref="X12 V11:W11">
    <cfRule type="expression" dxfId="2154" priority="149">
      <formula>SEARCH("X", $A$6) &gt; 0</formula>
    </cfRule>
  </conditionalFormatting>
  <conditionalFormatting sqref="X12 V11:W11">
    <cfRule type="expression" dxfId="2153" priority="148">
      <formula>SEARCH("X", $A$5) &gt; 0</formula>
    </cfRule>
  </conditionalFormatting>
  <conditionalFormatting sqref="X12 V11:W11">
    <cfRule type="expression" dxfId="2152" priority="147">
      <formula>SEARCH("X", $A$12) &gt; 0</formula>
    </cfRule>
  </conditionalFormatting>
  <conditionalFormatting sqref="X12 V11:W11">
    <cfRule type="expression" dxfId="2151" priority="146">
      <formula>SEARCH("X", $A$9) &gt; 0</formula>
    </cfRule>
  </conditionalFormatting>
  <conditionalFormatting sqref="X12 V11:W11">
    <cfRule type="expression" dxfId="2150" priority="145">
      <formula>SEARCH("X", $A$6) &gt; 0</formula>
    </cfRule>
  </conditionalFormatting>
  <conditionalFormatting sqref="X12 V11:W11">
    <cfRule type="expression" dxfId="2149" priority="144">
      <formula>SEARCH("X", $A$8) &gt; 0</formula>
    </cfRule>
  </conditionalFormatting>
  <conditionalFormatting sqref="V11:W11">
    <cfRule type="expression" dxfId="2148" priority="143">
      <formula>SEARCH("X", $A$10) &gt; 0</formula>
    </cfRule>
  </conditionalFormatting>
  <conditionalFormatting sqref="V11:W11">
    <cfRule type="expression" dxfId="2147" priority="142">
      <formula>SEARCH("X", $A$7) &gt; 0</formula>
    </cfRule>
  </conditionalFormatting>
  <conditionalFormatting sqref="V11:W11">
    <cfRule type="expression" dxfId="2146" priority="141">
      <formula>SEARCH("X", $A$6) &gt; 0</formula>
    </cfRule>
  </conditionalFormatting>
  <conditionalFormatting sqref="V11:W11">
    <cfRule type="expression" dxfId="2145" priority="140">
      <formula>SEARCH("X", $A$5) &gt; 0</formula>
    </cfRule>
  </conditionalFormatting>
  <conditionalFormatting sqref="V11:W11">
    <cfRule type="expression" dxfId="2144" priority="139">
      <formula>SEARCH("X", $A$12) &gt; 0</formula>
    </cfRule>
  </conditionalFormatting>
  <conditionalFormatting sqref="V11:W11">
    <cfRule type="expression" dxfId="2143" priority="138">
      <formula>SEARCH("X", $A$9) &gt; 0</formula>
    </cfRule>
  </conditionalFormatting>
  <conditionalFormatting sqref="V11:W11">
    <cfRule type="expression" dxfId="2142" priority="137">
      <formula>SEARCH("X", $A$6) &gt; 0</formula>
    </cfRule>
  </conditionalFormatting>
  <conditionalFormatting sqref="V11:W11">
    <cfRule type="expression" dxfId="2141" priority="136">
      <formula>SEARCH("X", $A$8) &gt; 0</formula>
    </cfRule>
  </conditionalFormatting>
  <conditionalFormatting sqref="V11:W11">
    <cfRule type="expression" dxfId="2140" priority="135">
      <formula>SEARCH("X", $A$10) &gt; 0</formula>
    </cfRule>
  </conditionalFormatting>
  <conditionalFormatting sqref="V11:W11">
    <cfRule type="expression" dxfId="2139" priority="134">
      <formula>SEARCH("X", $A$7) &gt; 0</formula>
    </cfRule>
  </conditionalFormatting>
  <conditionalFormatting sqref="V11:W11">
    <cfRule type="expression" dxfId="2138" priority="133">
      <formula>SEARCH("X", $A$6) &gt; 0</formula>
    </cfRule>
  </conditionalFormatting>
  <conditionalFormatting sqref="V11:W11">
    <cfRule type="expression" dxfId="2137" priority="132">
      <formula>SEARCH("X", $A$5) &gt; 0</formula>
    </cfRule>
  </conditionalFormatting>
  <conditionalFormatting sqref="V11:W11">
    <cfRule type="expression" dxfId="2136" priority="131">
      <formula>SEARCH("X", $A$12) &gt; 0</formula>
    </cfRule>
  </conditionalFormatting>
  <conditionalFormatting sqref="V11:W11">
    <cfRule type="expression" dxfId="2135" priority="130">
      <formula>SEARCH("X", $A$9) &gt; 0</formula>
    </cfRule>
  </conditionalFormatting>
  <conditionalFormatting sqref="V11:W11">
    <cfRule type="expression" dxfId="2134" priority="129">
      <formula>SEARCH("X", $A$6) &gt; 0</formula>
    </cfRule>
  </conditionalFormatting>
  <conditionalFormatting sqref="V11:W11">
    <cfRule type="expression" dxfId="2133" priority="128">
      <formula>SEARCH("X", $A$8) &gt; 0</formula>
    </cfRule>
  </conditionalFormatting>
  <conditionalFormatting sqref="V11:W11">
    <cfRule type="expression" dxfId="2132" priority="127">
      <formula>SEARCH("X", $A$10) &gt; 0</formula>
    </cfRule>
  </conditionalFormatting>
  <conditionalFormatting sqref="V11:W11">
    <cfRule type="expression" dxfId="2131" priority="126">
      <formula>SEARCH("X", $A$7) &gt; 0</formula>
    </cfRule>
  </conditionalFormatting>
  <conditionalFormatting sqref="V11:W11">
    <cfRule type="expression" dxfId="2130" priority="125">
      <formula>SEARCH("X", $A$6) &gt; 0</formula>
    </cfRule>
  </conditionalFormatting>
  <conditionalFormatting sqref="V11:W11">
    <cfRule type="expression" dxfId="2129" priority="124">
      <formula>SEARCH("X", $A$5) &gt; 0</formula>
    </cfRule>
  </conditionalFormatting>
  <conditionalFormatting sqref="V11:W11">
    <cfRule type="expression" dxfId="2128" priority="123">
      <formula>SEARCH("X", $A$12) &gt; 0</formula>
    </cfRule>
  </conditionalFormatting>
  <conditionalFormatting sqref="V11:W11">
    <cfRule type="expression" dxfId="2127" priority="122">
      <formula>SEARCH("X", $A$9) &gt; 0</formula>
    </cfRule>
  </conditionalFormatting>
  <conditionalFormatting sqref="V11:W11">
    <cfRule type="expression" dxfId="2126" priority="121">
      <formula>SEARCH("X", $A$6) &gt; 0</formula>
    </cfRule>
  </conditionalFormatting>
  <conditionalFormatting sqref="V11:W11">
    <cfRule type="expression" dxfId="2125" priority="120">
      <formula>SEARCH("X", $A$8) &gt; 0</formula>
    </cfRule>
  </conditionalFormatting>
  <conditionalFormatting sqref="Q12">
    <cfRule type="expression" dxfId="2124" priority="119">
      <formula>SEARCH("X", $A$10) &gt; 0</formula>
    </cfRule>
  </conditionalFormatting>
  <conditionalFormatting sqref="Q12">
    <cfRule type="expression" dxfId="2123" priority="118">
      <formula>SEARCH("X", $A$7) &gt; 0</formula>
    </cfRule>
  </conditionalFormatting>
  <conditionalFormatting sqref="Q12">
    <cfRule type="expression" dxfId="2122" priority="117">
      <formula>SEARCH("X", $A$6) &gt; 0</formula>
    </cfRule>
  </conditionalFormatting>
  <conditionalFormatting sqref="Q12">
    <cfRule type="expression" dxfId="2121" priority="116">
      <formula>SEARCH("X", $A$5) &gt; 0</formula>
    </cfRule>
  </conditionalFormatting>
  <conditionalFormatting sqref="Q12">
    <cfRule type="expression" dxfId="2120" priority="115">
      <formula>SEARCH("X", $A$12) &gt; 0</formula>
    </cfRule>
  </conditionalFormatting>
  <conditionalFormatting sqref="Q12">
    <cfRule type="expression" dxfId="2119" priority="114">
      <formula>SEARCH("X", $A$9) &gt; 0</formula>
    </cfRule>
  </conditionalFormatting>
  <conditionalFormatting sqref="Q12">
    <cfRule type="expression" dxfId="2118" priority="113">
      <formula>SEARCH("X", $A$6) &gt; 0</formula>
    </cfRule>
  </conditionalFormatting>
  <conditionalFormatting sqref="Q12">
    <cfRule type="expression" dxfId="2117" priority="112">
      <formula>SEARCH("X", $A$8) &gt; 0</formula>
    </cfRule>
  </conditionalFormatting>
  <conditionalFormatting sqref="K12">
    <cfRule type="expression" dxfId="2116" priority="111">
      <formula>SEARCH("X", $A$11) &gt; 0</formula>
    </cfRule>
  </conditionalFormatting>
  <conditionalFormatting sqref="K12">
    <cfRule type="expression" dxfId="2115" priority="110">
      <formula>SEARCH("X", $A$10) &gt; 0</formula>
    </cfRule>
  </conditionalFormatting>
  <conditionalFormatting sqref="K12">
    <cfRule type="expression" dxfId="2114" priority="109">
      <formula>SEARCH("X", $A$9) &gt; 0</formula>
    </cfRule>
  </conditionalFormatting>
  <conditionalFormatting sqref="K12">
    <cfRule type="expression" dxfId="2113" priority="108">
      <formula>SEARCH("X", $A$6) &gt; 0</formula>
    </cfRule>
  </conditionalFormatting>
  <conditionalFormatting sqref="K12">
    <cfRule type="expression" dxfId="2112" priority="107">
      <formula>SEARCH("X", $A$8) &gt; 0</formula>
    </cfRule>
  </conditionalFormatting>
  <conditionalFormatting sqref="J12:K12">
    <cfRule type="expression" dxfId="2111" priority="106">
      <formula>SEARCH("X", $A$11) &gt; 0</formula>
    </cfRule>
  </conditionalFormatting>
  <conditionalFormatting sqref="J12:K12">
    <cfRule type="expression" dxfId="2110" priority="105">
      <formula>SEARCH("X", $A$10) &gt; 0</formula>
    </cfRule>
  </conditionalFormatting>
  <conditionalFormatting sqref="J12:K12">
    <cfRule type="expression" dxfId="2109" priority="104">
      <formula>SEARCH("X", $A$9) &gt; 0</formula>
    </cfRule>
  </conditionalFormatting>
  <conditionalFormatting sqref="J12:K12">
    <cfRule type="expression" dxfId="2108" priority="103">
      <formula>SEARCH("X", $A$6) &gt; 0</formula>
    </cfRule>
  </conditionalFormatting>
  <conditionalFormatting sqref="J12:K12">
    <cfRule type="expression" dxfId="2107" priority="102">
      <formula>SEARCH("X", $A$8) &gt; 0</formula>
    </cfRule>
  </conditionalFormatting>
  <conditionalFormatting sqref="AB8">
    <cfRule type="expression" dxfId="2106" priority="101">
      <formula>SEARCH("X", $A$7) &gt; 0</formula>
    </cfRule>
  </conditionalFormatting>
  <conditionalFormatting sqref="AB10">
    <cfRule type="expression" dxfId="2105" priority="100">
      <formula>SEARCH("X", $A$6) &gt; 0</formula>
    </cfRule>
  </conditionalFormatting>
  <conditionalFormatting sqref="AC5">
    <cfRule type="expression" dxfId="2104" priority="99">
      <formula>SEARCH("X", $A$6) &gt; 0</formula>
    </cfRule>
  </conditionalFormatting>
  <conditionalFormatting sqref="AC5">
    <cfRule type="expression" dxfId="2103" priority="98">
      <formula>SEARCH("X", $A$8) &gt; 0</formula>
    </cfRule>
  </conditionalFormatting>
  <conditionalFormatting sqref="AE5 AC5">
    <cfRule type="expression" dxfId="2102" priority="97">
      <formula>SEARCH("X", $A$6) &gt; 0</formula>
    </cfRule>
  </conditionalFormatting>
  <conditionalFormatting sqref="AE5 AC5">
    <cfRule type="expression" dxfId="2101" priority="96">
      <formula>SEARCH("X", $A$8) &gt; 0</formula>
    </cfRule>
  </conditionalFormatting>
  <conditionalFormatting sqref="AE5:AF5 AC5">
    <cfRule type="expression" dxfId="2100" priority="95">
      <formula>SEARCH("X", $A$6) &gt; 0</formula>
    </cfRule>
  </conditionalFormatting>
  <conditionalFormatting sqref="AE5:AF5 AC5">
    <cfRule type="expression" dxfId="2099" priority="94">
      <formula>SEARCH("X", $A$8) &gt; 0</formula>
    </cfRule>
  </conditionalFormatting>
  <conditionalFormatting sqref="AF6 AE5:AF5 AC5">
    <cfRule type="expression" dxfId="2098" priority="93">
      <formula>SEARCH("X", $A$6) &gt; 0</formula>
    </cfRule>
  </conditionalFormatting>
  <conditionalFormatting sqref="AF6 AE5:AF5 AC5">
    <cfRule type="expression" dxfId="2097" priority="92">
      <formula>SEARCH("X", $A$8) &gt; 0</formula>
    </cfRule>
  </conditionalFormatting>
  <conditionalFormatting sqref="AF6">
    <cfRule type="expression" dxfId="2096" priority="91">
      <formula>SEARCH("X", $A$5) &gt; 0</formula>
    </cfRule>
  </conditionalFormatting>
  <conditionalFormatting sqref="AE6:AF6 AE5:AF5 AC5">
    <cfRule type="expression" dxfId="2095" priority="90">
      <formula>SEARCH("X", $A$6) &gt; 0</formula>
    </cfRule>
  </conditionalFormatting>
  <conditionalFormatting sqref="AE6:AF6 AE5:AF5 AC5">
    <cfRule type="expression" dxfId="2094" priority="89">
      <formula>SEARCH("X", $A$8) &gt; 0</formula>
    </cfRule>
  </conditionalFormatting>
  <conditionalFormatting sqref="AE6:AF6">
    <cfRule type="expression" dxfId="2093" priority="88">
      <formula>SEARCH("X", $A$5) &gt; 0</formula>
    </cfRule>
  </conditionalFormatting>
  <conditionalFormatting sqref="AD6:AF6 AE5:AF5 AC5">
    <cfRule type="expression" dxfId="2092" priority="87">
      <formula>SEARCH("X", $A$6) &gt; 0</formula>
    </cfRule>
  </conditionalFormatting>
  <conditionalFormatting sqref="AD6:AF6 AE5:AF5 AC5">
    <cfRule type="expression" dxfId="2091" priority="86">
      <formula>SEARCH("X", $A$8) &gt; 0</formula>
    </cfRule>
  </conditionalFormatting>
  <conditionalFormatting sqref="AD6:AF6">
    <cfRule type="expression" dxfId="2090" priority="85">
      <formula>SEARCH("X", $A$5) &gt; 0</formula>
    </cfRule>
  </conditionalFormatting>
  <conditionalFormatting sqref="AC6:AF6 AE5:AF5 AC5">
    <cfRule type="expression" dxfId="2089" priority="84">
      <formula>SEARCH("X", $A$6) &gt; 0</formula>
    </cfRule>
  </conditionalFormatting>
  <conditionalFormatting sqref="AC6:AF6 AE5:AF5 AC5">
    <cfRule type="expression" dxfId="2088" priority="83">
      <formula>SEARCH("X", $A$8) &gt; 0</formula>
    </cfRule>
  </conditionalFormatting>
  <conditionalFormatting sqref="AC6:AF6">
    <cfRule type="expression" dxfId="2087" priority="82">
      <formula>SEARCH("X", $A$5) &gt; 0</formula>
    </cfRule>
  </conditionalFormatting>
  <conditionalFormatting sqref="AC7 AC6:AF6 AE5:AF5 AC5">
    <cfRule type="expression" dxfId="2086" priority="81">
      <formula>SEARCH("X", $A$6) &gt; 0</formula>
    </cfRule>
  </conditionalFormatting>
  <conditionalFormatting sqref="AC7 AC6:AF6 AE5:AF5 AC5">
    <cfRule type="expression" dxfId="2085" priority="80">
      <formula>SEARCH("X", $A$8) &gt; 0</formula>
    </cfRule>
  </conditionalFormatting>
  <conditionalFormatting sqref="AC7 AC6:AF6">
    <cfRule type="expression" dxfId="2084" priority="79">
      <formula>SEARCH("X", $A$5) &gt; 0</formula>
    </cfRule>
  </conditionalFormatting>
  <conditionalFormatting sqref="AC7:AD7 AC6:AF6 AE5:AF5 AC5">
    <cfRule type="expression" dxfId="2083" priority="78">
      <formula>SEARCH("X", $A$6) &gt; 0</formula>
    </cfRule>
  </conditionalFormatting>
  <conditionalFormatting sqref="AC7:AD7 AC6:AF6 AE5:AF5 AC5">
    <cfRule type="expression" dxfId="2082" priority="77">
      <formula>SEARCH("X", $A$8) &gt; 0</formula>
    </cfRule>
  </conditionalFormatting>
  <conditionalFormatting sqref="AC7:AD7 AC6:AF6">
    <cfRule type="expression" dxfId="2081" priority="76">
      <formula>SEARCH("X", $A$5) &gt; 0</formula>
    </cfRule>
  </conditionalFormatting>
  <conditionalFormatting sqref="AC7:AE7 AC6:AF6 AE5:AF5 AC5">
    <cfRule type="expression" dxfId="2080" priority="75">
      <formula>SEARCH("X", $A$6) &gt; 0</formula>
    </cfRule>
  </conditionalFormatting>
  <conditionalFormatting sqref="AC7:AE7 AC6:AF6 AE5:AF5 AC5">
    <cfRule type="expression" dxfId="2079" priority="74">
      <formula>SEARCH("X", $A$8) &gt; 0</formula>
    </cfRule>
  </conditionalFormatting>
  <conditionalFormatting sqref="AC7:AE7 AC6:AF6">
    <cfRule type="expression" dxfId="2078" priority="73">
      <formula>SEARCH("X", $A$5) &gt; 0</formula>
    </cfRule>
  </conditionalFormatting>
  <conditionalFormatting sqref="AC7:AF7 AC6:AF6 AE5:AF5 AC5">
    <cfRule type="expression" dxfId="2077" priority="72">
      <formula>SEARCH("X", $A$6) &gt; 0</formula>
    </cfRule>
  </conditionalFormatting>
  <conditionalFormatting sqref="AC7:AF7 AC6:AF6 AE5:AF5 AC5">
    <cfRule type="expression" dxfId="2076" priority="71">
      <formula>SEARCH("X", $A$8) &gt; 0</formula>
    </cfRule>
  </conditionalFormatting>
  <conditionalFormatting sqref="AC7:AF7 AC6:AF6">
    <cfRule type="expression" dxfId="2075" priority="70">
      <formula>SEARCH("X", $A$5) &gt; 0</formula>
    </cfRule>
  </conditionalFormatting>
  <conditionalFormatting sqref="AD8 AC6:AF7 AE5:AF5 AC5">
    <cfRule type="expression" dxfId="2074" priority="69">
      <formula>SEARCH("X", $A$6) &gt; 0</formula>
    </cfRule>
  </conditionalFormatting>
  <conditionalFormatting sqref="AD8 AC6:AF7 AE5:AF5 AC5">
    <cfRule type="expression" dxfId="2073" priority="68">
      <formula>SEARCH("X", $A$8) &gt; 0</formula>
    </cfRule>
  </conditionalFormatting>
  <conditionalFormatting sqref="AD8 AC6:AF7">
    <cfRule type="expression" dxfId="2072" priority="67">
      <formula>SEARCH("X", $A$5) &gt; 0</formula>
    </cfRule>
  </conditionalFormatting>
  <conditionalFormatting sqref="AC9 AD8 AC6:AF7 AE5:AF5 AC5">
    <cfRule type="expression" dxfId="2071" priority="66">
      <formula>SEARCH("X", $A$6) &gt; 0</formula>
    </cfRule>
  </conditionalFormatting>
  <conditionalFormatting sqref="AC9 AD8 AC6:AF7 AE5:AF5 AC5">
    <cfRule type="expression" dxfId="2070" priority="65">
      <formula>SEARCH("X", $A$8) &gt; 0</formula>
    </cfRule>
  </conditionalFormatting>
  <conditionalFormatting sqref="AC9 AD8 AC6:AF7">
    <cfRule type="expression" dxfId="2069" priority="64">
      <formula>SEARCH("X", $A$5) &gt; 0</formula>
    </cfRule>
  </conditionalFormatting>
  <conditionalFormatting sqref="AC9:AD9 AD8 AC6:AF7 AE5:AF5 AC5">
    <cfRule type="expression" dxfId="2068" priority="63">
      <formula>SEARCH("X", $A$6) &gt; 0</formula>
    </cfRule>
  </conditionalFormatting>
  <conditionalFormatting sqref="AC9:AD9 AD8 AC6:AF7 AE5:AF5 AC5">
    <cfRule type="expression" dxfId="2067" priority="62">
      <formula>SEARCH("X", $A$8) &gt; 0</formula>
    </cfRule>
  </conditionalFormatting>
  <conditionalFormatting sqref="AC9:AD9 AD8 AC6:AF7">
    <cfRule type="expression" dxfId="2066" priority="61">
      <formula>SEARCH("X", $A$5) &gt; 0</formula>
    </cfRule>
  </conditionalFormatting>
  <conditionalFormatting sqref="AC9:AE9 AD8 AC6:AF7 AE5:AF5 AC5">
    <cfRule type="expression" dxfId="2065" priority="60">
      <formula>SEARCH("X", $A$6) &gt; 0</formula>
    </cfRule>
  </conditionalFormatting>
  <conditionalFormatting sqref="AC9:AE9 AD8 AC6:AF7 AE5:AF5 AC5">
    <cfRule type="expression" dxfId="2064" priority="59">
      <formula>SEARCH("X", $A$8) &gt; 0</formula>
    </cfRule>
  </conditionalFormatting>
  <conditionalFormatting sqref="AC9:AE9 AD8 AC6:AF7">
    <cfRule type="expression" dxfId="2063" priority="58">
      <formula>SEARCH("X", $A$5) &gt; 0</formula>
    </cfRule>
  </conditionalFormatting>
  <conditionalFormatting sqref="AC9:AF9 AD8 AC6:AF7 AE5:AF5 AC5">
    <cfRule type="expression" dxfId="2062" priority="57">
      <formula>SEARCH("X", $A$6) &gt; 0</formula>
    </cfRule>
  </conditionalFormatting>
  <conditionalFormatting sqref="AC9:AF9 AD8 AC6:AF7 AE5:AF5 AC5">
    <cfRule type="expression" dxfId="2061" priority="56">
      <formula>SEARCH("X", $A$8) &gt; 0</formula>
    </cfRule>
  </conditionalFormatting>
  <conditionalFormatting sqref="AC9:AF9 AD8 AC6:AF7">
    <cfRule type="expression" dxfId="2060" priority="55">
      <formula>SEARCH("X", $A$5) &gt; 0</formula>
    </cfRule>
  </conditionalFormatting>
  <conditionalFormatting sqref="AF10 AC9:AF9 AD8 AC6:AF7 AE5:AF5 AC5">
    <cfRule type="expression" dxfId="2059" priority="54">
      <formula>SEARCH("X", $A$6) &gt; 0</formula>
    </cfRule>
  </conditionalFormatting>
  <conditionalFormatting sqref="AF10 AC9:AF9 AD8 AC6:AF7 AE5:AF5 AC5">
    <cfRule type="expression" dxfId="2058" priority="53">
      <formula>SEARCH("X", $A$8) &gt; 0</formula>
    </cfRule>
  </conditionalFormatting>
  <conditionalFormatting sqref="AF10 AC9:AF9 AD8 AC6:AF7">
    <cfRule type="expression" dxfId="2057" priority="52">
      <formula>SEARCH("X", $A$5) &gt; 0</formula>
    </cfRule>
  </conditionalFormatting>
  <conditionalFormatting sqref="AE10:AF10 AC9:AF9 AD8 AC6:AF7 AE5:AF5 AC5">
    <cfRule type="expression" dxfId="2056" priority="51">
      <formula>SEARCH("X", $A$6) &gt; 0</formula>
    </cfRule>
  </conditionalFormatting>
  <conditionalFormatting sqref="AE10:AF10 AC9:AF9 AD8 AC6:AF7 AE5:AF5 AC5">
    <cfRule type="expression" dxfId="2055" priority="50">
      <formula>SEARCH("X", $A$8) &gt; 0</formula>
    </cfRule>
  </conditionalFormatting>
  <conditionalFormatting sqref="AE10:AF10 AC9:AF9 AD8 AC6:AF7">
    <cfRule type="expression" dxfId="2054" priority="49">
      <formula>SEARCH("X", $A$5) &gt; 0</formula>
    </cfRule>
  </conditionalFormatting>
  <conditionalFormatting sqref="AD10:AF10 AC9:AF9 AD8 AC6:AF7 AE5:AF5 AC5">
    <cfRule type="expression" dxfId="2053" priority="48">
      <formula>SEARCH("X", $A$6) &gt; 0</formula>
    </cfRule>
  </conditionalFormatting>
  <conditionalFormatting sqref="AD10:AF10 AC9:AF9 AD8 AC6:AF7 AE5:AF5 AC5">
    <cfRule type="expression" dxfId="2052" priority="47">
      <formula>SEARCH("X", $A$8) &gt; 0</formula>
    </cfRule>
  </conditionalFormatting>
  <conditionalFormatting sqref="AD10:AF10 AC9:AF9 AD8 AC6:AF7">
    <cfRule type="expression" dxfId="2051" priority="46">
      <formula>SEARCH("X", $A$5) &gt; 0</formula>
    </cfRule>
  </conditionalFormatting>
  <conditionalFormatting sqref="AC10:AF10 AC9:AF9 AD8 AC6:AF7 AE5:AF5 AC5">
    <cfRule type="expression" dxfId="2050" priority="45">
      <formula>SEARCH("X", $A$6) &gt; 0</formula>
    </cfRule>
  </conditionalFormatting>
  <conditionalFormatting sqref="AC10:AF10 AC9:AF9 AD8 AC6:AF7 AE5:AF5 AC5">
    <cfRule type="expression" dxfId="2049" priority="44">
      <formula>SEARCH("X", $A$8) &gt; 0</formula>
    </cfRule>
  </conditionalFormatting>
  <conditionalFormatting sqref="AC10:AF10 AC9:AF9 AD8 AC6:AF7">
    <cfRule type="expression" dxfId="2048" priority="43">
      <formula>SEARCH("X", $A$5) &gt; 0</formula>
    </cfRule>
  </conditionalFormatting>
  <conditionalFormatting sqref="AC11 AC9:AF10 AD8 AC6:AF7 AE5:AF5 AC5">
    <cfRule type="expression" dxfId="2047" priority="42">
      <formula>SEARCH("X", $A$6) &gt; 0</formula>
    </cfRule>
  </conditionalFormatting>
  <conditionalFormatting sqref="AC11 AC9:AF10 AD8 AC6:AF7 AE5:AF5 AC5">
    <cfRule type="expression" dxfId="2046" priority="41">
      <formula>SEARCH("X", $A$8) &gt; 0</formula>
    </cfRule>
  </conditionalFormatting>
  <conditionalFormatting sqref="AC11 AC9:AF10 AD8 AC6:AF7">
    <cfRule type="expression" dxfId="2045" priority="40">
      <formula>SEARCH("X", $A$5) &gt; 0</formula>
    </cfRule>
  </conditionalFormatting>
  <conditionalFormatting sqref="AE11 AC11 AC9:AF10 AD8 AC6:AF7 AE5:AF5 AC5">
    <cfRule type="expression" dxfId="2044" priority="39">
      <formula>SEARCH("X", $A$6) &gt; 0</formula>
    </cfRule>
  </conditionalFormatting>
  <conditionalFormatting sqref="AE11 AC11 AC9:AF10 AD8 AC6:AF7 AE5:AF5 AC5">
    <cfRule type="expression" dxfId="2043" priority="38">
      <formula>SEARCH("X", $A$8) &gt; 0</formula>
    </cfRule>
  </conditionalFormatting>
  <conditionalFormatting sqref="AE11 AC11 AC9:AF10 AD8 AC6:AF7">
    <cfRule type="expression" dxfId="2042" priority="37">
      <formula>SEARCH("X", $A$5) &gt; 0</formula>
    </cfRule>
  </conditionalFormatting>
  <conditionalFormatting sqref="AD11:AE11 AC11 AC9:AF10 AD8 AC6:AF7 AE5:AF5 AC5">
    <cfRule type="expression" dxfId="2041" priority="36">
      <formula>SEARCH("X", $A$6) &gt; 0</formula>
    </cfRule>
  </conditionalFormatting>
  <conditionalFormatting sqref="AD11:AE11 AC11 AC9:AF10 AD8 AC6:AF7 AE5:AF5 AC5">
    <cfRule type="expression" dxfId="2040" priority="35">
      <formula>SEARCH("X", $A$8) &gt; 0</formula>
    </cfRule>
  </conditionalFormatting>
  <conditionalFormatting sqref="AD11:AE11 AC11 AC9:AF10 AD8 AC6:AF7">
    <cfRule type="expression" dxfId="2039" priority="34">
      <formula>SEARCH("X", $A$5) &gt; 0</formula>
    </cfRule>
  </conditionalFormatting>
  <conditionalFormatting sqref="AD11:AF11 AC11 AC9:AF10 AD8 AC6:AF7 AE5:AF5 AC5">
    <cfRule type="expression" dxfId="2038" priority="33">
      <formula>SEARCH("X", $A$6) &gt; 0</formula>
    </cfRule>
  </conditionalFormatting>
  <conditionalFormatting sqref="AD11:AF11 AC11 AC9:AF10 AD8 AC6:AF7 AE5:AF5 AC5">
    <cfRule type="expression" dxfId="2037" priority="32">
      <formula>SEARCH("X", $A$8) &gt; 0</formula>
    </cfRule>
  </conditionalFormatting>
  <conditionalFormatting sqref="AD11:AF11 AC11 AC9:AF10 AD8 AC6:AF7">
    <cfRule type="expression" dxfId="2036" priority="31">
      <formula>SEARCH("X", $A$5) &gt; 0</formula>
    </cfRule>
  </conditionalFormatting>
  <conditionalFormatting sqref="AF12 AC9:AF11 AD8 AC6:AF7 AE5:AF5 AC5">
    <cfRule type="expression" dxfId="2035" priority="30">
      <formula>SEARCH("X", $A$6) &gt; 0</formula>
    </cfRule>
  </conditionalFormatting>
  <conditionalFormatting sqref="AF12 AC9:AF11 AD8 AC6:AF7 AE5:AF5 AC5">
    <cfRule type="expression" dxfId="2034" priority="29">
      <formula>SEARCH("X", $A$8) &gt; 0</formula>
    </cfRule>
  </conditionalFormatting>
  <conditionalFormatting sqref="AF12 AC9:AF11 AD8 AC6:AF7">
    <cfRule type="expression" dxfId="2033" priority="28">
      <formula>SEARCH("X", $A$5) &gt; 0</formula>
    </cfRule>
  </conditionalFormatting>
  <conditionalFormatting sqref="AC12 AF12 AC9:AF11 AD8 AC6:AF7 AE5:AF5 AC5">
    <cfRule type="expression" dxfId="2032" priority="27">
      <formula>SEARCH("X", $A$6) &gt; 0</formula>
    </cfRule>
  </conditionalFormatting>
  <conditionalFormatting sqref="AC12 AF12 AC9:AF11 AD8 AC6:AF7 AE5:AF5 AC5">
    <cfRule type="expression" dxfId="2031" priority="26">
      <formula>SEARCH("X", $A$8) &gt; 0</formula>
    </cfRule>
  </conditionalFormatting>
  <conditionalFormatting sqref="AC12 AF12 AC9:AF11 AD8 AC6:AF7">
    <cfRule type="expression" dxfId="2030" priority="25">
      <formula>SEARCH("X", $A$5) &gt; 0</formula>
    </cfRule>
  </conditionalFormatting>
  <conditionalFormatting sqref="I7">
    <cfRule type="expression" dxfId="2029" priority="23">
      <formula>WEEKDAY(I$3,2)=7</formula>
    </cfRule>
    <cfRule type="expression" dxfId="2028" priority="24">
      <formula>WEEKDAY(I$3,2)=6</formula>
    </cfRule>
  </conditionalFormatting>
  <conditionalFormatting sqref="I7">
    <cfRule type="expression" dxfId="2027" priority="22">
      <formula>SEARCH("X", $A$6) &gt; 0</formula>
    </cfRule>
  </conditionalFormatting>
  <conditionalFormatting sqref="U11">
    <cfRule type="expression" dxfId="2026" priority="20">
      <formula>WEEKDAY(U$3,2)=7</formula>
    </cfRule>
    <cfRule type="expression" dxfId="2025" priority="21">
      <formula>WEEKDAY(U$3,2)=6</formula>
    </cfRule>
  </conditionalFormatting>
  <conditionalFormatting sqref="U11">
    <cfRule type="expression" dxfId="2024" priority="19">
      <formula>SEARCH("X", $A$10) &gt; 0</formula>
    </cfRule>
  </conditionalFormatting>
  <conditionalFormatting sqref="U11">
    <cfRule type="expression" dxfId="2023" priority="18">
      <formula>SEARCH("X", $A$9) &gt; 0</formula>
    </cfRule>
  </conditionalFormatting>
  <conditionalFormatting sqref="U11">
    <cfRule type="expression" dxfId="2022" priority="17">
      <formula>SEARCH("X", $A$6) &gt; 0</formula>
    </cfRule>
  </conditionalFormatting>
  <conditionalFormatting sqref="U11">
    <cfRule type="expression" dxfId="2021" priority="16">
      <formula>SEARCH("X", $A$8) &gt; 0</formula>
    </cfRule>
  </conditionalFormatting>
  <conditionalFormatting sqref="V13:W13">
    <cfRule type="expression" dxfId="2020" priority="2908" stopIfTrue="1">
      <formula>8-COUNTIF(V$5:V$11,"off")&lt;&gt;V$13</formula>
    </cfRule>
  </conditionalFormatting>
  <conditionalFormatting sqref="V12:W12">
    <cfRule type="expression" dxfId="2019" priority="11">
      <formula>WEEKDAY(V$3,2)=7</formula>
    </cfRule>
    <cfRule type="expression" dxfId="2018" priority="12">
      <formula>WEEKDAY(V$3,2)=6</formula>
    </cfRule>
  </conditionalFormatting>
  <conditionalFormatting sqref="V12:W12">
    <cfRule type="expression" dxfId="2017" priority="10">
      <formula>SEARCH("X", $A$12) &gt; 0</formula>
    </cfRule>
  </conditionalFormatting>
  <conditionalFormatting sqref="V5">
    <cfRule type="expression" dxfId="2016" priority="8">
      <formula>WEEKDAY(V$3,2)=7</formula>
    </cfRule>
    <cfRule type="expression" dxfId="2015" priority="9">
      <formula>WEEKDAY(V$3,2)=6</formula>
    </cfRule>
  </conditionalFormatting>
  <conditionalFormatting sqref="V5">
    <cfRule type="expression" dxfId="2014" priority="7">
      <formula>SEARCH("X", $A$5) &gt; 0</formula>
    </cfRule>
  </conditionalFormatting>
  <conditionalFormatting sqref="V5">
    <cfRule type="expression" dxfId="2013" priority="6">
      <formula>SEARCH("X", $A$6) &gt; 0</formula>
    </cfRule>
  </conditionalFormatting>
  <conditionalFormatting sqref="V5">
    <cfRule type="expression" dxfId="2012" priority="5">
      <formula>SEARCH("X", $A$7) &gt; 0</formula>
    </cfRule>
  </conditionalFormatting>
  <conditionalFormatting sqref="V5">
    <cfRule type="expression" dxfId="2011" priority="4">
      <formula>SEARCH("X", $A$8) &gt; 0</formula>
    </cfRule>
  </conditionalFormatting>
  <conditionalFormatting sqref="V5">
    <cfRule type="expression" dxfId="2010" priority="3">
      <formula>SEARCH("X", $A$9) &gt; 0</formula>
    </cfRule>
  </conditionalFormatting>
  <conditionalFormatting sqref="V5">
    <cfRule type="expression" dxfId="2009" priority="2">
      <formula>SEARCH("X", $A$10) &gt; 0</formula>
    </cfRule>
  </conditionalFormatting>
  <conditionalFormatting sqref="V5">
    <cfRule type="expression" dxfId="2008" priority="1">
      <formula>SEARCH("X", $A$12) &gt; 0</formula>
    </cfRule>
  </conditionalFormatting>
  <dataValidations count="12">
    <dataValidation type="list" allowBlank="1" showInputMessage="1" showErrorMessage="1" sqref="E16:F23" xr:uid="{2B1C28D3-9E13-402D-B598-7752A4D4A9AA}">
      <formula1>$A$5:$A$12</formula1>
    </dataValidation>
    <dataValidation type="list" allowBlank="1" showInputMessage="1" sqref="A13:A14" xr:uid="{A18CB6C1-29A1-468E-AC8E-34ECE6324618}">
      <formula1>$AI$23:$AJ$23</formula1>
    </dataValidation>
    <dataValidation type="list" allowBlank="1" showInputMessage="1" showErrorMessage="1" sqref="C16:D23" xr:uid="{9CACC9B1-3057-4702-9BE1-831069237C2A}">
      <formula1>$AM$17:$AM$20</formula1>
    </dataValidation>
    <dataValidation type="list" allowBlank="1" showInputMessage="1" sqref="R8:R12 R5:R6 O12 B5:M12 N8:N12 N5:N6 P5:Q12 O5:O10 X5:AF12 W10:W12 S5:T12 U11:V12 U5:W9" xr:uid="{926A082D-DD8B-42A6-92AB-C7961887DAB2}">
      <formula1>$AH$14:$AH$24</formula1>
    </dataValidation>
    <dataValidation type="list" allowBlank="1" showInputMessage="1" showErrorMessage="1" sqref="A10" xr:uid="{3A1CEEA2-9135-4A2A-958F-04E7A4A08716}">
      <formula1>$AI$21:$AJ$21</formula1>
    </dataValidation>
    <dataValidation type="list" allowBlank="1" showInputMessage="1" showErrorMessage="1" sqref="A9" xr:uid="{6AE81B08-7F38-462B-81F9-5E92B0F22B13}">
      <formula1>$AI$20:$AJ$20</formula1>
    </dataValidation>
    <dataValidation type="list" allowBlank="1" showInputMessage="1" showErrorMessage="1" sqref="A6" xr:uid="{A5EF034C-D9D8-483D-AA6D-26F12ECBCBF9}">
      <formula1>$AI$17:$AJ$17</formula1>
    </dataValidation>
    <dataValidation type="list" allowBlank="1" showInputMessage="1" showErrorMessage="1" sqref="A8" xr:uid="{91799652-0308-4AE6-BA05-A1F641E1ACDC}">
      <formula1>$AI$19:$AJ$19</formula1>
    </dataValidation>
    <dataValidation type="list" allowBlank="1" showInputMessage="1" showErrorMessage="1" sqref="A7" xr:uid="{81D85502-2715-4887-A7C8-B4C0BDC75283}">
      <formula1>$AI$18:$AJ$18</formula1>
    </dataValidation>
    <dataValidation type="list" allowBlank="1" showInputMessage="1" showErrorMessage="1" sqref="A5" xr:uid="{70E9C1D5-328B-433D-98CE-4CBF0DFE63D5}">
      <formula1>$AI$16:$AJ$16</formula1>
    </dataValidation>
    <dataValidation type="list" allowBlank="1" showInputMessage="1" showErrorMessage="1" sqref="A11" xr:uid="{10B3AA8E-3003-4A1A-8B93-EFAFAED80137}">
      <formula1>$AI$22:$AJ$22</formula1>
    </dataValidation>
    <dataValidation type="list" allowBlank="1" showInputMessage="1" showErrorMessage="1" sqref="A12" xr:uid="{9CE12CD5-72E9-44E9-A885-7761D7968565}">
      <formula1>$AI$23:$AJ$23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F145-E61A-43D7-8EF4-E1B57223FCC5}">
  <sheetPr codeName="工作表9">
    <pageSetUpPr fitToPage="1"/>
  </sheetPr>
  <dimension ref="A1:AM28"/>
  <sheetViews>
    <sheetView zoomScale="55" zoomScaleNormal="55" workbookViewId="0">
      <selection activeCell="A11" sqref="A11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22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164" t="s">
        <v>281</v>
      </c>
      <c r="C2" s="164" t="s">
        <v>282</v>
      </c>
      <c r="D2" s="1"/>
      <c r="F2" s="1"/>
      <c r="G2" s="26">
        <v>2025</v>
      </c>
      <c r="H2" s="27" t="str">
        <f>"("&amp;YEAR(B3)-1911&amp;" 年 "&amp;")"</f>
        <v>(114 年 )</v>
      </c>
      <c r="I2" s="22"/>
      <c r="J2" s="23">
        <v>2</v>
      </c>
      <c r="K2" s="28" t="s">
        <v>33</v>
      </c>
      <c r="L2" s="29"/>
      <c r="M2" s="99"/>
      <c r="N2" s="25"/>
      <c r="O2" s="25"/>
      <c r="P2" s="88" t="s">
        <v>291</v>
      </c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9" ht="27.5">
      <c r="A3" s="19" t="s">
        <v>1</v>
      </c>
      <c r="B3" s="30">
        <f>DATE($G$2,$J$2,1)</f>
        <v>45689</v>
      </c>
      <c r="C3" s="30">
        <f>B3+1</f>
        <v>45690</v>
      </c>
      <c r="D3" s="30">
        <f t="shared" ref="D3:AB3" si="0">C3+1</f>
        <v>45691</v>
      </c>
      <c r="E3" s="30">
        <f t="shared" si="0"/>
        <v>45692</v>
      </c>
      <c r="F3" s="30">
        <f t="shared" si="0"/>
        <v>45693</v>
      </c>
      <c r="G3" s="30">
        <f t="shared" si="0"/>
        <v>45694</v>
      </c>
      <c r="H3" s="30">
        <f t="shared" si="0"/>
        <v>45695</v>
      </c>
      <c r="I3" s="30">
        <f t="shared" si="0"/>
        <v>45696</v>
      </c>
      <c r="J3" s="30">
        <f t="shared" si="0"/>
        <v>45697</v>
      </c>
      <c r="K3" s="30">
        <f t="shared" si="0"/>
        <v>45698</v>
      </c>
      <c r="L3" s="30">
        <f t="shared" si="0"/>
        <v>45699</v>
      </c>
      <c r="M3" s="30">
        <f t="shared" si="0"/>
        <v>45700</v>
      </c>
      <c r="N3" s="30">
        <f t="shared" si="0"/>
        <v>45701</v>
      </c>
      <c r="O3" s="30">
        <f t="shared" si="0"/>
        <v>45702</v>
      </c>
      <c r="P3" s="30">
        <f t="shared" si="0"/>
        <v>45703</v>
      </c>
      <c r="Q3" s="30">
        <f t="shared" si="0"/>
        <v>45704</v>
      </c>
      <c r="R3" s="30">
        <f t="shared" si="0"/>
        <v>45705</v>
      </c>
      <c r="S3" s="30">
        <f t="shared" si="0"/>
        <v>45706</v>
      </c>
      <c r="T3" s="30">
        <f t="shared" si="0"/>
        <v>45707</v>
      </c>
      <c r="U3" s="30">
        <f t="shared" si="0"/>
        <v>45708</v>
      </c>
      <c r="V3" s="30">
        <f t="shared" si="0"/>
        <v>45709</v>
      </c>
      <c r="W3" s="30">
        <f t="shared" si="0"/>
        <v>45710</v>
      </c>
      <c r="X3" s="30">
        <f t="shared" si="0"/>
        <v>45711</v>
      </c>
      <c r="Y3" s="30">
        <f t="shared" si="0"/>
        <v>45712</v>
      </c>
      <c r="Z3" s="30">
        <f t="shared" si="0"/>
        <v>45713</v>
      </c>
      <c r="AA3" s="30">
        <f t="shared" si="0"/>
        <v>45714</v>
      </c>
      <c r="AB3" s="30">
        <f t="shared" si="0"/>
        <v>45715</v>
      </c>
      <c r="AC3" s="167">
        <f>IFERROR(IF(MONTH(AB3+1)=$J$2,AB3+1,""),"")</f>
        <v>45716</v>
      </c>
      <c r="AD3" s="30" t="str">
        <f>IFERROR(IF(MONTH(AC3+1)=$J$2,AC3+1,""),"")</f>
        <v/>
      </c>
      <c r="AE3" s="30" t="str">
        <f>IFERROR(IF(MONTH(AD3+1)=$J$2,AD3+1,""),"")</f>
        <v/>
      </c>
      <c r="AF3" s="30" t="str">
        <f>IFERROR(IF(MONTH(AE3+1)=$J$2,AE3+1,""),"")</f>
        <v/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6</v>
      </c>
      <c r="C4" s="31" t="str">
        <f>IFERROR(IF(WEEKDAY(C3,2)=7,"日",WEEKDAY(C3,2)),"")</f>
        <v>日</v>
      </c>
      <c r="D4" s="31">
        <f t="shared" si="1"/>
        <v>1</v>
      </c>
      <c r="E4" s="31">
        <f t="shared" si="1"/>
        <v>2</v>
      </c>
      <c r="F4" s="31">
        <f t="shared" si="1"/>
        <v>3</v>
      </c>
      <c r="G4" s="31">
        <f t="shared" si="1"/>
        <v>4</v>
      </c>
      <c r="H4" s="31">
        <f t="shared" si="1"/>
        <v>5</v>
      </c>
      <c r="I4" s="31">
        <f t="shared" si="1"/>
        <v>6</v>
      </c>
      <c r="J4" s="31" t="str">
        <f t="shared" si="1"/>
        <v>日</v>
      </c>
      <c r="K4" s="31">
        <f t="shared" si="1"/>
        <v>1</v>
      </c>
      <c r="L4" s="31">
        <f t="shared" si="1"/>
        <v>2</v>
      </c>
      <c r="M4" s="31">
        <f t="shared" si="1"/>
        <v>3</v>
      </c>
      <c r="N4" s="31">
        <f t="shared" si="1"/>
        <v>4</v>
      </c>
      <c r="O4" s="31">
        <f t="shared" si="1"/>
        <v>5</v>
      </c>
      <c r="P4" s="31">
        <f t="shared" si="1"/>
        <v>6</v>
      </c>
      <c r="Q4" s="31" t="str">
        <f t="shared" si="1"/>
        <v>日</v>
      </c>
      <c r="R4" s="31">
        <f t="shared" si="1"/>
        <v>1</v>
      </c>
      <c r="S4" s="31">
        <f t="shared" si="1"/>
        <v>2</v>
      </c>
      <c r="T4" s="31">
        <f t="shared" si="1"/>
        <v>3</v>
      </c>
      <c r="U4" s="31">
        <f t="shared" si="1"/>
        <v>4</v>
      </c>
      <c r="V4" s="31">
        <f t="shared" si="1"/>
        <v>5</v>
      </c>
      <c r="W4" s="31">
        <f t="shared" si="1"/>
        <v>6</v>
      </c>
      <c r="X4" s="31" t="str">
        <f t="shared" si="1"/>
        <v>日</v>
      </c>
      <c r="Y4" s="31">
        <f t="shared" si="1"/>
        <v>1</v>
      </c>
      <c r="Z4" s="31">
        <f t="shared" si="1"/>
        <v>2</v>
      </c>
      <c r="AA4" s="31">
        <f t="shared" si="1"/>
        <v>3</v>
      </c>
      <c r="AB4" s="31">
        <f t="shared" si="1"/>
        <v>4</v>
      </c>
      <c r="AC4" s="168">
        <f t="shared" si="1"/>
        <v>5</v>
      </c>
      <c r="AD4" s="31" t="str">
        <f t="shared" si="1"/>
        <v/>
      </c>
      <c r="AE4" s="31" t="str">
        <f t="shared" si="1"/>
        <v/>
      </c>
      <c r="AF4" s="31" t="str">
        <f t="shared" si="1"/>
        <v/>
      </c>
      <c r="AG4" s="420" t="s">
        <v>42</v>
      </c>
      <c r="AH4" s="421"/>
      <c r="AI4" s="421"/>
      <c r="AJ4" s="421"/>
      <c r="AK4" s="421"/>
      <c r="AL4" s="422"/>
    </row>
    <row r="5" spans="1:39" ht="21.5">
      <c r="A5" s="6" t="s">
        <v>9</v>
      </c>
      <c r="B5" s="88" t="s">
        <v>2</v>
      </c>
      <c r="C5" s="88" t="s">
        <v>2</v>
      </c>
      <c r="D5" s="33" t="s">
        <v>4</v>
      </c>
      <c r="E5" s="33" t="s">
        <v>4</v>
      </c>
      <c r="F5" s="88" t="s">
        <v>3</v>
      </c>
      <c r="G5" s="88"/>
      <c r="H5" s="88"/>
      <c r="I5" s="88" t="s">
        <v>3</v>
      </c>
      <c r="J5" s="88" t="s">
        <v>2</v>
      </c>
      <c r="K5" s="88"/>
      <c r="L5" s="88"/>
      <c r="M5" s="88" t="s">
        <v>4</v>
      </c>
      <c r="N5" s="88" t="s">
        <v>5</v>
      </c>
      <c r="O5" s="88" t="s">
        <v>5</v>
      </c>
      <c r="P5" s="88" t="s">
        <v>5</v>
      </c>
      <c r="Q5" s="88" t="s">
        <v>5</v>
      </c>
      <c r="R5" s="88" t="s">
        <v>4</v>
      </c>
      <c r="S5" s="88" t="s">
        <v>4</v>
      </c>
      <c r="T5" s="88"/>
      <c r="U5" s="88"/>
      <c r="V5" s="88" t="s">
        <v>3</v>
      </c>
      <c r="W5" s="88" t="s">
        <v>4</v>
      </c>
      <c r="X5" s="88" t="s">
        <v>2</v>
      </c>
      <c r="Y5" s="88" t="s">
        <v>4</v>
      </c>
      <c r="Z5" s="88" t="s">
        <v>4</v>
      </c>
      <c r="AA5" s="88" t="s">
        <v>4</v>
      </c>
      <c r="AB5" s="88" t="s">
        <v>4</v>
      </c>
      <c r="AC5" s="153" t="s">
        <v>4</v>
      </c>
      <c r="AD5" s="88"/>
      <c r="AE5" s="88"/>
      <c r="AF5" s="88"/>
      <c r="AG5" s="3">
        <f>(AH5*12)+(AI5*12)+(AK5*8)+(AL5*4)</f>
        <v>156</v>
      </c>
      <c r="AH5" s="3">
        <f>COUNTIF(B5:AF5,"D")</f>
        <v>3</v>
      </c>
      <c r="AI5" s="3">
        <f>COUNTIF(B5:AF5,"N")</f>
        <v>4</v>
      </c>
      <c r="AJ5" s="3">
        <f>COUNTIF(B5:AF5,"OFF")+COUNTIF(B5:AF5,"上課")</f>
        <v>15</v>
      </c>
      <c r="AK5" s="3">
        <f>COUNTIF(B5:AF5,"")-AL5+COUNTIF(B5:AF5,"h3")</f>
        <v>9</v>
      </c>
      <c r="AL5" s="3">
        <f>COUNTIFS($B$4:$AF$4,"6",B5:AF5,"")+COUNTIF(B5:AF5,"h3")</f>
        <v>0</v>
      </c>
      <c r="AM5" s="3">
        <f t="array" ref="AM5">SUMPRODUCT(($B$4:$AF$4=6)*(B5:AF5="off"))</f>
        <v>2</v>
      </c>
    </row>
    <row r="6" spans="1:39" ht="21.5">
      <c r="A6" s="6" t="s">
        <v>45</v>
      </c>
      <c r="B6" s="88" t="s">
        <v>2</v>
      </c>
      <c r="C6" s="88" t="s">
        <v>2</v>
      </c>
      <c r="D6" s="33" t="s">
        <v>4</v>
      </c>
      <c r="E6" s="88" t="s">
        <v>4</v>
      </c>
      <c r="F6" s="88" t="s">
        <v>4</v>
      </c>
      <c r="G6" s="88"/>
      <c r="H6" s="88" t="s">
        <v>3</v>
      </c>
      <c r="I6" s="83"/>
      <c r="J6" s="88" t="s">
        <v>2</v>
      </c>
      <c r="K6" s="88" t="s">
        <v>4</v>
      </c>
      <c r="L6" s="88" t="s">
        <v>5</v>
      </c>
      <c r="M6" s="88" t="s">
        <v>5</v>
      </c>
      <c r="N6" s="88" t="s">
        <v>4</v>
      </c>
      <c r="O6" s="88"/>
      <c r="P6" s="88" t="s">
        <v>3</v>
      </c>
      <c r="Q6" s="88" t="s">
        <v>2</v>
      </c>
      <c r="R6" s="88" t="s">
        <v>5</v>
      </c>
      <c r="S6" s="88" t="s">
        <v>5</v>
      </c>
      <c r="T6" s="88" t="s">
        <v>5</v>
      </c>
      <c r="U6" s="88" t="s">
        <v>4</v>
      </c>
      <c r="V6" s="33" t="s">
        <v>4</v>
      </c>
      <c r="W6" s="88" t="s">
        <v>4</v>
      </c>
      <c r="X6" s="33" t="s">
        <v>3</v>
      </c>
      <c r="Y6" s="88"/>
      <c r="Z6" s="88" t="s">
        <v>4</v>
      </c>
      <c r="AA6" s="88"/>
      <c r="AB6" s="33"/>
      <c r="AC6" s="153" t="s">
        <v>4</v>
      </c>
      <c r="AD6" s="88"/>
      <c r="AE6" s="88"/>
      <c r="AF6" s="88"/>
      <c r="AG6" s="3">
        <f>(AH6*12)+(AI6*12)+(AK6*8)+(AL6*4)</f>
        <v>164</v>
      </c>
      <c r="AH6" s="3">
        <f t="shared" ref="AH6:AH12" si="2">COUNTIF(B6:AF6,"D")</f>
        <v>3</v>
      </c>
      <c r="AI6" s="3">
        <f t="shared" ref="AI6:AI12" si="3">COUNTIF(B6:AF6,"N")</f>
        <v>5</v>
      </c>
      <c r="AJ6" s="3">
        <f t="shared" ref="AJ6:AJ12" si="4">COUNTIF(B6:AF6,"OFF")+COUNTIF(B6:AF6,"上課")</f>
        <v>14</v>
      </c>
      <c r="AK6" s="3">
        <f t="shared" ref="AK6:AK12" si="5">COUNTIF(B6:AF6,"")-AL6+COUNTIF(B6:AF6,"h3")</f>
        <v>8</v>
      </c>
      <c r="AL6" s="3">
        <f t="shared" ref="AL6:AL12" si="6">COUNTIFS($B$4:$AF$4,"6",B6:AF6,"")+COUNTIF(B6:AF6,"h3")</f>
        <v>1</v>
      </c>
      <c r="AM6" s="3">
        <f t="array" ref="AM6">SUMPRODUCT(($B$4:$AF$4=6)*(B6:AF6="off"))</f>
        <v>2</v>
      </c>
    </row>
    <row r="7" spans="1:39" ht="21.5">
      <c r="A7" s="6" t="s">
        <v>17</v>
      </c>
      <c r="B7" s="88" t="s">
        <v>2</v>
      </c>
      <c r="C7" s="88" t="s">
        <v>2</v>
      </c>
      <c r="D7" s="88" t="s">
        <v>3</v>
      </c>
      <c r="E7" s="33" t="s">
        <v>4</v>
      </c>
      <c r="F7" s="33" t="s">
        <v>4</v>
      </c>
      <c r="G7" s="33" t="s">
        <v>4</v>
      </c>
      <c r="H7" s="33" t="s">
        <v>4</v>
      </c>
      <c r="I7" s="33" t="s">
        <v>4</v>
      </c>
      <c r="J7" s="33" t="s">
        <v>4</v>
      </c>
      <c r="K7" s="33" t="s">
        <v>4</v>
      </c>
      <c r="L7" s="88" t="s">
        <v>3</v>
      </c>
      <c r="M7" s="88"/>
      <c r="N7" s="88" t="s">
        <v>4</v>
      </c>
      <c r="O7" s="88"/>
      <c r="P7" s="33" t="s">
        <v>2</v>
      </c>
      <c r="Q7" s="88" t="s">
        <v>3</v>
      </c>
      <c r="R7" s="88"/>
      <c r="S7" s="88" t="s">
        <v>3</v>
      </c>
      <c r="T7" s="88" t="s">
        <v>4</v>
      </c>
      <c r="U7" s="88" t="s">
        <v>3</v>
      </c>
      <c r="V7" s="88"/>
      <c r="W7" s="88" t="s">
        <v>3</v>
      </c>
      <c r="X7" s="88" t="s">
        <v>2</v>
      </c>
      <c r="Y7" s="88" t="s">
        <v>3</v>
      </c>
      <c r="Z7" s="88"/>
      <c r="AA7" s="88" t="s">
        <v>3</v>
      </c>
      <c r="AB7" s="88"/>
      <c r="AC7" s="153" t="s">
        <v>4</v>
      </c>
      <c r="AD7" s="88"/>
      <c r="AE7" s="88"/>
      <c r="AF7" s="88"/>
      <c r="AG7" s="3">
        <f t="shared" ref="AG7:AG12" si="7">(AH7*12)+(AI7*12)+(AK7*8)+(AL7*4)</f>
        <v>168</v>
      </c>
      <c r="AH7" s="3">
        <f t="shared" si="2"/>
        <v>8</v>
      </c>
      <c r="AI7" s="3">
        <f t="shared" si="3"/>
        <v>0</v>
      </c>
      <c r="AJ7" s="3">
        <f t="shared" si="4"/>
        <v>14</v>
      </c>
      <c r="AK7" s="3">
        <f t="shared" si="5"/>
        <v>9</v>
      </c>
      <c r="AL7" s="3">
        <f t="shared" si="6"/>
        <v>0</v>
      </c>
      <c r="AM7" s="3">
        <f t="array" ref="AM7">SUMPRODUCT(($B$4:$AF$4=6)*(B7:AF7="off"))</f>
        <v>3</v>
      </c>
    </row>
    <row r="8" spans="1:39" ht="21.5">
      <c r="A8" s="6" t="s">
        <v>46</v>
      </c>
      <c r="B8" s="88" t="s">
        <v>2</v>
      </c>
      <c r="C8" s="88" t="s">
        <v>2</v>
      </c>
      <c r="D8" s="88"/>
      <c r="E8" s="88"/>
      <c r="F8" s="88" t="s">
        <v>4</v>
      </c>
      <c r="G8" s="88" t="s">
        <v>4</v>
      </c>
      <c r="H8" s="88" t="s">
        <v>4</v>
      </c>
      <c r="I8" s="33"/>
      <c r="J8" s="33" t="s">
        <v>290</v>
      </c>
      <c r="K8" s="88"/>
      <c r="L8" s="33"/>
      <c r="M8" s="88" t="s">
        <v>3</v>
      </c>
      <c r="N8" s="88"/>
      <c r="O8" s="33" t="s">
        <v>2</v>
      </c>
      <c r="P8" s="33" t="s">
        <v>2</v>
      </c>
      <c r="Q8" s="88" t="s">
        <v>2</v>
      </c>
      <c r="R8" s="88"/>
      <c r="S8" s="88" t="s">
        <v>4</v>
      </c>
      <c r="T8" s="88" t="s">
        <v>4</v>
      </c>
      <c r="U8" s="88" t="s">
        <v>5</v>
      </c>
      <c r="V8" s="88" t="s">
        <v>5</v>
      </c>
      <c r="W8" s="33" t="s">
        <v>5</v>
      </c>
      <c r="X8" s="33" t="s">
        <v>289</v>
      </c>
      <c r="Y8" s="88" t="s">
        <v>4</v>
      </c>
      <c r="Z8" s="88" t="s">
        <v>4</v>
      </c>
      <c r="AA8" s="88" t="s">
        <v>4</v>
      </c>
      <c r="AB8" s="88" t="s">
        <v>4</v>
      </c>
      <c r="AC8" s="153" t="s">
        <v>284</v>
      </c>
      <c r="AD8" s="88"/>
      <c r="AE8" s="88"/>
      <c r="AF8" s="88"/>
      <c r="AG8" s="3">
        <f t="shared" si="7"/>
        <v>160</v>
      </c>
      <c r="AH8" s="3">
        <f t="shared" si="2"/>
        <v>2</v>
      </c>
      <c r="AI8" s="3">
        <f t="shared" si="3"/>
        <v>5</v>
      </c>
      <c r="AJ8" s="3">
        <f t="shared" si="4"/>
        <v>14</v>
      </c>
      <c r="AK8" s="3">
        <f t="shared" si="5"/>
        <v>9</v>
      </c>
      <c r="AL8" s="3">
        <f t="shared" si="6"/>
        <v>1</v>
      </c>
      <c r="AM8" s="3">
        <f t="array" ref="AM8">SUMPRODUCT(($B$4:$AF$4=6)*(B8:AF8="off"))</f>
        <v>2</v>
      </c>
    </row>
    <row r="9" spans="1:39" ht="21.5">
      <c r="A9" s="6" t="s">
        <v>12</v>
      </c>
      <c r="B9" s="88" t="s">
        <v>2</v>
      </c>
      <c r="C9" s="88" t="s">
        <v>2</v>
      </c>
      <c r="D9" s="88"/>
      <c r="E9" s="88"/>
      <c r="F9" s="33"/>
      <c r="G9" s="62" t="s">
        <v>3</v>
      </c>
      <c r="H9" s="33"/>
      <c r="I9" s="33" t="s">
        <v>2</v>
      </c>
      <c r="J9" s="88" t="s">
        <v>2</v>
      </c>
      <c r="K9" s="62" t="s">
        <v>3</v>
      </c>
      <c r="L9" s="33" t="s">
        <v>2</v>
      </c>
      <c r="M9" s="33" t="s">
        <v>2</v>
      </c>
      <c r="N9" s="88"/>
      <c r="O9" s="88" t="s">
        <v>3</v>
      </c>
      <c r="P9" s="33"/>
      <c r="Q9" s="88" t="s">
        <v>2</v>
      </c>
      <c r="R9" s="33" t="s">
        <v>2</v>
      </c>
      <c r="S9" s="88" t="s">
        <v>4</v>
      </c>
      <c r="T9" s="88" t="s">
        <v>4</v>
      </c>
      <c r="U9" s="88" t="s">
        <v>4</v>
      </c>
      <c r="V9" s="88" t="s">
        <v>4</v>
      </c>
      <c r="W9" s="88"/>
      <c r="X9" s="88" t="s">
        <v>2</v>
      </c>
      <c r="Y9" s="88" t="s">
        <v>5</v>
      </c>
      <c r="Z9" s="88" t="s">
        <v>5</v>
      </c>
      <c r="AA9" s="88" t="s">
        <v>5</v>
      </c>
      <c r="AB9" s="88" t="s">
        <v>5</v>
      </c>
      <c r="AC9" s="153" t="s">
        <v>4</v>
      </c>
      <c r="AD9" s="88"/>
      <c r="AE9" s="88"/>
      <c r="AF9" s="88"/>
      <c r="AG9" s="3">
        <f t="shared" si="7"/>
        <v>156</v>
      </c>
      <c r="AH9" s="3">
        <f t="shared" si="2"/>
        <v>3</v>
      </c>
      <c r="AI9" s="3">
        <f t="shared" si="3"/>
        <v>4</v>
      </c>
      <c r="AJ9" s="3">
        <f t="shared" si="4"/>
        <v>14</v>
      </c>
      <c r="AK9" s="3">
        <f t="shared" si="5"/>
        <v>8</v>
      </c>
      <c r="AL9" s="3">
        <f t="shared" si="6"/>
        <v>2</v>
      </c>
      <c r="AM9" s="3">
        <f t="array" ref="AM9">SUMPRODUCT(($B$4:$AF$4=6)*(B9:AF9="off"))</f>
        <v>2</v>
      </c>
    </row>
    <row r="10" spans="1:39" ht="21.5">
      <c r="A10" s="6" t="s">
        <v>49</v>
      </c>
      <c r="B10" s="88" t="s">
        <v>2</v>
      </c>
      <c r="C10" s="88" t="s">
        <v>2</v>
      </c>
      <c r="D10" s="88" t="s">
        <v>5</v>
      </c>
      <c r="E10" s="88" t="s">
        <v>5</v>
      </c>
      <c r="F10" s="88" t="s">
        <v>5</v>
      </c>
      <c r="G10" s="88" t="s">
        <v>5</v>
      </c>
      <c r="H10" s="33" t="s">
        <v>4</v>
      </c>
      <c r="I10" s="33" t="s">
        <v>4</v>
      </c>
      <c r="J10" s="33" t="s">
        <v>4</v>
      </c>
      <c r="K10" s="33" t="s">
        <v>4</v>
      </c>
      <c r="L10" s="33" t="s">
        <v>4</v>
      </c>
      <c r="M10" s="33" t="s">
        <v>4</v>
      </c>
      <c r="N10" s="33" t="s">
        <v>4</v>
      </c>
      <c r="O10" s="33" t="s">
        <v>4</v>
      </c>
      <c r="P10" s="33"/>
      <c r="Q10" s="88" t="s">
        <v>2</v>
      </c>
      <c r="R10" s="88" t="s">
        <v>3</v>
      </c>
      <c r="S10" s="88"/>
      <c r="T10" s="88" t="s">
        <v>3</v>
      </c>
      <c r="U10" s="88" t="s">
        <v>4</v>
      </c>
      <c r="V10" s="88" t="s">
        <v>4</v>
      </c>
      <c r="W10" s="88"/>
      <c r="X10" s="88" t="s">
        <v>2</v>
      </c>
      <c r="Y10" s="88"/>
      <c r="Z10" s="88"/>
      <c r="AA10" s="88" t="s">
        <v>4</v>
      </c>
      <c r="AB10" s="88" t="s">
        <v>4</v>
      </c>
      <c r="AC10" s="153" t="s">
        <v>283</v>
      </c>
      <c r="AD10" s="88"/>
      <c r="AE10" s="88"/>
      <c r="AF10" s="88"/>
      <c r="AG10" s="3">
        <f t="shared" si="7"/>
        <v>140</v>
      </c>
      <c r="AH10" s="3">
        <f t="shared" si="2"/>
        <v>3</v>
      </c>
      <c r="AI10" s="3">
        <f t="shared" si="3"/>
        <v>4</v>
      </c>
      <c r="AJ10" s="3">
        <f t="shared" si="4"/>
        <v>16</v>
      </c>
      <c r="AK10" s="3">
        <f t="shared" si="5"/>
        <v>6</v>
      </c>
      <c r="AL10" s="3">
        <f t="shared" si="6"/>
        <v>2</v>
      </c>
      <c r="AM10" s="3">
        <f t="array" ref="AM10">SUMPRODUCT(($B$4:$AF$4=6)*(B10:AF10="off"))</f>
        <v>2</v>
      </c>
    </row>
    <row r="11" spans="1:39" ht="21.5">
      <c r="A11" s="6" t="s">
        <v>50</v>
      </c>
      <c r="B11" s="88"/>
      <c r="C11" s="88"/>
      <c r="D11" s="171"/>
      <c r="E11" s="171"/>
      <c r="F11" s="171"/>
      <c r="G11" s="171"/>
      <c r="H11" s="171"/>
      <c r="I11" s="33"/>
      <c r="J11" s="88"/>
      <c r="K11" s="159"/>
      <c r="L11" s="159"/>
      <c r="M11" s="159"/>
      <c r="N11" s="158"/>
      <c r="O11" s="158"/>
      <c r="P11" s="158"/>
      <c r="Q11" s="88"/>
      <c r="R11" s="158"/>
      <c r="S11" s="158"/>
      <c r="T11" s="158"/>
      <c r="U11" s="158"/>
      <c r="V11" s="158"/>
      <c r="W11" s="158"/>
      <c r="X11" s="88"/>
      <c r="Y11" s="158"/>
      <c r="Z11" s="158"/>
      <c r="AA11" s="158"/>
      <c r="AB11" s="158"/>
      <c r="AC11" s="153"/>
      <c r="AD11" s="88"/>
      <c r="AE11" s="88"/>
      <c r="AF11" s="88"/>
      <c r="AG11" s="3">
        <f t="shared" si="7"/>
        <v>232</v>
      </c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27</v>
      </c>
      <c r="AL11" s="3">
        <f t="shared" si="6"/>
        <v>4</v>
      </c>
      <c r="AM11" s="3">
        <f t="array" ref="AM11">SUMPRODUCT(($B$4:$AF$4=6)*(B11:AF11="off"))</f>
        <v>0</v>
      </c>
    </row>
    <row r="12" spans="1:39" ht="21.5">
      <c r="A12" s="6" t="s">
        <v>51</v>
      </c>
      <c r="B12" s="88" t="s">
        <v>2</v>
      </c>
      <c r="C12" s="88" t="s">
        <v>2</v>
      </c>
      <c r="D12" s="33" t="s">
        <v>4</v>
      </c>
      <c r="E12" s="88" t="s">
        <v>3</v>
      </c>
      <c r="F12" s="88"/>
      <c r="G12" s="88" t="s">
        <v>4</v>
      </c>
      <c r="H12" s="33" t="s">
        <v>6</v>
      </c>
      <c r="I12" s="62" t="s">
        <v>5</v>
      </c>
      <c r="J12" s="153" t="s">
        <v>6</v>
      </c>
      <c r="K12" s="88" t="s">
        <v>5</v>
      </c>
      <c r="L12" s="88" t="s">
        <v>4</v>
      </c>
      <c r="M12" s="88"/>
      <c r="N12" s="88" t="s">
        <v>3</v>
      </c>
      <c r="O12" s="33" t="s">
        <v>4</v>
      </c>
      <c r="P12" s="33" t="s">
        <v>2</v>
      </c>
      <c r="Q12" s="88" t="s">
        <v>2</v>
      </c>
      <c r="R12" s="33" t="s">
        <v>2</v>
      </c>
      <c r="S12" s="88"/>
      <c r="T12" s="88"/>
      <c r="U12" s="88"/>
      <c r="W12" s="88" t="s">
        <v>4</v>
      </c>
      <c r="X12" s="88" t="s">
        <v>2</v>
      </c>
      <c r="Y12" s="88" t="s">
        <v>4</v>
      </c>
      <c r="Z12" s="88" t="s">
        <v>3</v>
      </c>
      <c r="AA12" s="88"/>
      <c r="AB12" s="88" t="s">
        <v>3</v>
      </c>
      <c r="AC12" s="153" t="s">
        <v>4</v>
      </c>
      <c r="AD12" s="88"/>
      <c r="AE12" s="88"/>
      <c r="AF12" s="88"/>
      <c r="AG12" s="3">
        <f t="shared" si="7"/>
        <v>176</v>
      </c>
      <c r="AH12" s="3">
        <f t="shared" si="2"/>
        <v>4</v>
      </c>
      <c r="AI12" s="3">
        <f t="shared" si="3"/>
        <v>4</v>
      </c>
      <c r="AJ12" s="3">
        <f t="shared" si="4"/>
        <v>13</v>
      </c>
      <c r="AK12" s="3">
        <f t="shared" si="5"/>
        <v>10</v>
      </c>
      <c r="AL12" s="3">
        <f t="shared" si="6"/>
        <v>0</v>
      </c>
      <c r="AM12" s="3">
        <f t="array" ref="AM12">SUMPRODUCT(($B$4:$AF$4=6)*(B12:AF12="off"))</f>
        <v>3</v>
      </c>
    </row>
    <row r="13" spans="1:39" ht="21.5">
      <c r="A13" s="93" t="s">
        <v>249</v>
      </c>
      <c r="B13" s="115">
        <f>IF(B4="","",IF(B4="日",2,IF(B4=6,4,IF(B4&lt;6,4))))</f>
        <v>4</v>
      </c>
      <c r="C13" s="115">
        <f t="shared" ref="C13:AF13" si="8">IF(C4="","",IF(C4="日",2,IF(C4=6,4,IF(C4&lt;6,4))))</f>
        <v>2</v>
      </c>
      <c r="D13" s="115">
        <f t="shared" si="8"/>
        <v>4</v>
      </c>
      <c r="E13" s="115">
        <f t="shared" si="8"/>
        <v>4</v>
      </c>
      <c r="F13" s="115">
        <f t="shared" si="8"/>
        <v>4</v>
      </c>
      <c r="G13" s="115">
        <f t="shared" si="8"/>
        <v>4</v>
      </c>
      <c r="H13" s="115">
        <f t="shared" si="8"/>
        <v>4</v>
      </c>
      <c r="I13" s="115">
        <f t="shared" si="8"/>
        <v>4</v>
      </c>
      <c r="J13" s="115">
        <f t="shared" si="8"/>
        <v>2</v>
      </c>
      <c r="K13" s="115">
        <f t="shared" si="8"/>
        <v>4</v>
      </c>
      <c r="L13" s="115">
        <f t="shared" si="8"/>
        <v>4</v>
      </c>
      <c r="M13" s="115">
        <f t="shared" si="8"/>
        <v>4</v>
      </c>
      <c r="N13" s="115">
        <f t="shared" si="8"/>
        <v>4</v>
      </c>
      <c r="O13" s="115">
        <f t="shared" si="8"/>
        <v>4</v>
      </c>
      <c r="P13" s="115">
        <f t="shared" si="8"/>
        <v>4</v>
      </c>
      <c r="Q13" s="115">
        <f t="shared" si="8"/>
        <v>2</v>
      </c>
      <c r="R13" s="115">
        <f t="shared" si="8"/>
        <v>4</v>
      </c>
      <c r="S13" s="115">
        <f t="shared" si="8"/>
        <v>4</v>
      </c>
      <c r="T13" s="115">
        <f t="shared" si="8"/>
        <v>4</v>
      </c>
      <c r="U13" s="115">
        <f t="shared" si="8"/>
        <v>4</v>
      </c>
      <c r="V13" s="115">
        <f t="shared" si="8"/>
        <v>4</v>
      </c>
      <c r="W13" s="115">
        <f t="shared" si="8"/>
        <v>4</v>
      </c>
      <c r="X13" s="115">
        <f t="shared" si="8"/>
        <v>2</v>
      </c>
      <c r="Y13" s="115">
        <f t="shared" si="8"/>
        <v>4</v>
      </c>
      <c r="Z13" s="115">
        <f t="shared" si="8"/>
        <v>4</v>
      </c>
      <c r="AA13" s="115">
        <f t="shared" si="8"/>
        <v>4</v>
      </c>
      <c r="AB13" s="115">
        <f t="shared" si="8"/>
        <v>4</v>
      </c>
      <c r="AC13" s="115">
        <f t="shared" si="8"/>
        <v>4</v>
      </c>
      <c r="AD13" s="115" t="str">
        <f t="shared" si="8"/>
        <v/>
      </c>
      <c r="AE13" s="115" t="str">
        <f t="shared" si="8"/>
        <v/>
      </c>
      <c r="AF13" s="115" t="str">
        <f t="shared" si="8"/>
        <v/>
      </c>
      <c r="AG13" s="12"/>
      <c r="AH13" s="12"/>
      <c r="AI13" s="12"/>
      <c r="AJ13" s="12"/>
      <c r="AK13" s="12"/>
      <c r="AL13" s="12"/>
    </row>
    <row r="14" spans="1:39" ht="20.5">
      <c r="A14" s="93" t="s">
        <v>251</v>
      </c>
      <c r="B14" s="114" t="s">
        <v>250</v>
      </c>
      <c r="C14" s="114" t="s">
        <v>250</v>
      </c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 t="s">
        <v>250</v>
      </c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39" ht="28" thickBot="1">
      <c r="A15" s="4"/>
      <c r="B15" s="427" t="s">
        <v>158</v>
      </c>
      <c r="C15" s="427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3" t="s">
        <v>173</v>
      </c>
      <c r="D16" s="424"/>
      <c r="E16" s="425" t="s">
        <v>46</v>
      </c>
      <c r="F16" s="425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26"/>
      <c r="E17" s="425" t="s">
        <v>26</v>
      </c>
      <c r="F17" s="425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3 ... 4</v>
      </c>
      <c r="T17" s="44"/>
      <c r="U17" s="45"/>
      <c r="W17" s="13"/>
      <c r="X17" s="8" t="s">
        <v>20</v>
      </c>
      <c r="Y17" s="20" t="s">
        <v>3</v>
      </c>
      <c r="Z17" s="118">
        <v>3</v>
      </c>
      <c r="AA17" s="20" t="s">
        <v>5</v>
      </c>
      <c r="AB17" s="121">
        <v>4</v>
      </c>
      <c r="AC17" s="124">
        <v>4</v>
      </c>
      <c r="AD17" s="129">
        <v>3</v>
      </c>
      <c r="AE17" s="20">
        <v>7</v>
      </c>
      <c r="AF17" s="20">
        <v>15</v>
      </c>
      <c r="AG17" s="130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35"/>
      <c r="E18" s="433" t="s">
        <v>27</v>
      </c>
      <c r="F18" s="434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3 ... 4</v>
      </c>
      <c r="T18" s="49"/>
      <c r="U18" s="45"/>
      <c r="X18" s="8" t="s">
        <v>21</v>
      </c>
      <c r="Y18" s="20" t="s">
        <v>3</v>
      </c>
      <c r="Z18" s="118">
        <v>3</v>
      </c>
      <c r="AA18" s="98" t="s">
        <v>5</v>
      </c>
      <c r="AB18" s="121">
        <v>5</v>
      </c>
      <c r="AC18" s="125">
        <v>4</v>
      </c>
      <c r="AD18" s="130">
        <v>4</v>
      </c>
      <c r="AE18" s="20">
        <v>8</v>
      </c>
      <c r="AF18" s="20">
        <v>14</v>
      </c>
      <c r="AG18" s="130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35"/>
      <c r="E19" s="433" t="s">
        <v>17</v>
      </c>
      <c r="F19" s="434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13 ... 4</v>
      </c>
      <c r="T19" s="51"/>
      <c r="U19" s="52"/>
      <c r="X19" s="8" t="s">
        <v>22</v>
      </c>
      <c r="Y19" s="20" t="s">
        <v>3</v>
      </c>
      <c r="Z19" s="119">
        <v>8</v>
      </c>
      <c r="AA19" s="82" t="s">
        <v>5</v>
      </c>
      <c r="AB19" s="121">
        <v>0</v>
      </c>
      <c r="AC19" s="126">
        <v>4</v>
      </c>
      <c r="AD19" s="130">
        <v>4</v>
      </c>
      <c r="AE19" s="20">
        <v>8</v>
      </c>
      <c r="AF19" s="20">
        <v>14</v>
      </c>
      <c r="AG19" s="130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35"/>
      <c r="E20" s="433" t="s">
        <v>16</v>
      </c>
      <c r="F20" s="434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24</v>
      </c>
      <c r="P20" s="13" t="s">
        <v>77</v>
      </c>
      <c r="Q20" s="13" t="s">
        <v>78</v>
      </c>
      <c r="R20" s="37">
        <f>COUNTIF(B4:AF4,"6")*((COUNTA(B16:B23))-J16)</f>
        <v>16</v>
      </c>
      <c r="S20" s="13" t="s">
        <v>79</v>
      </c>
      <c r="T20" s="53">
        <f>O20+R20</f>
        <v>40</v>
      </c>
      <c r="U20" s="13" t="s">
        <v>32</v>
      </c>
      <c r="V20" s="13"/>
      <c r="W20" s="54">
        <f>T20+T22</f>
        <v>108</v>
      </c>
      <c r="X20" s="8" t="s">
        <v>3</v>
      </c>
      <c r="Y20" s="20" t="s">
        <v>3</v>
      </c>
      <c r="Z20" s="118">
        <v>2</v>
      </c>
      <c r="AA20" s="20" t="s">
        <v>5</v>
      </c>
      <c r="AB20" s="122">
        <v>5</v>
      </c>
      <c r="AC20" s="126">
        <v>3</v>
      </c>
      <c r="AD20" s="131">
        <v>4</v>
      </c>
      <c r="AE20" s="20">
        <v>7</v>
      </c>
      <c r="AF20" s="20">
        <v>14</v>
      </c>
      <c r="AG20" s="130">
        <v>2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35"/>
      <c r="E21" s="433" t="s">
        <v>18</v>
      </c>
      <c r="F21" s="434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3</v>
      </c>
      <c r="R21" s="102" t="s">
        <v>233</v>
      </c>
      <c r="S21" s="13"/>
      <c r="T21" s="37">
        <f>((COUNTA(B16:B23))-J18)*Q21</f>
        <v>18</v>
      </c>
      <c r="U21" s="13"/>
      <c r="V21" s="13"/>
      <c r="W21" s="13"/>
      <c r="X21" s="8" t="s">
        <v>23</v>
      </c>
      <c r="Y21" s="20" t="s">
        <v>3</v>
      </c>
      <c r="Z21" s="118">
        <v>3</v>
      </c>
      <c r="AA21" s="20" t="s">
        <v>5</v>
      </c>
      <c r="AB21" s="121">
        <v>4</v>
      </c>
      <c r="AC21" s="125">
        <v>3</v>
      </c>
      <c r="AD21" s="130">
        <v>4</v>
      </c>
      <c r="AE21" s="20">
        <v>7</v>
      </c>
      <c r="AF21" s="20">
        <v>14</v>
      </c>
      <c r="AG21" s="130">
        <v>2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35"/>
      <c r="E22" s="433" t="s">
        <v>17</v>
      </c>
      <c r="F22" s="434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68</v>
      </c>
      <c r="U22" s="13"/>
      <c r="V22" s="13"/>
      <c r="W22" s="13"/>
      <c r="X22" s="8" t="s">
        <v>24</v>
      </c>
      <c r="Y22" s="98" t="s">
        <v>3</v>
      </c>
      <c r="Z22" s="119">
        <v>4</v>
      </c>
      <c r="AA22" s="20" t="s">
        <v>5</v>
      </c>
      <c r="AB22" s="121">
        <v>4</v>
      </c>
      <c r="AC22" s="126">
        <v>4</v>
      </c>
      <c r="AD22" s="130">
        <v>4</v>
      </c>
      <c r="AE22" s="20">
        <v>8</v>
      </c>
      <c r="AF22" s="20">
        <v>14</v>
      </c>
      <c r="AG22" s="169">
        <v>3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>
        <v>8</v>
      </c>
      <c r="C23" s="424" t="s">
        <v>30</v>
      </c>
      <c r="D23" s="426"/>
      <c r="E23" s="425" t="s">
        <v>13</v>
      </c>
      <c r="F23" s="425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2 ... 0</v>
      </c>
      <c r="U23" s="431"/>
      <c r="V23" s="432"/>
      <c r="X23" s="8" t="s">
        <v>25</v>
      </c>
      <c r="Y23" s="82" t="s">
        <v>5</v>
      </c>
      <c r="Z23" s="118">
        <v>0</v>
      </c>
      <c r="AA23" s="82" t="s">
        <v>5</v>
      </c>
      <c r="AB23" s="122">
        <v>0</v>
      </c>
      <c r="AC23" s="125">
        <v>0</v>
      </c>
      <c r="AD23" s="131">
        <v>0</v>
      </c>
      <c r="AE23" s="20"/>
      <c r="AF23" s="20">
        <v>0</v>
      </c>
      <c r="AG23" s="130">
        <v>0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3</v>
      </c>
      <c r="AA24" s="20" t="s">
        <v>5</v>
      </c>
      <c r="AB24" s="122">
        <v>4</v>
      </c>
      <c r="AC24" s="128">
        <v>4</v>
      </c>
      <c r="AD24" s="128">
        <v>3</v>
      </c>
      <c r="AE24" s="20">
        <v>7</v>
      </c>
      <c r="AF24" s="134">
        <v>15</v>
      </c>
      <c r="AG24" s="170">
        <v>3</v>
      </c>
      <c r="AH24" t="s">
        <v>214</v>
      </c>
    </row>
    <row r="25" spans="1:39">
      <c r="Z25">
        <f>SUM(Z17:Z24)</f>
        <v>26</v>
      </c>
      <c r="AB25">
        <f>SUM(AB17:AB24)</f>
        <v>26</v>
      </c>
      <c r="AC25">
        <f>SUM(AC17:AC24)</f>
        <v>26</v>
      </c>
      <c r="AD25">
        <f>SUM(AD17:AD24)</f>
        <v>26</v>
      </c>
      <c r="AH25" t="s">
        <v>215</v>
      </c>
    </row>
    <row r="26" spans="1:39" ht="27.75" customHeight="1">
      <c r="L26" s="59" t="s">
        <v>216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X27" s="110"/>
      <c r="Y27" s="429" t="s">
        <v>253</v>
      </c>
      <c r="Z27" s="429"/>
      <c r="AA27" s="429"/>
      <c r="AB27" s="429"/>
      <c r="AC27" s="429"/>
    </row>
    <row r="28" spans="1:39" ht="27.5">
      <c r="X28" s="135"/>
      <c r="Y28" s="429" t="s">
        <v>257</v>
      </c>
      <c r="Z28" s="429"/>
      <c r="AA28" s="429"/>
      <c r="AB28" s="429"/>
      <c r="AC28" s="429"/>
    </row>
  </sheetData>
  <mergeCells count="23">
    <mergeCell ref="AG4:AL4"/>
    <mergeCell ref="B15:C15"/>
    <mergeCell ref="C16:D16"/>
    <mergeCell ref="E16:F16"/>
    <mergeCell ref="E18:F18"/>
    <mergeCell ref="E17:F17"/>
    <mergeCell ref="C17:D17"/>
    <mergeCell ref="Y26:AC26"/>
    <mergeCell ref="Y27:AC27"/>
    <mergeCell ref="Y28:AC28"/>
    <mergeCell ref="C23:D23"/>
    <mergeCell ref="E23:F23"/>
    <mergeCell ref="A1:A2"/>
    <mergeCell ref="T23:V23"/>
    <mergeCell ref="E22:F22"/>
    <mergeCell ref="C22:D22"/>
    <mergeCell ref="E21:F21"/>
    <mergeCell ref="C21:D21"/>
    <mergeCell ref="E20:F20"/>
    <mergeCell ref="C18:D18"/>
    <mergeCell ref="C20:D20"/>
    <mergeCell ref="E19:F19"/>
    <mergeCell ref="C19:D19"/>
  </mergeCells>
  <phoneticPr fontId="11" type="noConversion"/>
  <conditionalFormatting sqref="AG3">
    <cfRule type="expression" dxfId="2007" priority="200" stopIfTrue="1">
      <formula>WEEKDAY(AG$3)=7</formula>
    </cfRule>
    <cfRule type="expression" dxfId="2006" priority="201" stopIfTrue="1">
      <formula>WEEKDAY(AG$3)=1</formula>
    </cfRule>
    <cfRule type="expression" dxfId="2005" priority="202" stopIfTrue="1">
      <formula>WEEKDAY(AG$3)=7</formula>
    </cfRule>
    <cfRule type="expression" dxfId="2004" priority="203" stopIfTrue="1">
      <formula>WEEKDAY(AG$3)=1</formula>
    </cfRule>
  </conditionalFormatting>
  <conditionalFormatting sqref="B3:AF3 AD12:AF12 H12:O12 E12:F12 Y9:AF9 Y11:AF11 Y10:AA10 AC10:AF10 Y12:AB12 R12:U12 W12 V10">
    <cfRule type="expression" dxfId="2003" priority="198">
      <formula>WEEKDAY(B$3,2)=7</formula>
    </cfRule>
    <cfRule type="expression" dxfId="2002" priority="199">
      <formula>WEEKDAY(B$3,2)=6</formula>
    </cfRule>
  </conditionalFormatting>
  <conditionalFormatting sqref="B4:AF4">
    <cfRule type="expression" dxfId="2001" priority="196">
      <formula>WEEKDAY(B$3,2)=7</formula>
    </cfRule>
    <cfRule type="expression" dxfId="2000" priority="197">
      <formula>WEEKDAY(B$3,2)=6</formula>
    </cfRule>
  </conditionalFormatting>
  <conditionalFormatting sqref="B13:U13 W13:AF13">
    <cfRule type="expression" dxfId="1999" priority="186" stopIfTrue="1">
      <formula>8-COUNTIF(B$5:B$12,"off")&lt;&gt;B$13</formula>
    </cfRule>
  </conditionalFormatting>
  <conditionalFormatting sqref="Z17:Z24">
    <cfRule type="expression" dxfId="1998" priority="185" stopIfTrue="1">
      <formula>COUNTIF($B5:$AF5,"D")&lt;&gt;$Z17</formula>
    </cfRule>
  </conditionalFormatting>
  <conditionalFormatting sqref="AB17:AB24">
    <cfRule type="expression" dxfId="1997" priority="184" stopIfTrue="1">
      <formula>COUNTIF($B5:$AF5,"N")&lt;&gt;$AB17</formula>
    </cfRule>
  </conditionalFormatting>
  <conditionalFormatting sqref="AD6:AF6 K6:P6 D11:G11 B5:I5 I11:P11 R6:T6 Y7:AF7 K5:W5 Y5:AF5 D6:I6 W6:AA6 R8:AF8 R9:W9 D8:P10 D7:W7 R11:W11 R10:U10 W10">
    <cfRule type="expression" dxfId="1996" priority="182">
      <formula>WEEKDAY(B$3,2)=7</formula>
    </cfRule>
    <cfRule type="expression" dxfId="1995" priority="183">
      <formula>WEEKDAY(B$3,2)=6</formula>
    </cfRule>
  </conditionalFormatting>
  <conditionalFormatting sqref="B5:I5 K5:W5 Y5:AF5">
    <cfRule type="expression" dxfId="1994" priority="181">
      <formula>SEARCH("X", $A$5) &gt; 0</formula>
    </cfRule>
  </conditionalFormatting>
  <conditionalFormatting sqref="D6:I6 W6:AA6 AD6:AF6 K6:P6 R6:T6">
    <cfRule type="expression" dxfId="1993" priority="180">
      <formula>SEARCH("X", $A$6) &gt; 0</formula>
    </cfRule>
  </conditionalFormatting>
  <conditionalFormatting sqref="I6:I7 D7:W7 Y7:AF7">
    <cfRule type="expression" dxfId="1992" priority="179">
      <formula>SEARCH("X", $A$7) &gt; 0</formula>
    </cfRule>
  </conditionalFormatting>
  <conditionalFormatting sqref="D8:P8 J7 W7 R8:AF8 P7:P8">
    <cfRule type="expression" dxfId="1991" priority="178">
      <formula>SEARCH("X", $A$8) &gt; 0</formula>
    </cfRule>
  </conditionalFormatting>
  <conditionalFormatting sqref="D9:P9 W8 R9:W9 Y9:AF9 AB12">
    <cfRule type="expression" dxfId="1990" priority="177">
      <formula>SEARCH("X", $A$9) &gt; 0</formula>
    </cfRule>
  </conditionalFormatting>
  <conditionalFormatting sqref="D10:P10 R10:U10 Y10:AA10 AC10:AF10 AB12 W10">
    <cfRule type="expression" dxfId="1989" priority="176">
      <formula>SEARCH("X", $A$10) &gt; 0</formula>
    </cfRule>
  </conditionalFormatting>
  <conditionalFormatting sqref="D11:G11 I11:P11 R11:W11 Y11:AF11">
    <cfRule type="expression" dxfId="1988" priority="175">
      <formula>SEARCH("X", $A$11) &gt; 0</formula>
    </cfRule>
  </conditionalFormatting>
  <conditionalFormatting sqref="H11 Y12:AA12 AD12:AF12 H12:O12 E12:F12 R12:U12 W12 V10">
    <cfRule type="expression" dxfId="1987" priority="174">
      <formula>SEARCH("X", $A$12) &gt; 0</formula>
    </cfRule>
  </conditionalFormatting>
  <conditionalFormatting sqref="K10">
    <cfRule type="expression" dxfId="1986" priority="173">
      <formula>SEARCH("X", $A$9) &gt; 0</formula>
    </cfRule>
  </conditionalFormatting>
  <conditionalFormatting sqref="V6">
    <cfRule type="expression" dxfId="1985" priority="171">
      <formula>WEEKDAY(V$3,2)=7</formula>
    </cfRule>
    <cfRule type="expression" dxfId="1984" priority="172">
      <formula>WEEKDAY(V$3,2)=6</formula>
    </cfRule>
  </conditionalFormatting>
  <conditionalFormatting sqref="V6">
    <cfRule type="expression" dxfId="1983" priority="170">
      <formula>SEARCH("X", $A$6) &gt; 0</formula>
    </cfRule>
  </conditionalFormatting>
  <conditionalFormatting sqref="AB6">
    <cfRule type="expression" dxfId="1982" priority="168">
      <formula>WEEKDAY(AB$3,2)=7</formula>
    </cfRule>
    <cfRule type="expression" dxfId="1981" priority="169">
      <formula>WEEKDAY(AB$3,2)=6</formula>
    </cfRule>
  </conditionalFormatting>
  <conditionalFormatting sqref="AB6">
    <cfRule type="expression" dxfId="1980" priority="167">
      <formula>SEARCH("X", $A$6) &gt; 0</formula>
    </cfRule>
  </conditionalFormatting>
  <conditionalFormatting sqref="I5">
    <cfRule type="expression" dxfId="1979" priority="166">
      <formula>SEARCH("X", $A$6) &gt; 0</formula>
    </cfRule>
  </conditionalFormatting>
  <conditionalFormatting sqref="P6">
    <cfRule type="expression" dxfId="1978" priority="165">
      <formula>SEARCH("X", $A$10) &gt; 0</formula>
    </cfRule>
  </conditionalFormatting>
  <conditionalFormatting sqref="J10">
    <cfRule type="expression" dxfId="1977" priority="164">
      <formula>SEARCH("X", $A$7) &gt; 0</formula>
    </cfRule>
  </conditionalFormatting>
  <conditionalFormatting sqref="J10">
    <cfRule type="expression" dxfId="1976" priority="163">
      <formula>SEARCH("X", $A$8) &gt; 0</formula>
    </cfRule>
  </conditionalFormatting>
  <conditionalFormatting sqref="I10:O10">
    <cfRule type="expression" dxfId="1975" priority="162">
      <formula>SEARCH("X", $A$7) &gt; 0</formula>
    </cfRule>
  </conditionalFormatting>
  <conditionalFormatting sqref="D6">
    <cfRule type="expression" dxfId="1974" priority="161">
      <formula>SEARCH("X", $A$7) &gt; 0</formula>
    </cfRule>
  </conditionalFormatting>
  <conditionalFormatting sqref="B6:B12">
    <cfRule type="expression" dxfId="1973" priority="158">
      <formula>WEEKDAY(B$3,2)=7</formula>
    </cfRule>
    <cfRule type="expression" dxfId="1972" priority="159">
      <formula>WEEKDAY(B$3,2)=6</formula>
    </cfRule>
  </conditionalFormatting>
  <conditionalFormatting sqref="B6:B12">
    <cfRule type="expression" dxfId="1971" priority="157">
      <formula>SEARCH("X", $A$5) &gt; 0</formula>
    </cfRule>
  </conditionalFormatting>
  <conditionalFormatting sqref="C6:C12">
    <cfRule type="expression" dxfId="1970" priority="155">
      <formula>WEEKDAY(C$3,2)=7</formula>
    </cfRule>
    <cfRule type="expression" dxfId="1969" priority="156">
      <formula>WEEKDAY(C$3,2)=6</formula>
    </cfRule>
  </conditionalFormatting>
  <conditionalFormatting sqref="C6:C12">
    <cfRule type="expression" dxfId="1968" priority="154">
      <formula>SEARCH("X", $A$5) &gt; 0</formula>
    </cfRule>
  </conditionalFormatting>
  <conditionalFormatting sqref="J11">
    <cfRule type="expression" dxfId="1967" priority="153">
      <formula>SEARCH("X", $A$5) &gt; 0</formula>
    </cfRule>
  </conditionalFormatting>
  <conditionalFormatting sqref="J9">
    <cfRule type="expression" dxfId="1966" priority="152">
      <formula>SEARCH("X", $A$5) &gt; 0</formula>
    </cfRule>
  </conditionalFormatting>
  <conditionalFormatting sqref="AC7">
    <cfRule type="expression" dxfId="1965" priority="138">
      <formula>SEARCH("X", $A$5) &gt; 0</formula>
    </cfRule>
  </conditionalFormatting>
  <conditionalFormatting sqref="AC9 AC7">
    <cfRule type="expression" dxfId="1964" priority="137">
      <formula>SEARCH("X", $A$5) &gt; 0</formula>
    </cfRule>
  </conditionalFormatting>
  <conditionalFormatting sqref="AC9">
    <cfRule type="expression" dxfId="1963" priority="136">
      <formula>SEARCH("X", $A$11) &gt; 0</formula>
    </cfRule>
  </conditionalFormatting>
  <conditionalFormatting sqref="AC7 AC9">
    <cfRule type="expression" dxfId="1962" priority="135">
      <formula>SEARCH("X", $A$11) &gt; 0</formula>
    </cfRule>
  </conditionalFormatting>
  <conditionalFormatting sqref="AC5 AC7 AC9">
    <cfRule type="expression" dxfId="1961" priority="134">
      <formula>SEARCH("X", $A$11) &gt; 0</formula>
    </cfRule>
  </conditionalFormatting>
  <conditionalFormatting sqref="AC5 AC7 AC9">
    <cfRule type="expression" dxfId="1960" priority="133">
      <formula>SEARCH("X", $A$11) &gt; 0</formula>
    </cfRule>
  </conditionalFormatting>
  <conditionalFormatting sqref="AC5 AC7 AC9">
    <cfRule type="expression" dxfId="1959" priority="132">
      <formula>SEARCH("X", $A$11) &gt; 0</formula>
    </cfRule>
  </conditionalFormatting>
  <conditionalFormatting sqref="AC5 AC7 AC9">
    <cfRule type="expression" dxfId="1958" priority="131">
      <formula>SEARCH("X", $A$11) &gt; 0</formula>
    </cfRule>
  </conditionalFormatting>
  <conditionalFormatting sqref="AC5 AC7 AC9">
    <cfRule type="expression" dxfId="1957" priority="130">
      <formula>SEARCH("X", $A$11) &gt; 0</formula>
    </cfRule>
  </conditionalFormatting>
  <conditionalFormatting sqref="AC5 AC7 AC9">
    <cfRule type="expression" dxfId="1956" priority="129">
      <formula>SEARCH("X", $A$11) &gt; 0</formula>
    </cfRule>
  </conditionalFormatting>
  <conditionalFormatting sqref="AC5 AC7 AC9">
    <cfRule type="expression" dxfId="1955" priority="128">
      <formula>SEARCH("X", $A$11) &gt; 0</formula>
    </cfRule>
  </conditionalFormatting>
  <conditionalFormatting sqref="AC5 AC7 AC9">
    <cfRule type="expression" dxfId="1954" priority="127">
      <formula>SEARCH("X", $A$11) &gt; 0</formula>
    </cfRule>
  </conditionalFormatting>
  <conditionalFormatting sqref="J9 AC5 AC7 AC9">
    <cfRule type="expression" dxfId="1953" priority="124">
      <formula>SEARCH("X", $A$11) &gt; 0</formula>
    </cfRule>
  </conditionalFormatting>
  <conditionalFormatting sqref="J12 J9 AC5 AC7 AC9">
    <cfRule type="expression" dxfId="1952" priority="121">
      <formula>SEARCH("X", $A$11) &gt; 0</formula>
    </cfRule>
  </conditionalFormatting>
  <conditionalFormatting sqref="P10">
    <cfRule type="expression" dxfId="1951" priority="118">
      <formula>SEARCH("X", $A$7) &gt; 0</formula>
    </cfRule>
  </conditionalFormatting>
  <conditionalFormatting sqref="H10">
    <cfRule type="expression" dxfId="1950" priority="117">
      <formula>SEARCH("X", $A$7) &gt; 0</formula>
    </cfRule>
  </conditionalFormatting>
  <conditionalFormatting sqref="O8">
    <cfRule type="expression" dxfId="1949" priority="116">
      <formula>SEARCH("X", $A$9) &gt; 0</formula>
    </cfRule>
  </conditionalFormatting>
  <conditionalFormatting sqref="P8">
    <cfRule type="expression" dxfId="1948" priority="115">
      <formula>SEARCH("X", $A$7) &gt; 0</formula>
    </cfRule>
  </conditionalFormatting>
  <conditionalFormatting sqref="H11">
    <cfRule type="expression" dxfId="1947" priority="3031">
      <formula>WEEKDAY(D$3,2)=7</formula>
    </cfRule>
    <cfRule type="expression" dxfId="1946" priority="3032">
      <formula>WEEKDAY(D$3,2)=6</formula>
    </cfRule>
  </conditionalFormatting>
  <conditionalFormatting sqref="D5">
    <cfRule type="expression" dxfId="1945" priority="114">
      <formula>SEARCH("X", $A$6) &gt; 0</formula>
    </cfRule>
  </conditionalFormatting>
  <conditionalFormatting sqref="D5">
    <cfRule type="expression" dxfId="1944" priority="113">
      <formula>SEARCH("X", $A$7) &gt; 0</formula>
    </cfRule>
  </conditionalFormatting>
  <conditionalFormatting sqref="E5">
    <cfRule type="expression" dxfId="1943" priority="112">
      <formula>SEARCH("X", $A$6) &gt; 0</formula>
    </cfRule>
  </conditionalFormatting>
  <conditionalFormatting sqref="E5">
    <cfRule type="expression" dxfId="1942" priority="111">
      <formula>SEARCH("X", $A$7) &gt; 0</formula>
    </cfRule>
  </conditionalFormatting>
  <conditionalFormatting sqref="D12">
    <cfRule type="expression" dxfId="1941" priority="109">
      <formula>WEEKDAY(D$3,2)=7</formula>
    </cfRule>
    <cfRule type="expression" dxfId="1940" priority="110">
      <formula>WEEKDAY(D$3,2)=6</formula>
    </cfRule>
  </conditionalFormatting>
  <conditionalFormatting sqref="D12">
    <cfRule type="expression" dxfId="1939" priority="108">
      <formula>SEARCH("X", $A$5) &gt; 0</formula>
    </cfRule>
  </conditionalFormatting>
  <conditionalFormatting sqref="D12">
    <cfRule type="expression" dxfId="1938" priority="107">
      <formula>SEARCH("X", $A$6) &gt; 0</formula>
    </cfRule>
  </conditionalFormatting>
  <conditionalFormatting sqref="D12">
    <cfRule type="expression" dxfId="1937" priority="106">
      <formula>SEARCH("X", $A$7) &gt; 0</formula>
    </cfRule>
  </conditionalFormatting>
  <conditionalFormatting sqref="J5">
    <cfRule type="expression" dxfId="1936" priority="104">
      <formula>WEEKDAY(J$3,2)=7</formula>
    </cfRule>
    <cfRule type="expression" dxfId="1935" priority="105">
      <formula>WEEKDAY(J$3,2)=6</formula>
    </cfRule>
  </conditionalFormatting>
  <conditionalFormatting sqref="J5">
    <cfRule type="expression" dxfId="1934" priority="103">
      <formula>SEARCH("X", $A$5) &gt; 0</formula>
    </cfRule>
  </conditionalFormatting>
  <conditionalFormatting sqref="J11">
    <cfRule type="expression" dxfId="1933" priority="102">
      <formula>SEARCH("X", $A$5) &gt; 0</formula>
    </cfRule>
  </conditionalFormatting>
  <conditionalFormatting sqref="J9">
    <cfRule type="expression" dxfId="1932" priority="101">
      <formula>SEARCH("X", $A$5) &gt; 0</formula>
    </cfRule>
  </conditionalFormatting>
  <conditionalFormatting sqref="J6">
    <cfRule type="expression" dxfId="1931" priority="99">
      <formula>WEEKDAY(J$3,2)=7</formula>
    </cfRule>
    <cfRule type="expression" dxfId="1930" priority="100">
      <formula>WEEKDAY(J$3,2)=6</formula>
    </cfRule>
  </conditionalFormatting>
  <conditionalFormatting sqref="J6">
    <cfRule type="expression" dxfId="1929" priority="98">
      <formula>SEARCH("X", $A$5) &gt; 0</formula>
    </cfRule>
  </conditionalFormatting>
  <conditionalFormatting sqref="Q6">
    <cfRule type="expression" dxfId="1928" priority="96">
      <formula>WEEKDAY(Q$3,2)=7</formula>
    </cfRule>
    <cfRule type="expression" dxfId="1927" priority="97">
      <formula>WEEKDAY(Q$3,2)=6</formula>
    </cfRule>
  </conditionalFormatting>
  <conditionalFormatting sqref="Q6">
    <cfRule type="expression" dxfId="1926" priority="95">
      <formula>SEARCH("X", $A$5) &gt; 0</formula>
    </cfRule>
  </conditionalFormatting>
  <conditionalFormatting sqref="Q8:Q12">
    <cfRule type="expression" dxfId="1925" priority="93">
      <formula>WEEKDAY(Q$3,2)=7</formula>
    </cfRule>
    <cfRule type="expression" dxfId="1924" priority="94">
      <formula>WEEKDAY(Q$3,2)=6</formula>
    </cfRule>
  </conditionalFormatting>
  <conditionalFormatting sqref="Q8:Q12">
    <cfRule type="expression" dxfId="1923" priority="92">
      <formula>SEARCH("X", $A$5) &gt; 0</formula>
    </cfRule>
  </conditionalFormatting>
  <conditionalFormatting sqref="X9:X12">
    <cfRule type="expression" dxfId="1922" priority="90">
      <formula>WEEKDAY(X$3,2)=7</formula>
    </cfRule>
    <cfRule type="expression" dxfId="1921" priority="91">
      <formula>WEEKDAY(X$3,2)=6</formula>
    </cfRule>
  </conditionalFormatting>
  <conditionalFormatting sqref="X9:X12">
    <cfRule type="expression" dxfId="1920" priority="89">
      <formula>SEARCH("X", $A$5) &gt; 0</formula>
    </cfRule>
  </conditionalFormatting>
  <conditionalFormatting sqref="X7">
    <cfRule type="expression" dxfId="1919" priority="87">
      <formula>WEEKDAY(X$3,2)=7</formula>
    </cfRule>
    <cfRule type="expression" dxfId="1918" priority="88">
      <formula>WEEKDAY(X$3,2)=6</formula>
    </cfRule>
  </conditionalFormatting>
  <conditionalFormatting sqref="X7">
    <cfRule type="expression" dxfId="1917" priority="86">
      <formula>SEARCH("X", $A$5) &gt; 0</formula>
    </cfRule>
  </conditionalFormatting>
  <conditionalFormatting sqref="X5">
    <cfRule type="expression" dxfId="1916" priority="84">
      <formula>WEEKDAY(X$3,2)=7</formula>
    </cfRule>
    <cfRule type="expression" dxfId="1915" priority="85">
      <formula>WEEKDAY(X$3,2)=6</formula>
    </cfRule>
  </conditionalFormatting>
  <conditionalFormatting sqref="X5">
    <cfRule type="expression" dxfId="1914" priority="83">
      <formula>SEARCH("X", $A$5) &gt; 0</formula>
    </cfRule>
  </conditionalFormatting>
  <conditionalFormatting sqref="AC7">
    <cfRule type="expression" dxfId="1913" priority="67">
      <formula>SEARCH("X", $A$5) &gt; 0</formula>
    </cfRule>
  </conditionalFormatting>
  <conditionalFormatting sqref="AC9 AC7">
    <cfRule type="expression" dxfId="1912" priority="54">
      <formula>SEARCH("X", $A$5) &gt; 0</formula>
    </cfRule>
  </conditionalFormatting>
  <conditionalFormatting sqref="AC12 AC6">
    <cfRule type="expression" dxfId="1911" priority="42">
      <formula>WEEKDAY(AC$3,2)=7</formula>
    </cfRule>
    <cfRule type="expression" dxfId="1910" priority="43">
      <formula>WEEKDAY(AC$3,2)=6</formula>
    </cfRule>
  </conditionalFormatting>
  <conditionalFormatting sqref="AC12 AC9 AC6:AC7">
    <cfRule type="expression" dxfId="1909" priority="41">
      <formula>SEARCH("X", $A$5) &gt; 0</formula>
    </cfRule>
  </conditionalFormatting>
  <conditionalFormatting sqref="AC12 AC6">
    <cfRule type="expression" dxfId="1908" priority="40">
      <formula>SEARCH("X", $A$11) &gt; 0</formula>
    </cfRule>
  </conditionalFormatting>
  <conditionalFormatting sqref="AC12 AC6">
    <cfRule type="expression" dxfId="1907" priority="39">
      <formula>SEARCH("X", $A$11) &gt; 0</formula>
    </cfRule>
  </conditionalFormatting>
  <conditionalFormatting sqref="AC12 AC6">
    <cfRule type="expression" dxfId="1906" priority="38">
      <formula>SEARCH("X", $A$11) &gt; 0</formula>
    </cfRule>
  </conditionalFormatting>
  <conditionalFormatting sqref="AC12 AC6">
    <cfRule type="expression" dxfId="1905" priority="37">
      <formula>SEARCH("X", $A$11) &gt; 0</formula>
    </cfRule>
  </conditionalFormatting>
  <conditionalFormatting sqref="AC12 AC6">
    <cfRule type="expression" dxfId="1904" priority="36">
      <formula>SEARCH("X", $A$11) &gt; 0</formula>
    </cfRule>
  </conditionalFormatting>
  <conditionalFormatting sqref="AC12 AC6">
    <cfRule type="expression" dxfId="1903" priority="35">
      <formula>SEARCH("X", $A$11) &gt; 0</formula>
    </cfRule>
  </conditionalFormatting>
  <conditionalFormatting sqref="AC12 AC6">
    <cfRule type="expression" dxfId="1902" priority="34">
      <formula>SEARCH("X", $A$11) &gt; 0</formula>
    </cfRule>
  </conditionalFormatting>
  <conditionalFormatting sqref="AC12 AC6">
    <cfRule type="expression" dxfId="1901" priority="33">
      <formula>SEARCH("X", $A$11) &gt; 0</formula>
    </cfRule>
  </conditionalFormatting>
  <conditionalFormatting sqref="AC12 AC6">
    <cfRule type="expression" dxfId="1900" priority="32">
      <formula>SEARCH("X", $A$11) &gt; 0</formula>
    </cfRule>
  </conditionalFormatting>
  <conditionalFormatting sqref="AC12 AC6">
    <cfRule type="expression" dxfId="1899" priority="31">
      <formula>SEARCH("X", $A$11) &gt; 0</formula>
    </cfRule>
  </conditionalFormatting>
  <conditionalFormatting sqref="G12">
    <cfRule type="expression" dxfId="1898" priority="29">
      <formula>WEEKDAY(G$3,2)=7</formula>
    </cfRule>
    <cfRule type="expression" dxfId="1897" priority="30">
      <formula>WEEKDAY(G$3,2)=6</formula>
    </cfRule>
  </conditionalFormatting>
  <conditionalFormatting sqref="G12">
    <cfRule type="expression" dxfId="1896" priority="28">
      <formula>SEARCH("X", $A$6) &gt; 0</formula>
    </cfRule>
  </conditionalFormatting>
  <conditionalFormatting sqref="M5">
    <cfRule type="expression" dxfId="1895" priority="27">
      <formula>SEARCH("X", $A$6) &gt; 0</formula>
    </cfRule>
  </conditionalFormatting>
  <conditionalFormatting sqref="F6">
    <cfRule type="expression" dxfId="1894" priority="26">
      <formula>SEARCH("X", $A$5) &gt; 0</formula>
    </cfRule>
  </conditionalFormatting>
  <conditionalFormatting sqref="U6">
    <cfRule type="expression" dxfId="1893" priority="24">
      <formula>WEEKDAY(U$3,2)=7</formula>
    </cfRule>
    <cfRule type="expression" dxfId="1892" priority="25">
      <formula>WEEKDAY(U$3,2)=6</formula>
    </cfRule>
  </conditionalFormatting>
  <conditionalFormatting sqref="U6">
    <cfRule type="expression" dxfId="1891" priority="23">
      <formula>SEARCH("X", $A$5) &gt; 0</formula>
    </cfRule>
  </conditionalFormatting>
  <conditionalFormatting sqref="W6">
    <cfRule type="expression" dxfId="1890" priority="22">
      <formula>SEARCH("X", $A$5) &gt; 0</formula>
    </cfRule>
  </conditionalFormatting>
  <conditionalFormatting sqref="M8">
    <cfRule type="expression" dxfId="1889" priority="21">
      <formula>SEARCH("X", $A$7) &gt; 0</formula>
    </cfRule>
  </conditionalFormatting>
  <conditionalFormatting sqref="S9">
    <cfRule type="expression" dxfId="1888" priority="20">
      <formula>SEARCH("X", $A$8) &gt; 0</formula>
    </cfRule>
  </conditionalFormatting>
  <conditionalFormatting sqref="T9">
    <cfRule type="expression" dxfId="1887" priority="19">
      <formula>SEARCH("X", $A$8) &gt; 0</formula>
    </cfRule>
  </conditionalFormatting>
  <conditionalFormatting sqref="U10">
    <cfRule type="expression" dxfId="1886" priority="15">
      <formula>SEARCH("X", $A$8) &gt; 0</formula>
    </cfRule>
  </conditionalFormatting>
  <conditionalFormatting sqref="U9">
    <cfRule type="expression" dxfId="1885" priority="18">
      <formula>SEARCH("X", $A$8) &gt; 0</formula>
    </cfRule>
  </conditionalFormatting>
  <conditionalFormatting sqref="V9">
    <cfRule type="expression" dxfId="1884" priority="17">
      <formula>SEARCH("X", $A$8) &gt; 0</formula>
    </cfRule>
  </conditionalFormatting>
  <conditionalFormatting sqref="U10">
    <cfRule type="expression" dxfId="1883" priority="16">
      <formula>SEARCH("X", $A$9) &gt; 0</formula>
    </cfRule>
  </conditionalFormatting>
  <conditionalFormatting sqref="P2">
    <cfRule type="expression" dxfId="1882" priority="13">
      <formula>WEEKDAY(P$3,2)=7</formula>
    </cfRule>
    <cfRule type="expression" dxfId="1881" priority="14">
      <formula>WEEKDAY(P$3,2)=6</formula>
    </cfRule>
  </conditionalFormatting>
  <conditionalFormatting sqref="P2">
    <cfRule type="expression" dxfId="1880" priority="12">
      <formula>SEARCH("X", $A$7) &gt; 0</formula>
    </cfRule>
  </conditionalFormatting>
  <conditionalFormatting sqref="P2">
    <cfRule type="expression" dxfId="1879" priority="11">
      <formula>SEARCH("X", $A$8) &gt; 0</formula>
    </cfRule>
  </conditionalFormatting>
  <conditionalFormatting sqref="P7">
    <cfRule type="expression" dxfId="1878" priority="10">
      <formula>SEARCH("X", $A$9) &gt; 0</formula>
    </cfRule>
  </conditionalFormatting>
  <conditionalFormatting sqref="P12">
    <cfRule type="expression" dxfId="1877" priority="8">
      <formula>WEEKDAY(P$3,2)=7</formula>
    </cfRule>
    <cfRule type="expression" dxfId="1876" priority="9">
      <formula>WEEKDAY(P$3,2)=6</formula>
    </cfRule>
  </conditionalFormatting>
  <conditionalFormatting sqref="P12">
    <cfRule type="expression" dxfId="1875" priority="7">
      <formula>SEARCH("X", $A$8) &gt; 0</formula>
    </cfRule>
  </conditionalFormatting>
  <conditionalFormatting sqref="P12">
    <cfRule type="expression" dxfId="1874" priority="6">
      <formula>SEARCH("X", $A$9) &gt; 0</formula>
    </cfRule>
  </conditionalFormatting>
  <conditionalFormatting sqref="P8">
    <cfRule type="expression" dxfId="1873" priority="5">
      <formula>SEARCH("X", $A$9) &gt; 0</formula>
    </cfRule>
  </conditionalFormatting>
  <conditionalFormatting sqref="T7">
    <cfRule type="expression" dxfId="1872" priority="4">
      <formula>SEARCH("X", $A$8) &gt; 0</formula>
    </cfRule>
  </conditionalFormatting>
  <conditionalFormatting sqref="AB10">
    <cfRule type="expression" dxfId="1871" priority="2">
      <formula>WEEKDAY(AB$3,2)=7</formula>
    </cfRule>
    <cfRule type="expression" dxfId="1870" priority="3">
      <formula>WEEKDAY(AB$3,2)=6</formula>
    </cfRule>
  </conditionalFormatting>
  <conditionalFormatting sqref="AB10">
    <cfRule type="expression" dxfId="1869" priority="1">
      <formula>SEARCH("X", $A$10) &gt; 0</formula>
    </cfRule>
  </conditionalFormatting>
  <conditionalFormatting sqref="V13">
    <cfRule type="expression" dxfId="1868" priority="3038" stopIfTrue="1">
      <formula>8-COUNTIF(V$5:V$11,"off")&lt;&gt;V$13</formula>
    </cfRule>
  </conditionalFormatting>
  <dataValidations count="12">
    <dataValidation type="list" allowBlank="1" showInputMessage="1" showErrorMessage="1" sqref="A12" xr:uid="{C0A80793-DD9F-41B0-95B6-C748D20FAD94}">
      <formula1>$AI$23:$AJ$23</formula1>
    </dataValidation>
    <dataValidation type="list" allowBlank="1" showInputMessage="1" showErrorMessage="1" sqref="A11" xr:uid="{1A7726A5-4F00-46CD-885D-D12B0D8313B9}">
      <formula1>$AI$22:$AJ$22</formula1>
    </dataValidation>
    <dataValidation type="list" allowBlank="1" showInputMessage="1" showErrorMessage="1" sqref="A5" xr:uid="{9D52C1B5-2831-4206-8878-6A06D4BAE5EF}">
      <formula1>$AI$16:$AJ$16</formula1>
    </dataValidation>
    <dataValidation type="list" allowBlank="1" showInputMessage="1" showErrorMessage="1" sqref="A7" xr:uid="{F58654C2-46A3-423B-BC6D-EEA10E0B9D33}">
      <formula1>$AI$18:$AJ$18</formula1>
    </dataValidation>
    <dataValidation type="list" allowBlank="1" showInputMessage="1" showErrorMessage="1" sqref="A8" xr:uid="{099333F0-F3D5-44E6-969A-E6B1D25D6344}">
      <formula1>$AI$19:$AJ$19</formula1>
    </dataValidation>
    <dataValidation type="list" allowBlank="1" showInputMessage="1" showErrorMessage="1" sqref="A6" xr:uid="{35528858-375B-4C5A-B41B-B5B2B249E53E}">
      <formula1>$AI$17:$AJ$17</formula1>
    </dataValidation>
    <dataValidation type="list" allowBlank="1" showInputMessage="1" showErrorMessage="1" sqref="A9" xr:uid="{E3157D5C-8549-4502-88D6-6EF2938ED2FB}">
      <formula1>$AI$20:$AJ$20</formula1>
    </dataValidation>
    <dataValidation type="list" allowBlank="1" showInputMessage="1" showErrorMessage="1" sqref="A10" xr:uid="{75EBBAA4-8AE5-4D96-A516-B2929348C448}">
      <formula1>$AI$21:$AJ$21</formula1>
    </dataValidation>
    <dataValidation type="list" allowBlank="1" showInputMessage="1" sqref="P2 B5:U12 W5:AF12 V5:V11" xr:uid="{1DFC71F7-0965-4574-A6F8-E65F437A4E17}">
      <formula1>$AH$14:$AH$24</formula1>
    </dataValidation>
    <dataValidation type="list" allowBlank="1" showInputMessage="1" showErrorMessage="1" sqref="C16:D23" xr:uid="{0B307044-28CE-41A1-BAAA-8FE219A846B2}">
      <formula1>$AM$17:$AM$20</formula1>
    </dataValidation>
    <dataValidation type="list" allowBlank="1" showInputMessage="1" sqref="A13:A14" xr:uid="{29682D3A-A944-4BC9-B0C8-B7205A4433A3}">
      <formula1>$AI$23:$AJ$23</formula1>
    </dataValidation>
    <dataValidation type="list" allowBlank="1" showInputMessage="1" showErrorMessage="1" sqref="E16:F23" xr:uid="{6E65707F-026B-4B8B-85D9-EA9D2648AC6C}">
      <formula1>$A$5:$A$12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57C5-3D3C-498F-9204-ADD6FCE50D2C}">
  <sheetPr codeName="工作表10">
    <pageSetUpPr fitToPage="1"/>
  </sheetPr>
  <dimension ref="A1:AM34"/>
  <sheetViews>
    <sheetView zoomScale="55" zoomScaleNormal="55" workbookViewId="0">
      <selection activeCell="AF20" sqref="AF20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419"/>
      <c r="C2" s="1"/>
      <c r="D2" s="1"/>
      <c r="F2" s="1"/>
      <c r="G2" s="26">
        <v>2025</v>
      </c>
      <c r="H2" s="27" t="str">
        <f>"("&amp;YEAR(B3)-1911&amp;" 年 "&amp;")"</f>
        <v>(114 年 )</v>
      </c>
      <c r="I2" s="22"/>
      <c r="J2" s="23">
        <v>3</v>
      </c>
      <c r="K2" s="28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9" ht="27.5">
      <c r="A3" s="19" t="s">
        <v>1</v>
      </c>
      <c r="B3" s="30">
        <f>DATE($G$2,$J$2,1)</f>
        <v>45717</v>
      </c>
      <c r="C3" s="30">
        <f>B3+1</f>
        <v>45718</v>
      </c>
      <c r="D3" s="30">
        <f t="shared" ref="D3:AB3" si="0">C3+1</f>
        <v>45719</v>
      </c>
      <c r="E3" s="30">
        <f t="shared" si="0"/>
        <v>45720</v>
      </c>
      <c r="F3" s="30">
        <f t="shared" si="0"/>
        <v>45721</v>
      </c>
      <c r="G3" s="30">
        <f t="shared" si="0"/>
        <v>45722</v>
      </c>
      <c r="H3" s="30">
        <f t="shared" si="0"/>
        <v>45723</v>
      </c>
      <c r="I3" s="30">
        <f t="shared" si="0"/>
        <v>45724</v>
      </c>
      <c r="J3" s="30">
        <f t="shared" si="0"/>
        <v>45725</v>
      </c>
      <c r="K3" s="30">
        <f t="shared" si="0"/>
        <v>45726</v>
      </c>
      <c r="L3" s="30">
        <f t="shared" si="0"/>
        <v>45727</v>
      </c>
      <c r="M3" s="30">
        <f t="shared" si="0"/>
        <v>45728</v>
      </c>
      <c r="N3" s="30">
        <f t="shared" si="0"/>
        <v>45729</v>
      </c>
      <c r="O3" s="30">
        <f t="shared" si="0"/>
        <v>45730</v>
      </c>
      <c r="P3" s="30">
        <f t="shared" si="0"/>
        <v>45731</v>
      </c>
      <c r="Q3" s="30">
        <f t="shared" si="0"/>
        <v>45732</v>
      </c>
      <c r="R3" s="30">
        <f t="shared" si="0"/>
        <v>45733</v>
      </c>
      <c r="S3" s="30">
        <f t="shared" si="0"/>
        <v>45734</v>
      </c>
      <c r="T3" s="30">
        <f t="shared" si="0"/>
        <v>45735</v>
      </c>
      <c r="U3" s="30">
        <f t="shared" si="0"/>
        <v>45736</v>
      </c>
      <c r="V3" s="30">
        <f t="shared" si="0"/>
        <v>45737</v>
      </c>
      <c r="W3" s="30">
        <f t="shared" si="0"/>
        <v>45738</v>
      </c>
      <c r="X3" s="30">
        <f t="shared" si="0"/>
        <v>45739</v>
      </c>
      <c r="Y3" s="30">
        <f t="shared" si="0"/>
        <v>45740</v>
      </c>
      <c r="Z3" s="30">
        <f t="shared" si="0"/>
        <v>45741</v>
      </c>
      <c r="AA3" s="30">
        <f t="shared" si="0"/>
        <v>45742</v>
      </c>
      <c r="AB3" s="30">
        <f t="shared" si="0"/>
        <v>45743</v>
      </c>
      <c r="AC3" s="30">
        <f>IFERROR(IF(MONTH(AB3+1)=$J$2,AB3+1,""),"")</f>
        <v>45744</v>
      </c>
      <c r="AD3" s="30">
        <f>IFERROR(IF(MONTH(AC3+1)=$J$2,AC3+1,""),"")</f>
        <v>45745</v>
      </c>
      <c r="AE3" s="30">
        <f>IFERROR(IF(MONTH(AD3+1)=$J$2,AD3+1,""),"")</f>
        <v>45746</v>
      </c>
      <c r="AF3" s="30">
        <f>IFERROR(IF(MONTH(AE3+1)=$J$2,AE3+1,""),"")</f>
        <v>45747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3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6</v>
      </c>
      <c r="C4" s="31" t="str">
        <f>IFERROR(IF(WEEKDAY(C3,2)=7,"日",WEEKDAY(C3,2)),"")</f>
        <v>日</v>
      </c>
      <c r="D4" s="31">
        <f t="shared" si="1"/>
        <v>1</v>
      </c>
      <c r="E4" s="31">
        <f t="shared" si="1"/>
        <v>2</v>
      </c>
      <c r="F4" s="31">
        <f t="shared" si="1"/>
        <v>3</v>
      </c>
      <c r="G4" s="31">
        <f t="shared" si="1"/>
        <v>4</v>
      </c>
      <c r="H4" s="31">
        <f t="shared" si="1"/>
        <v>5</v>
      </c>
      <c r="I4" s="31">
        <f t="shared" si="1"/>
        <v>6</v>
      </c>
      <c r="J4" s="31" t="str">
        <f t="shared" si="1"/>
        <v>日</v>
      </c>
      <c r="K4" s="31">
        <f t="shared" si="1"/>
        <v>1</v>
      </c>
      <c r="L4" s="31">
        <f t="shared" si="1"/>
        <v>2</v>
      </c>
      <c r="M4" s="31">
        <f t="shared" si="1"/>
        <v>3</v>
      </c>
      <c r="N4" s="31">
        <f t="shared" si="1"/>
        <v>4</v>
      </c>
      <c r="O4" s="31">
        <f t="shared" si="1"/>
        <v>5</v>
      </c>
      <c r="P4" s="31">
        <f t="shared" si="1"/>
        <v>6</v>
      </c>
      <c r="Q4" s="31" t="str">
        <f t="shared" si="1"/>
        <v>日</v>
      </c>
      <c r="R4" s="31">
        <f t="shared" si="1"/>
        <v>1</v>
      </c>
      <c r="S4" s="31">
        <f t="shared" si="1"/>
        <v>2</v>
      </c>
      <c r="T4" s="31">
        <f t="shared" si="1"/>
        <v>3</v>
      </c>
      <c r="U4" s="31">
        <f t="shared" si="1"/>
        <v>4</v>
      </c>
      <c r="V4" s="31">
        <f t="shared" si="1"/>
        <v>5</v>
      </c>
      <c r="W4" s="31">
        <f t="shared" si="1"/>
        <v>6</v>
      </c>
      <c r="X4" s="31" t="str">
        <f t="shared" si="1"/>
        <v>日</v>
      </c>
      <c r="Y4" s="31">
        <f t="shared" si="1"/>
        <v>1</v>
      </c>
      <c r="Z4" s="31">
        <f t="shared" si="1"/>
        <v>2</v>
      </c>
      <c r="AA4" s="31">
        <f t="shared" si="1"/>
        <v>3</v>
      </c>
      <c r="AB4" s="31">
        <f t="shared" si="1"/>
        <v>4</v>
      </c>
      <c r="AC4" s="31">
        <f t="shared" si="1"/>
        <v>5</v>
      </c>
      <c r="AD4" s="31">
        <f t="shared" si="1"/>
        <v>6</v>
      </c>
      <c r="AE4" s="31" t="str">
        <f t="shared" si="1"/>
        <v>日</v>
      </c>
      <c r="AF4" s="31">
        <f t="shared" si="1"/>
        <v>1</v>
      </c>
      <c r="AG4" s="420" t="s">
        <v>42</v>
      </c>
      <c r="AH4" s="421"/>
      <c r="AI4" s="421"/>
      <c r="AJ4" s="421"/>
      <c r="AK4" s="421"/>
      <c r="AL4" s="422"/>
      <c r="AM4" s="174"/>
    </row>
    <row r="5" spans="1:39" ht="21.5">
      <c r="A5" s="6" t="s">
        <v>9</v>
      </c>
      <c r="B5" s="33" t="s">
        <v>7</v>
      </c>
      <c r="C5" s="88" t="s">
        <v>293</v>
      </c>
      <c r="D5" s="88"/>
      <c r="E5" s="88" t="s">
        <v>7</v>
      </c>
      <c r="F5" s="88"/>
      <c r="G5" s="88" t="s">
        <v>7</v>
      </c>
      <c r="H5" s="88" t="s">
        <v>293</v>
      </c>
      <c r="I5" s="88"/>
      <c r="J5" s="88" t="s">
        <v>7</v>
      </c>
      <c r="K5" s="88"/>
      <c r="L5" s="88"/>
      <c r="M5" s="88"/>
      <c r="N5" s="33"/>
      <c r="O5" s="33" t="s">
        <v>2</v>
      </c>
      <c r="P5" s="33" t="s">
        <v>2</v>
      </c>
      <c r="Q5" s="33" t="s">
        <v>2</v>
      </c>
      <c r="R5" s="33" t="s">
        <v>2</v>
      </c>
      <c r="S5" s="33" t="s">
        <v>2</v>
      </c>
      <c r="T5" s="33" t="s">
        <v>2</v>
      </c>
      <c r="U5" s="33" t="s">
        <v>2</v>
      </c>
      <c r="V5" s="33" t="s">
        <v>2</v>
      </c>
      <c r="W5" s="33" t="s">
        <v>2</v>
      </c>
      <c r="X5" s="33" t="s">
        <v>2</v>
      </c>
      <c r="Y5" s="33" t="s">
        <v>2</v>
      </c>
      <c r="Z5" s="33" t="s">
        <v>2</v>
      </c>
      <c r="AA5" s="33" t="s">
        <v>2</v>
      </c>
      <c r="AB5" s="33" t="s">
        <v>2</v>
      </c>
      <c r="AC5" s="33" t="s">
        <v>6</v>
      </c>
      <c r="AD5" s="88" t="s">
        <v>6</v>
      </c>
      <c r="AE5" s="88" t="s">
        <v>6</v>
      </c>
      <c r="AF5" s="88" t="s">
        <v>6</v>
      </c>
      <c r="AG5" s="3">
        <f>(AH5*12)+(AI5*12)+(AK5*8)+(AL5*4)</f>
        <v>148</v>
      </c>
      <c r="AH5" s="3">
        <f t="shared" ref="AH5:AH11" si="2">COUNTIF(B5:AF5,"D")</f>
        <v>4</v>
      </c>
      <c r="AI5" s="3">
        <f t="shared" ref="AI5:AI11" si="3">COUNTIF(B5:AF5,"N")</f>
        <v>4</v>
      </c>
      <c r="AJ5" s="3">
        <f t="shared" ref="AJ5:AJ11" si="4">COUNTIF(B5:AF5,"OFF")+COUNTIF(B5:AF5,"上課")</f>
        <v>16</v>
      </c>
      <c r="AK5" s="3">
        <f t="shared" ref="AK5:AK11" si="5">COUNTIF(B5:AF5,"")-AL5+COUNTIF(B5:AF5,"h3")</f>
        <v>6</v>
      </c>
      <c r="AL5" s="3">
        <f t="shared" ref="AL5:AL11" si="6">COUNTIFS($B$4:$AF$4,"6",B5:AF5,"")+COUNTIF(B5:AF5,"h3")</f>
        <v>1</v>
      </c>
      <c r="AM5" s="3">
        <f t="array" ref="AM5">SUMPRODUCT(($B$4:$AF$4=6)*(B5:AF5="off"))</f>
        <v>2</v>
      </c>
    </row>
    <row r="6" spans="1:39" ht="21.5">
      <c r="A6" s="6" t="s">
        <v>45</v>
      </c>
      <c r="B6" s="33" t="s">
        <v>2</v>
      </c>
      <c r="C6" s="88" t="s">
        <v>293</v>
      </c>
      <c r="D6" s="88" t="s">
        <v>2</v>
      </c>
      <c r="E6" s="88" t="s">
        <v>6</v>
      </c>
      <c r="F6" s="88" t="s">
        <v>6</v>
      </c>
      <c r="G6" s="33" t="s">
        <v>2</v>
      </c>
      <c r="H6" s="33" t="s">
        <v>2</v>
      </c>
      <c r="I6" s="88" t="s">
        <v>7</v>
      </c>
      <c r="J6" s="88" t="s">
        <v>293</v>
      </c>
      <c r="K6" s="33"/>
      <c r="L6" s="33" t="s">
        <v>7</v>
      </c>
      <c r="M6" s="33" t="s">
        <v>2</v>
      </c>
      <c r="N6" s="33"/>
      <c r="O6" s="33" t="s">
        <v>2</v>
      </c>
      <c r="P6" s="33"/>
      <c r="Q6" s="33" t="s">
        <v>293</v>
      </c>
      <c r="R6" s="33"/>
      <c r="S6" s="88"/>
      <c r="T6" s="88" t="s">
        <v>7</v>
      </c>
      <c r="U6" s="33" t="s">
        <v>2</v>
      </c>
      <c r="V6" s="33" t="s">
        <v>6</v>
      </c>
      <c r="W6" s="33" t="s">
        <v>6</v>
      </c>
      <c r="X6" s="33" t="s">
        <v>6</v>
      </c>
      <c r="Y6" s="88" t="s">
        <v>2</v>
      </c>
      <c r="Z6" s="88"/>
      <c r="AA6" s="88"/>
      <c r="AB6" s="33" t="s">
        <v>7</v>
      </c>
      <c r="AC6" s="33" t="s">
        <v>2</v>
      </c>
      <c r="AD6" s="88" t="s">
        <v>2</v>
      </c>
      <c r="AE6" s="33" t="s">
        <v>2</v>
      </c>
      <c r="AF6" s="33" t="s">
        <v>2</v>
      </c>
      <c r="AG6" s="3">
        <f>(AH6*12)+(AI6*12)+(AK6*8)+(AL6*4)</f>
        <v>160</v>
      </c>
      <c r="AH6" s="3">
        <f t="shared" si="2"/>
        <v>4</v>
      </c>
      <c r="AI6" s="3">
        <f t="shared" si="3"/>
        <v>5</v>
      </c>
      <c r="AJ6" s="3">
        <f t="shared" si="4"/>
        <v>15</v>
      </c>
      <c r="AK6" s="3">
        <f t="shared" si="5"/>
        <v>6</v>
      </c>
      <c r="AL6" s="3">
        <f t="shared" si="6"/>
        <v>1</v>
      </c>
      <c r="AM6" s="3">
        <f t="array" ref="AM6">SUMPRODUCT(($B$4:$AF$4=6)*(B6:AF6="off"))</f>
        <v>2</v>
      </c>
    </row>
    <row r="7" spans="1:39" ht="21.5">
      <c r="A7" s="6" t="s">
        <v>17</v>
      </c>
      <c r="B7" s="88"/>
      <c r="C7" s="33" t="s">
        <v>293</v>
      </c>
      <c r="D7" s="33" t="s">
        <v>293</v>
      </c>
      <c r="E7" s="33" t="s">
        <v>293</v>
      </c>
      <c r="F7" s="33" t="s">
        <v>293</v>
      </c>
      <c r="G7" s="33" t="s">
        <v>293</v>
      </c>
      <c r="H7" s="33" t="s">
        <v>293</v>
      </c>
      <c r="I7" s="33" t="s">
        <v>293</v>
      </c>
      <c r="J7" s="88" t="s">
        <v>293</v>
      </c>
      <c r="K7" s="88" t="s">
        <v>7</v>
      </c>
      <c r="L7" s="88"/>
      <c r="M7" s="88" t="s">
        <v>7</v>
      </c>
      <c r="N7" s="88" t="s">
        <v>2</v>
      </c>
      <c r="O7" s="88" t="s">
        <v>7</v>
      </c>
      <c r="P7" s="88"/>
      <c r="Q7" s="33" t="s">
        <v>2</v>
      </c>
      <c r="R7" s="88" t="s">
        <v>7</v>
      </c>
      <c r="S7" s="88"/>
      <c r="T7" s="88" t="s">
        <v>2</v>
      </c>
      <c r="U7" s="88" t="s">
        <v>7</v>
      </c>
      <c r="V7" s="88"/>
      <c r="W7" s="88"/>
      <c r="X7" s="33" t="s">
        <v>7</v>
      </c>
      <c r="Y7" s="88"/>
      <c r="Z7" s="88" t="s">
        <v>2</v>
      </c>
      <c r="AA7" s="88" t="s">
        <v>7</v>
      </c>
      <c r="AB7" s="88"/>
      <c r="AC7" s="88" t="s">
        <v>7</v>
      </c>
      <c r="AD7" s="88"/>
      <c r="AE7" s="88" t="s">
        <v>2</v>
      </c>
      <c r="AF7" s="88" t="s">
        <v>4</v>
      </c>
      <c r="AG7" s="3">
        <f t="shared" ref="AG7:AG12" si="7">(AH7*12)+(AI7*12)+(AK7*8)+(AL7*4)</f>
        <v>152</v>
      </c>
      <c r="AH7" s="3">
        <f t="shared" si="2"/>
        <v>8</v>
      </c>
      <c r="AI7" s="3">
        <f t="shared" si="3"/>
        <v>0</v>
      </c>
      <c r="AJ7" s="3">
        <f t="shared" si="4"/>
        <v>14</v>
      </c>
      <c r="AK7" s="3">
        <f t="shared" si="5"/>
        <v>5</v>
      </c>
      <c r="AL7" s="3">
        <f t="shared" si="6"/>
        <v>4</v>
      </c>
      <c r="AM7" s="3">
        <f t="array" ref="AM7">SUMPRODUCT(($B$4:$AF$4=6)*(B7:AF7="off"))</f>
        <v>1</v>
      </c>
    </row>
    <row r="8" spans="1:39" ht="21.5">
      <c r="A8" s="6" t="s">
        <v>46</v>
      </c>
      <c r="B8" s="88" t="s">
        <v>293</v>
      </c>
      <c r="C8" s="88" t="s">
        <v>293</v>
      </c>
      <c r="D8" s="88" t="s">
        <v>7</v>
      </c>
      <c r="E8" s="33"/>
      <c r="F8" s="88" t="s">
        <v>7</v>
      </c>
      <c r="G8" s="88"/>
      <c r="H8" s="88" t="s">
        <v>7</v>
      </c>
      <c r="I8" s="88"/>
      <c r="J8" s="88" t="s">
        <v>293</v>
      </c>
      <c r="K8" s="88" t="s">
        <v>6</v>
      </c>
      <c r="L8" s="88" t="s">
        <v>6</v>
      </c>
      <c r="M8" s="88" t="s">
        <v>6</v>
      </c>
      <c r="N8" s="88" t="s">
        <v>6</v>
      </c>
      <c r="O8" s="33" t="s">
        <v>2</v>
      </c>
      <c r="P8" s="33" t="s">
        <v>2</v>
      </c>
      <c r="Q8" s="33" t="s">
        <v>2</v>
      </c>
      <c r="R8" s="33" t="s">
        <v>2</v>
      </c>
      <c r="S8" s="33" t="s">
        <v>2</v>
      </c>
      <c r="T8" s="33" t="s">
        <v>2</v>
      </c>
      <c r="U8" s="33" t="s">
        <v>2</v>
      </c>
      <c r="V8" s="33" t="s">
        <v>2</v>
      </c>
      <c r="W8" s="33" t="s">
        <v>2</v>
      </c>
      <c r="X8" s="33" t="s">
        <v>2</v>
      </c>
      <c r="Y8" s="33" t="s">
        <v>2</v>
      </c>
      <c r="Z8" s="33" t="s">
        <v>2</v>
      </c>
      <c r="AA8" s="33" t="s">
        <v>2</v>
      </c>
      <c r="AB8" s="33" t="s">
        <v>2</v>
      </c>
      <c r="AC8" s="33"/>
      <c r="AD8" s="88" t="s">
        <v>4</v>
      </c>
      <c r="AE8" s="33" t="s">
        <v>7</v>
      </c>
      <c r="AF8" s="88"/>
      <c r="AG8" s="3">
        <f t="shared" si="7"/>
        <v>132</v>
      </c>
      <c r="AH8" s="3">
        <f t="shared" si="2"/>
        <v>4</v>
      </c>
      <c r="AI8" s="3">
        <f t="shared" si="3"/>
        <v>4</v>
      </c>
      <c r="AJ8" s="3">
        <f t="shared" si="4"/>
        <v>18</v>
      </c>
      <c r="AK8" s="3">
        <f t="shared" si="5"/>
        <v>4</v>
      </c>
      <c r="AL8" s="3">
        <f t="shared" si="6"/>
        <v>1</v>
      </c>
      <c r="AM8" s="3">
        <f t="array" ref="AM8">SUMPRODUCT(($B$4:$AF$4=6)*(B8:AF8="off"))</f>
        <v>4</v>
      </c>
    </row>
    <row r="9" spans="1:39" ht="21.5">
      <c r="A9" s="6" t="s">
        <v>12</v>
      </c>
      <c r="B9" s="88" t="s">
        <v>4</v>
      </c>
      <c r="C9" s="88" t="s">
        <v>293</v>
      </c>
      <c r="D9" s="88" t="s">
        <v>2</v>
      </c>
      <c r="E9" s="88"/>
      <c r="F9" s="33"/>
      <c r="G9" s="33" t="s">
        <v>2</v>
      </c>
      <c r="H9" s="33"/>
      <c r="I9" s="88" t="s">
        <v>6</v>
      </c>
      <c r="J9" s="88" t="s">
        <v>6</v>
      </c>
      <c r="K9" s="83" t="s">
        <v>2</v>
      </c>
      <c r="L9" s="62" t="s">
        <v>293</v>
      </c>
      <c r="M9" s="88" t="s">
        <v>2</v>
      </c>
      <c r="N9" s="88" t="s">
        <v>2</v>
      </c>
      <c r="O9" s="88"/>
      <c r="P9" s="33" t="s">
        <v>7</v>
      </c>
      <c r="Q9" s="88" t="s">
        <v>293</v>
      </c>
      <c r="R9" s="88" t="s">
        <v>2</v>
      </c>
      <c r="S9" s="88" t="s">
        <v>7</v>
      </c>
      <c r="T9" s="88"/>
      <c r="U9" s="88"/>
      <c r="V9" s="88" t="s">
        <v>7</v>
      </c>
      <c r="W9" s="88" t="s">
        <v>2</v>
      </c>
      <c r="X9" s="88" t="s">
        <v>293</v>
      </c>
      <c r="Y9" s="88" t="s">
        <v>6</v>
      </c>
      <c r="Z9" s="88" t="s">
        <v>6</v>
      </c>
      <c r="AA9" s="88" t="s">
        <v>6</v>
      </c>
      <c r="AB9" s="88" t="s">
        <v>6</v>
      </c>
      <c r="AC9" s="88" t="s">
        <v>2</v>
      </c>
      <c r="AD9" s="33" t="s">
        <v>2</v>
      </c>
      <c r="AE9" s="88" t="s">
        <v>293</v>
      </c>
      <c r="AF9" s="88"/>
      <c r="AG9" s="3">
        <f t="shared" si="7"/>
        <v>164</v>
      </c>
      <c r="AH9" s="3">
        <f t="shared" si="2"/>
        <v>3</v>
      </c>
      <c r="AI9" s="3">
        <f t="shared" si="3"/>
        <v>6</v>
      </c>
      <c r="AJ9" s="3">
        <f t="shared" si="4"/>
        <v>15</v>
      </c>
      <c r="AK9" s="3">
        <f t="shared" si="5"/>
        <v>7</v>
      </c>
      <c r="AL9" s="3">
        <f t="shared" si="6"/>
        <v>0</v>
      </c>
      <c r="AM9" s="3">
        <f t="array" ref="AM9">SUMPRODUCT(($B$4:$AF$4=6)*(B9:AF9="off"))</f>
        <v>3</v>
      </c>
    </row>
    <row r="10" spans="1:39" ht="21.5">
      <c r="A10" s="6" t="s">
        <v>49</v>
      </c>
      <c r="B10" s="88"/>
      <c r="C10" s="88" t="s">
        <v>7</v>
      </c>
      <c r="D10" s="88"/>
      <c r="E10" s="88" t="s">
        <v>2</v>
      </c>
      <c r="F10" s="88" t="s">
        <v>2</v>
      </c>
      <c r="G10" s="88" t="s">
        <v>6</v>
      </c>
      <c r="H10" s="88" t="s">
        <v>6</v>
      </c>
      <c r="I10" s="88" t="s">
        <v>2</v>
      </c>
      <c r="J10" s="88" t="s">
        <v>293</v>
      </c>
      <c r="K10" s="83" t="s">
        <v>2</v>
      </c>
      <c r="L10" s="88" t="s">
        <v>2</v>
      </c>
      <c r="M10" s="88" t="s">
        <v>2</v>
      </c>
      <c r="N10" s="88" t="s">
        <v>2</v>
      </c>
      <c r="O10" s="88" t="s">
        <v>6</v>
      </c>
      <c r="P10" s="88" t="s">
        <v>6</v>
      </c>
      <c r="Q10" s="88" t="s">
        <v>6</v>
      </c>
      <c r="R10" s="88" t="s">
        <v>6</v>
      </c>
      <c r="S10" s="88" t="s">
        <v>2</v>
      </c>
      <c r="T10" s="88"/>
      <c r="U10" s="88"/>
      <c r="V10" s="88"/>
      <c r="W10" s="33" t="s">
        <v>7</v>
      </c>
      <c r="X10" s="88" t="s">
        <v>293</v>
      </c>
      <c r="Y10" s="88"/>
      <c r="Z10" s="88" t="s">
        <v>7</v>
      </c>
      <c r="AA10" s="88" t="s">
        <v>2</v>
      </c>
      <c r="AB10" s="88"/>
      <c r="AC10" s="88"/>
      <c r="AD10" s="88"/>
      <c r="AE10" s="88" t="s">
        <v>293</v>
      </c>
      <c r="AF10" s="88" t="s">
        <v>3</v>
      </c>
      <c r="AG10" s="3">
        <f t="shared" si="7"/>
        <v>184</v>
      </c>
      <c r="AH10" s="3">
        <f t="shared" si="2"/>
        <v>4</v>
      </c>
      <c r="AI10" s="3">
        <f t="shared" si="3"/>
        <v>6</v>
      </c>
      <c r="AJ10" s="3">
        <f t="shared" si="4"/>
        <v>12</v>
      </c>
      <c r="AK10" s="3">
        <f t="shared" si="5"/>
        <v>7</v>
      </c>
      <c r="AL10" s="3">
        <f t="shared" si="6"/>
        <v>2</v>
      </c>
      <c r="AM10" s="3">
        <f t="array" ref="AM10">SUMPRODUCT(($B$4:$AF$4=6)*(B10:AF10="off"))</f>
        <v>1</v>
      </c>
    </row>
    <row r="11" spans="1:39" ht="21.5">
      <c r="A11" s="6" t="s">
        <v>269</v>
      </c>
      <c r="B11" s="88"/>
      <c r="C11" s="88"/>
      <c r="D11" s="88"/>
      <c r="E11" s="88"/>
      <c r="F11" s="88"/>
      <c r="G11" s="88"/>
      <c r="H11" s="88"/>
      <c r="I11" s="33"/>
      <c r="J11" s="33"/>
      <c r="K11" s="33"/>
      <c r="L11" s="33"/>
      <c r="M11" s="33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3">
        <f t="shared" si="7"/>
        <v>228</v>
      </c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26</v>
      </c>
      <c r="AL11" s="3">
        <f t="shared" si="6"/>
        <v>5</v>
      </c>
      <c r="AM11" s="3">
        <f t="array" ref="AM11">SUMPRODUCT(($B$4:$AF$4=6)*(B11:AF11="off"))</f>
        <v>0</v>
      </c>
    </row>
    <row r="12" spans="1:39" ht="21.5">
      <c r="A12" s="6" t="s">
        <v>51</v>
      </c>
      <c r="B12" s="33" t="s">
        <v>6</v>
      </c>
      <c r="C12" s="33" t="s">
        <v>6</v>
      </c>
      <c r="D12" s="88" t="s">
        <v>6</v>
      </c>
      <c r="E12" s="88" t="s">
        <v>2</v>
      </c>
      <c r="F12" s="88" t="s">
        <v>2</v>
      </c>
      <c r="G12" s="88"/>
      <c r="H12" s="88"/>
      <c r="I12" s="33" t="s">
        <v>2</v>
      </c>
      <c r="J12" s="88" t="s">
        <v>2</v>
      </c>
      <c r="K12" s="88" t="s">
        <v>2</v>
      </c>
      <c r="L12" s="88" t="s">
        <v>2</v>
      </c>
      <c r="M12" s="88"/>
      <c r="N12" s="88" t="s">
        <v>7</v>
      </c>
      <c r="O12" s="88"/>
      <c r="P12" s="33" t="s">
        <v>2</v>
      </c>
      <c r="Q12" s="88" t="s">
        <v>7</v>
      </c>
      <c r="R12" s="88"/>
      <c r="S12" s="88" t="s">
        <v>6</v>
      </c>
      <c r="T12" s="88" t="s">
        <v>6</v>
      </c>
      <c r="U12" s="88" t="s">
        <v>6</v>
      </c>
      <c r="V12" s="88" t="s">
        <v>2</v>
      </c>
      <c r="W12" s="62"/>
      <c r="X12" s="88" t="s">
        <v>2</v>
      </c>
      <c r="Y12" s="88" t="s">
        <v>7</v>
      </c>
      <c r="Z12" s="88"/>
      <c r="AA12" s="88"/>
      <c r="AB12" s="33" t="s">
        <v>2</v>
      </c>
      <c r="AC12" s="33" t="s">
        <v>2</v>
      </c>
      <c r="AD12" s="33" t="s">
        <v>7</v>
      </c>
      <c r="AE12" s="88" t="s">
        <v>293</v>
      </c>
      <c r="AF12" s="88" t="s">
        <v>2</v>
      </c>
      <c r="AG12" s="3">
        <f t="shared" si="7"/>
        <v>180</v>
      </c>
      <c r="AH12" s="3">
        <f>COUNTIF(B12:AF12,"D")</f>
        <v>4</v>
      </c>
      <c r="AI12" s="3">
        <f>COUNTIF(B12:AF12,"N")</f>
        <v>6</v>
      </c>
      <c r="AJ12" s="3">
        <f>COUNTIF(B12:AF12,"OFF")+COUNTIF(B12:AF12,"上課")</f>
        <v>13</v>
      </c>
      <c r="AK12" s="3">
        <f>COUNTIF(B12:AF12,"")-AL12+COUNTIF(B12:AF12,"h3")</f>
        <v>7</v>
      </c>
      <c r="AL12" s="3">
        <f>COUNTIFS($B$4:$AF$4,"6",B12:AF12,"")+COUNTIF(B12:AF12,"h3")</f>
        <v>1</v>
      </c>
      <c r="AM12" s="3">
        <f t="array" ref="AM12">SUMPRODUCT(($B$4:$AF$4=6)*(B12:AF12="off"))</f>
        <v>2</v>
      </c>
    </row>
    <row r="13" spans="1:39" ht="21.5">
      <c r="A13" s="6" t="s">
        <v>277</v>
      </c>
      <c r="B13" s="172">
        <f>IF(B4="","",IF(B4="日",5,IF(B4=6,3,IF(B4&lt;6,3))))</f>
        <v>3</v>
      </c>
      <c r="C13" s="172">
        <f t="shared" ref="C13:AF13" si="8">IF(C4="","",IF(C4="日",5,IF(C4=6,3,IF(C4&lt;6,3))))</f>
        <v>5</v>
      </c>
      <c r="D13" s="172">
        <f t="shared" si="8"/>
        <v>3</v>
      </c>
      <c r="E13" s="172">
        <f t="shared" si="8"/>
        <v>3</v>
      </c>
      <c r="F13" s="172">
        <f t="shared" si="8"/>
        <v>3</v>
      </c>
      <c r="G13" s="172">
        <f t="shared" si="8"/>
        <v>3</v>
      </c>
      <c r="H13" s="172">
        <f t="shared" si="8"/>
        <v>3</v>
      </c>
      <c r="I13" s="172">
        <f t="shared" si="8"/>
        <v>3</v>
      </c>
      <c r="J13" s="172">
        <f t="shared" si="8"/>
        <v>5</v>
      </c>
      <c r="K13" s="172">
        <f t="shared" si="8"/>
        <v>3</v>
      </c>
      <c r="L13" s="172">
        <f t="shared" si="8"/>
        <v>3</v>
      </c>
      <c r="M13" s="172">
        <f t="shared" si="8"/>
        <v>3</v>
      </c>
      <c r="N13" s="172">
        <f t="shared" si="8"/>
        <v>3</v>
      </c>
      <c r="O13" s="172">
        <f t="shared" si="8"/>
        <v>3</v>
      </c>
      <c r="P13" s="172">
        <f t="shared" si="8"/>
        <v>3</v>
      </c>
      <c r="Q13" s="172">
        <f t="shared" si="8"/>
        <v>5</v>
      </c>
      <c r="R13" s="172">
        <f t="shared" si="8"/>
        <v>3</v>
      </c>
      <c r="S13" s="172">
        <f t="shared" si="8"/>
        <v>3</v>
      </c>
      <c r="T13" s="172">
        <f t="shared" si="8"/>
        <v>3</v>
      </c>
      <c r="U13" s="172">
        <f t="shared" si="8"/>
        <v>3</v>
      </c>
      <c r="V13" s="172">
        <f t="shared" si="8"/>
        <v>3</v>
      </c>
      <c r="W13" s="172">
        <f t="shared" si="8"/>
        <v>3</v>
      </c>
      <c r="X13" s="172">
        <f t="shared" si="8"/>
        <v>5</v>
      </c>
      <c r="Y13" s="172">
        <f t="shared" si="8"/>
        <v>3</v>
      </c>
      <c r="Z13" s="172">
        <f t="shared" si="8"/>
        <v>3</v>
      </c>
      <c r="AA13" s="172">
        <f t="shared" si="8"/>
        <v>3</v>
      </c>
      <c r="AB13" s="172">
        <f t="shared" si="8"/>
        <v>3</v>
      </c>
      <c r="AC13" s="172">
        <f t="shared" si="8"/>
        <v>3</v>
      </c>
      <c r="AD13" s="172">
        <f t="shared" si="8"/>
        <v>3</v>
      </c>
      <c r="AE13" s="172">
        <f t="shared" si="8"/>
        <v>5</v>
      </c>
      <c r="AF13" s="172">
        <f t="shared" si="8"/>
        <v>3</v>
      </c>
      <c r="AG13" s="3"/>
      <c r="AH13" s="3"/>
      <c r="AI13" s="3"/>
      <c r="AJ13" s="3"/>
      <c r="AK13" s="3"/>
      <c r="AL13" s="3"/>
      <c r="AM13" s="174"/>
    </row>
    <row r="14" spans="1:39" ht="20.5">
      <c r="A14" s="6" t="s">
        <v>251</v>
      </c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3"/>
      <c r="AG14" s="3"/>
      <c r="AH14" s="3"/>
      <c r="AI14" s="3"/>
      <c r="AJ14" s="3"/>
      <c r="AK14" s="3"/>
      <c r="AL14" s="3"/>
      <c r="AM14" s="174"/>
    </row>
    <row r="15" spans="1:39" ht="28" thickBot="1">
      <c r="A15" s="4"/>
      <c r="B15" s="436" t="s">
        <v>158</v>
      </c>
      <c r="C15" s="436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4" t="s">
        <v>173</v>
      </c>
      <c r="D16" s="435"/>
      <c r="E16" s="433" t="s">
        <v>9</v>
      </c>
      <c r="F16" s="434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35"/>
      <c r="E17" s="433" t="s">
        <v>16</v>
      </c>
      <c r="F17" s="434"/>
      <c r="G17" s="42"/>
      <c r="H17" s="13" t="s">
        <v>292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4 ... 3</v>
      </c>
      <c r="T17" s="44"/>
      <c r="U17" s="45"/>
      <c r="W17" s="13"/>
      <c r="X17" s="8" t="s">
        <v>20</v>
      </c>
      <c r="Y17" s="20" t="s">
        <v>3</v>
      </c>
      <c r="Z17" s="118">
        <v>4</v>
      </c>
      <c r="AA17" s="20" t="s">
        <v>5</v>
      </c>
      <c r="AB17" s="121">
        <v>4</v>
      </c>
      <c r="AC17" s="124">
        <v>4</v>
      </c>
      <c r="AD17" s="129">
        <v>5</v>
      </c>
      <c r="AE17" s="20">
        <v>8</v>
      </c>
      <c r="AF17" s="20">
        <v>16</v>
      </c>
      <c r="AG17" s="107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35"/>
      <c r="E18" s="433" t="s">
        <v>17</v>
      </c>
      <c r="F18" s="434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4 ... 3</v>
      </c>
      <c r="T18" s="49"/>
      <c r="U18" s="45"/>
      <c r="X18" s="8" t="s">
        <v>21</v>
      </c>
      <c r="Y18" s="20" t="s">
        <v>3</v>
      </c>
      <c r="Z18" s="120">
        <v>4</v>
      </c>
      <c r="AA18" s="20" t="s">
        <v>5</v>
      </c>
      <c r="AB18" s="121">
        <v>5</v>
      </c>
      <c r="AC18" s="127">
        <v>5</v>
      </c>
      <c r="AD18" s="130">
        <v>4</v>
      </c>
      <c r="AE18" s="20">
        <v>9</v>
      </c>
      <c r="AF18" s="134">
        <v>15</v>
      </c>
      <c r="AG18" s="106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35"/>
      <c r="E19" s="433" t="s">
        <v>14</v>
      </c>
      <c r="F19" s="434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14 ... 5</v>
      </c>
      <c r="T19" s="51"/>
      <c r="U19" s="52"/>
      <c r="X19" s="8" t="s">
        <v>22</v>
      </c>
      <c r="Y19" s="20" t="s">
        <v>3</v>
      </c>
      <c r="Z19" s="119">
        <v>9</v>
      </c>
      <c r="AA19" s="82" t="s">
        <v>5</v>
      </c>
      <c r="AB19" s="121">
        <v>0</v>
      </c>
      <c r="AC19" s="126">
        <v>5</v>
      </c>
      <c r="AD19" s="130">
        <v>4</v>
      </c>
      <c r="AE19" s="20">
        <v>9</v>
      </c>
      <c r="AF19" s="20">
        <v>13</v>
      </c>
      <c r="AG19" s="106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35"/>
      <c r="E20" s="433" t="s">
        <v>13</v>
      </c>
      <c r="F20" s="434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25</v>
      </c>
      <c r="P20" s="13" t="s">
        <v>77</v>
      </c>
      <c r="Q20" s="13" t="s">
        <v>78</v>
      </c>
      <c r="R20" s="37">
        <f>COUNTIF(B4:AF4,"6")*((COUNTA(B16:B23))-J16)</f>
        <v>15</v>
      </c>
      <c r="S20" s="13" t="s">
        <v>79</v>
      </c>
      <c r="T20" s="53">
        <f>O20+R20</f>
        <v>40</v>
      </c>
      <c r="U20" s="13" t="s">
        <v>32</v>
      </c>
      <c r="V20" s="13"/>
      <c r="W20" s="54">
        <f>T20+T22</f>
        <v>103</v>
      </c>
      <c r="X20" s="8" t="s">
        <v>3</v>
      </c>
      <c r="Y20" s="20" t="s">
        <v>3</v>
      </c>
      <c r="Z20" s="119">
        <v>4</v>
      </c>
      <c r="AA20" s="20" t="s">
        <v>5</v>
      </c>
      <c r="AB20" s="122">
        <v>4</v>
      </c>
      <c r="AC20" s="126">
        <v>5</v>
      </c>
      <c r="AD20" s="131">
        <v>4</v>
      </c>
      <c r="AE20" s="20">
        <v>8</v>
      </c>
      <c r="AF20" s="20">
        <v>18</v>
      </c>
      <c r="AG20" s="106">
        <v>3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35"/>
      <c r="E21" s="433" t="s">
        <v>15</v>
      </c>
      <c r="F21" s="434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0</v>
      </c>
      <c r="R21" s="102" t="s">
        <v>233</v>
      </c>
      <c r="S21" s="13"/>
      <c r="T21" s="37">
        <f>((COUNTA(B16:B23))-J18)*Q21</f>
        <v>0</v>
      </c>
      <c r="U21" s="13"/>
      <c r="V21" s="13"/>
      <c r="W21" s="13"/>
      <c r="X21" s="8" t="s">
        <v>23</v>
      </c>
      <c r="Y21" s="20" t="s">
        <v>3</v>
      </c>
      <c r="Z21" s="118">
        <v>3</v>
      </c>
      <c r="AA21" s="20" t="s">
        <v>5</v>
      </c>
      <c r="AB21" s="121">
        <v>6</v>
      </c>
      <c r="AC21" s="125">
        <v>4</v>
      </c>
      <c r="AD21" s="130">
        <v>4</v>
      </c>
      <c r="AE21" s="20">
        <v>9</v>
      </c>
      <c r="AF21" s="20">
        <v>14</v>
      </c>
      <c r="AG21" s="106">
        <v>2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35"/>
      <c r="E22" s="433" t="s">
        <v>27</v>
      </c>
      <c r="F22" s="434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63</v>
      </c>
      <c r="U22" s="13"/>
      <c r="V22" s="13"/>
      <c r="W22" s="13"/>
      <c r="X22" s="8" t="s">
        <v>24</v>
      </c>
      <c r="Y22" s="20" t="s">
        <v>3</v>
      </c>
      <c r="Z22" s="119">
        <v>3</v>
      </c>
      <c r="AA22" s="20" t="s">
        <v>5</v>
      </c>
      <c r="AB22" s="123">
        <v>6</v>
      </c>
      <c r="AC22" s="126">
        <v>4</v>
      </c>
      <c r="AD22" s="148">
        <v>5</v>
      </c>
      <c r="AE22" s="20">
        <v>9</v>
      </c>
      <c r="AF22" s="20">
        <v>14</v>
      </c>
      <c r="AG22" s="106">
        <v>2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/>
      <c r="C23" s="424"/>
      <c r="D23" s="435"/>
      <c r="E23" s="433"/>
      <c r="F23" s="434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2 ... 1</v>
      </c>
      <c r="U23" s="431"/>
      <c r="V23" s="432"/>
      <c r="X23" s="8" t="s">
        <v>25</v>
      </c>
      <c r="Y23" s="82" t="s">
        <v>5</v>
      </c>
      <c r="Z23" s="118"/>
      <c r="AA23" s="82" t="s">
        <v>5</v>
      </c>
      <c r="AB23" s="122"/>
      <c r="AC23" s="125"/>
      <c r="AD23" s="131"/>
      <c r="AE23" s="20"/>
      <c r="AF23" s="20"/>
      <c r="AG23" s="106">
        <v>0</v>
      </c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4</v>
      </c>
      <c r="AA24" s="20" t="s">
        <v>5</v>
      </c>
      <c r="AB24" s="122">
        <v>6</v>
      </c>
      <c r="AC24" s="128">
        <v>4</v>
      </c>
      <c r="AD24" s="145">
        <v>5</v>
      </c>
      <c r="AE24" s="20">
        <v>10</v>
      </c>
      <c r="AF24" s="20">
        <v>13</v>
      </c>
      <c r="AG24" s="108">
        <v>2</v>
      </c>
      <c r="AH24" t="s">
        <v>214</v>
      </c>
    </row>
    <row r="25" spans="1:39">
      <c r="Z25">
        <f>SUM(Z17:Z24)</f>
        <v>31</v>
      </c>
      <c r="AB25">
        <f>SUM(AB17:AB24)</f>
        <v>31</v>
      </c>
      <c r="AC25">
        <f>SUM(AC17:AC24)</f>
        <v>31</v>
      </c>
      <c r="AD25">
        <f>SUM(AD17:AD24)</f>
        <v>31</v>
      </c>
      <c r="AF25">
        <f>SUM(AF17:AF24)</f>
        <v>103</v>
      </c>
      <c r="AH25" t="s">
        <v>215</v>
      </c>
    </row>
    <row r="26" spans="1:39" ht="27.75" customHeight="1">
      <c r="L26" s="59" t="s">
        <v>216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X27" s="110"/>
      <c r="Y27" s="429" t="s">
        <v>253</v>
      </c>
      <c r="Z27" s="429"/>
      <c r="AA27" s="429"/>
      <c r="AB27" s="429"/>
      <c r="AC27" s="429"/>
    </row>
    <row r="28" spans="1:39" ht="27.5">
      <c r="X28" s="135"/>
      <c r="Y28" s="429" t="s">
        <v>257</v>
      </c>
      <c r="Z28" s="429"/>
      <c r="AA28" s="429"/>
      <c r="AB28" s="429"/>
      <c r="AC28" s="429"/>
    </row>
    <row r="29" spans="1:39">
      <c r="L29" t="s">
        <v>294</v>
      </c>
      <c r="M29" t="s">
        <v>293</v>
      </c>
      <c r="N29" t="s">
        <v>295</v>
      </c>
    </row>
    <row r="30" spans="1:39">
      <c r="L30" t="s">
        <v>296</v>
      </c>
      <c r="M30" t="s">
        <v>293</v>
      </c>
      <c r="N30" t="s">
        <v>295</v>
      </c>
    </row>
    <row r="31" spans="1:39">
      <c r="L31" t="s">
        <v>297</v>
      </c>
      <c r="M31" t="s">
        <v>293</v>
      </c>
      <c r="N31" t="s">
        <v>295</v>
      </c>
    </row>
    <row r="32" spans="1:39">
      <c r="L32" t="s">
        <v>298</v>
      </c>
      <c r="M32" t="s">
        <v>293</v>
      </c>
      <c r="N32" t="s">
        <v>295</v>
      </c>
    </row>
    <row r="33" spans="12:14">
      <c r="L33" t="s">
        <v>299</v>
      </c>
      <c r="M33" t="s">
        <v>293</v>
      </c>
      <c r="N33" t="s">
        <v>301</v>
      </c>
    </row>
    <row r="34" spans="12:14">
      <c r="L34" t="s">
        <v>299</v>
      </c>
      <c r="M34" t="s">
        <v>252</v>
      </c>
      <c r="N34" t="s">
        <v>301</v>
      </c>
    </row>
  </sheetData>
  <mergeCells count="23">
    <mergeCell ref="Y28:AC28"/>
    <mergeCell ref="C21:D21"/>
    <mergeCell ref="E21:F21"/>
    <mergeCell ref="C22:D22"/>
    <mergeCell ref="E22:F22"/>
    <mergeCell ref="C23:D23"/>
    <mergeCell ref="E23:F23"/>
    <mergeCell ref="C20:D20"/>
    <mergeCell ref="E20:F20"/>
    <mergeCell ref="T23:V23"/>
    <mergeCell ref="Y26:AC26"/>
    <mergeCell ref="Y27:AC27"/>
    <mergeCell ref="C17:D17"/>
    <mergeCell ref="E17:F17"/>
    <mergeCell ref="C18:D18"/>
    <mergeCell ref="E18:F18"/>
    <mergeCell ref="C19:D19"/>
    <mergeCell ref="E19:F19"/>
    <mergeCell ref="A1:B2"/>
    <mergeCell ref="AG4:AL4"/>
    <mergeCell ref="B15:C15"/>
    <mergeCell ref="C16:D16"/>
    <mergeCell ref="E16:F16"/>
  </mergeCells>
  <phoneticPr fontId="11" type="noConversion"/>
  <conditionalFormatting sqref="AG3">
    <cfRule type="expression" dxfId="1867" priority="158" stopIfTrue="1">
      <formula>WEEKDAY(AG$3)=7</formula>
    </cfRule>
    <cfRule type="expression" dxfId="1866" priority="159" stopIfTrue="1">
      <formula>WEEKDAY(AG$3)=1</formula>
    </cfRule>
    <cfRule type="expression" dxfId="1865" priority="160" stopIfTrue="1">
      <formula>WEEKDAY(AG$3)=7</formula>
    </cfRule>
    <cfRule type="expression" dxfId="1864" priority="161" stopIfTrue="1">
      <formula>WEEKDAY(AG$3)=1</formula>
    </cfRule>
  </conditionalFormatting>
  <conditionalFormatting sqref="B3:AF3 B9 AF9 AE10 R9:W9 Y9:AD9 D9:P9">
    <cfRule type="expression" dxfId="1863" priority="156">
      <formula>WEEKDAY(B$3,2)=7</formula>
    </cfRule>
    <cfRule type="expression" dxfId="1862" priority="157">
      <formula>WEEKDAY(B$3,2)=6</formula>
    </cfRule>
  </conditionalFormatting>
  <conditionalFormatting sqref="B4:AF4">
    <cfRule type="expression" dxfId="1861" priority="154">
      <formula>WEEKDAY(B$3,2)=7</formula>
    </cfRule>
    <cfRule type="expression" dxfId="1860" priority="155">
      <formula>WEEKDAY(B$3,2)=6</formula>
    </cfRule>
  </conditionalFormatting>
  <conditionalFormatting sqref="B13:AF13">
    <cfRule type="expression" dxfId="1859" priority="144" stopIfTrue="1">
      <formula>COUNTIF(B$5:B$12,"off")&lt;&gt;B$13</formula>
    </cfRule>
  </conditionalFormatting>
  <conditionalFormatting sqref="W6:AA6 I6 J6:J8 AD6:AF6 AF10 K7:AF8 B5:AF5 B6:F6 B10:AD10 B11:AF12 K6:T6 B7:I8">
    <cfRule type="expression" dxfId="1858" priority="107">
      <formula>WEEKDAY(B$3,2)=7</formula>
    </cfRule>
    <cfRule type="expression" dxfId="1857" priority="108">
      <formula>WEEKDAY(B$3,2)=6</formula>
    </cfRule>
  </conditionalFormatting>
  <conditionalFormatting sqref="J6:J8 B5:AF5">
    <cfRule type="expression" dxfId="1856" priority="106">
      <formula>SEARCH("X", $A$5) &gt; 0</formula>
    </cfRule>
  </conditionalFormatting>
  <conditionalFormatting sqref="B6:F6 W6:AA6 AD6:AF6 I6 O5:P5 K6:T6">
    <cfRule type="expression" dxfId="1855" priority="105">
      <formula>SEARCH("X", $A$6) &gt; 0</formula>
    </cfRule>
  </conditionalFormatting>
  <conditionalFormatting sqref="K7:AF7 B7:I7">
    <cfRule type="expression" dxfId="1854" priority="104">
      <formula>SEARCH("X", $A$7) &gt; 0</formula>
    </cfRule>
  </conditionalFormatting>
  <conditionalFormatting sqref="B8:I8 K8:AF8">
    <cfRule type="expression" dxfId="1853" priority="103">
      <formula>SEARCH("X", $A$8) &gt; 0</formula>
    </cfRule>
  </conditionalFormatting>
  <conditionalFormatting sqref="B9 AF9 AE10 R9:W9 Y9:AD9 D9:P9">
    <cfRule type="expression" dxfId="1852" priority="102">
      <formula>SEARCH("X", $A$9) &gt; 0</formula>
    </cfRule>
  </conditionalFormatting>
  <conditionalFormatting sqref="B10:AD10 AF10">
    <cfRule type="expression" dxfId="1851" priority="101">
      <formula>SEARCH("X", $A$10) &gt; 0</formula>
    </cfRule>
  </conditionalFormatting>
  <conditionalFormatting sqref="B11:AF11">
    <cfRule type="expression" dxfId="1850" priority="100">
      <formula>SEARCH("X", $A$11) &gt; 0</formula>
    </cfRule>
  </conditionalFormatting>
  <conditionalFormatting sqref="B12:AF12">
    <cfRule type="expression" dxfId="1849" priority="99">
      <formula>SEARCH("X", $A$12) &gt; 0</formula>
    </cfRule>
  </conditionalFormatting>
  <conditionalFormatting sqref="K10">
    <cfRule type="expression" dxfId="1848" priority="98">
      <formula>SEARCH("X", $A$9) &gt; 0</formula>
    </cfRule>
  </conditionalFormatting>
  <conditionalFormatting sqref="N8">
    <cfRule type="expression" dxfId="1847" priority="97">
      <formula>SEARCH("X", $A$5) &gt; 0</formula>
    </cfRule>
  </conditionalFormatting>
  <conditionalFormatting sqref="O8">
    <cfRule type="expression" dxfId="1846" priority="96">
      <formula>SEARCH("X", $A$5) &gt; 0</formula>
    </cfRule>
  </conditionalFormatting>
  <conditionalFormatting sqref="P8">
    <cfRule type="expression" dxfId="1845" priority="95">
      <formula>SEARCH("X", $A$5) &gt; 0</formula>
    </cfRule>
  </conditionalFormatting>
  <conditionalFormatting sqref="Q8">
    <cfRule type="expression" dxfId="1844" priority="94">
      <formula>SEARCH("X", $A$5) &gt; 0</formula>
    </cfRule>
  </conditionalFormatting>
  <conditionalFormatting sqref="R8">
    <cfRule type="expression" dxfId="1843" priority="93">
      <formula>SEARCH("X", $A$5) &gt; 0</formula>
    </cfRule>
  </conditionalFormatting>
  <conditionalFormatting sqref="S8">
    <cfRule type="expression" dxfId="1842" priority="92">
      <formula>SEARCH("X", $A$5) &gt; 0</formula>
    </cfRule>
  </conditionalFormatting>
  <conditionalFormatting sqref="T8">
    <cfRule type="expression" dxfId="1841" priority="91">
      <formula>SEARCH("X", $A$5) &gt; 0</formula>
    </cfRule>
  </conditionalFormatting>
  <conditionalFormatting sqref="U8">
    <cfRule type="expression" dxfId="1840" priority="90">
      <formula>SEARCH("X", $A$5) &gt; 0</formula>
    </cfRule>
  </conditionalFormatting>
  <conditionalFormatting sqref="V8">
    <cfRule type="expression" dxfId="1839" priority="89">
      <formula>SEARCH("X", $A$5) &gt; 0</formula>
    </cfRule>
  </conditionalFormatting>
  <conditionalFormatting sqref="W8">
    <cfRule type="expression" dxfId="1838" priority="88">
      <formula>SEARCH("X", $A$5) &gt; 0</formula>
    </cfRule>
  </conditionalFormatting>
  <conditionalFormatting sqref="X8">
    <cfRule type="expression" dxfId="1837" priority="87">
      <formula>SEARCH("X", $A$5) &gt; 0</formula>
    </cfRule>
  </conditionalFormatting>
  <conditionalFormatting sqref="Y8">
    <cfRule type="expression" dxfId="1836" priority="86">
      <formula>SEARCH("X", $A$5) &gt; 0</formula>
    </cfRule>
  </conditionalFormatting>
  <conditionalFormatting sqref="Z8">
    <cfRule type="expression" dxfId="1835" priority="85">
      <formula>SEARCH("X", $A$5) &gt; 0</formula>
    </cfRule>
  </conditionalFormatting>
  <conditionalFormatting sqref="AA8">
    <cfRule type="expression" dxfId="1834" priority="84">
      <formula>SEARCH("X", $A$5) &gt; 0</formula>
    </cfRule>
  </conditionalFormatting>
  <conditionalFormatting sqref="AB8">
    <cfRule type="expression" dxfId="1833" priority="83">
      <formula>SEARCH("X", $A$5) &gt; 0</formula>
    </cfRule>
  </conditionalFormatting>
  <conditionalFormatting sqref="AC8">
    <cfRule type="expression" dxfId="1832" priority="82">
      <formula>SEARCH("X", $A$5) &gt; 0</formula>
    </cfRule>
  </conditionalFormatting>
  <conditionalFormatting sqref="N8:AC8">
    <cfRule type="expression" dxfId="1831" priority="81">
      <formula>SEARCH("X", $A$5) &gt; 0</formula>
    </cfRule>
  </conditionalFormatting>
  <conditionalFormatting sqref="O8">
    <cfRule type="expression" dxfId="1830" priority="80">
      <formula>SEARCH("X", $A$5) &gt; 0</formula>
    </cfRule>
  </conditionalFormatting>
  <conditionalFormatting sqref="B8">
    <cfRule type="expression" dxfId="1829" priority="79">
      <formula>SEARCH("X", $A$9) &gt; 0</formula>
    </cfRule>
  </conditionalFormatting>
  <conditionalFormatting sqref="C8">
    <cfRule type="expression" dxfId="1828" priority="78">
      <formula>SEARCH("X", $A$9) &gt; 0</formula>
    </cfRule>
  </conditionalFormatting>
  <conditionalFormatting sqref="P10">
    <cfRule type="expression" dxfId="1827" priority="77">
      <formula>SEARCH("X", $A$9) &gt; 0</formula>
    </cfRule>
  </conditionalFormatting>
  <conditionalFormatting sqref="Q10">
    <cfRule type="expression" dxfId="1826" priority="76">
      <formula>SEARCH("X", $A$9) &gt; 0</formula>
    </cfRule>
  </conditionalFormatting>
  <conditionalFormatting sqref="W12">
    <cfRule type="expression" dxfId="1825" priority="75">
      <formula>SEARCH("X", $A$9) &gt; 0</formula>
    </cfRule>
  </conditionalFormatting>
  <conditionalFormatting sqref="X12">
    <cfRule type="expression" dxfId="1824" priority="74">
      <formula>SEARCH("X", $A$9) &gt; 0</formula>
    </cfRule>
  </conditionalFormatting>
  <conditionalFormatting sqref="AD5">
    <cfRule type="expression" dxfId="1823" priority="73">
      <formula>SEARCH("X", $A$9) &gt; 0</formula>
    </cfRule>
  </conditionalFormatting>
  <conditionalFormatting sqref="AE5">
    <cfRule type="expression" dxfId="1822" priority="72">
      <formula>SEARCH("X", $A$9) &gt; 0</formula>
    </cfRule>
  </conditionalFormatting>
  <conditionalFormatting sqref="B9">
    <cfRule type="expression" dxfId="1821" priority="71">
      <formula>SEARCH("X", $A$10) &gt; 0</formula>
    </cfRule>
  </conditionalFormatting>
  <conditionalFormatting sqref="I10">
    <cfRule type="expression" dxfId="1820" priority="70">
      <formula>SEARCH("X", $A$12) &gt; 0</formula>
    </cfRule>
  </conditionalFormatting>
  <conditionalFormatting sqref="P12">
    <cfRule type="expression" dxfId="1819" priority="69">
      <formula>SEARCH("X", $A$5) &gt; 0</formula>
    </cfRule>
  </conditionalFormatting>
  <conditionalFormatting sqref="W5">
    <cfRule type="expression" dxfId="1818" priority="68">
      <formula>SEARCH("X", $A$6) &gt; 0</formula>
    </cfRule>
  </conditionalFormatting>
  <conditionalFormatting sqref="AD6">
    <cfRule type="expression" dxfId="1817" priority="67">
      <formula>SEARCH("X", $A$7) &gt; 0</formula>
    </cfRule>
  </conditionalFormatting>
  <conditionalFormatting sqref="G6:H6">
    <cfRule type="expression" dxfId="1816" priority="65">
      <formula>WEEKDAY(G$3,2)=7</formula>
    </cfRule>
    <cfRule type="expression" dxfId="1815" priority="66">
      <formula>WEEKDAY(G$3,2)=6</formula>
    </cfRule>
  </conditionalFormatting>
  <conditionalFormatting sqref="G6:H6">
    <cfRule type="expression" dxfId="1814" priority="64">
      <formula>SEARCH("X", $A$6) &gt; 0</formula>
    </cfRule>
  </conditionalFormatting>
  <conditionalFormatting sqref="X8:AA8">
    <cfRule type="expression" dxfId="1813" priority="39">
      <formula>SEARCH("X", $A$6) &gt; 0</formula>
    </cfRule>
  </conditionalFormatting>
  <conditionalFormatting sqref="U6:V6">
    <cfRule type="expression" dxfId="1812" priority="59">
      <formula>WEEKDAY(U$3,2)=7</formula>
    </cfRule>
    <cfRule type="expression" dxfId="1811" priority="60">
      <formula>WEEKDAY(U$3,2)=6</formula>
    </cfRule>
  </conditionalFormatting>
  <conditionalFormatting sqref="U6:V6">
    <cfRule type="expression" dxfId="1810" priority="58">
      <formula>SEARCH("X", $A$6) &gt; 0</formula>
    </cfRule>
  </conditionalFormatting>
  <conditionalFormatting sqref="AB6:AC6">
    <cfRule type="expression" dxfId="1809" priority="56">
      <formula>WEEKDAY(AB$3,2)=7</formula>
    </cfRule>
    <cfRule type="expression" dxfId="1808" priority="57">
      <formula>WEEKDAY(AB$3,2)=6</formula>
    </cfRule>
  </conditionalFormatting>
  <conditionalFormatting sqref="AB6:AC6">
    <cfRule type="expression" dxfId="1807" priority="55">
      <formula>SEARCH("X", $A$6) &gt; 0</formula>
    </cfRule>
  </conditionalFormatting>
  <conditionalFormatting sqref="R5:V5">
    <cfRule type="expression" dxfId="1806" priority="54">
      <formula>SEARCH("X", $A$6) &gt; 0</formula>
    </cfRule>
  </conditionalFormatting>
  <conditionalFormatting sqref="X5:AA5">
    <cfRule type="expression" dxfId="1805" priority="53">
      <formula>SEARCH("X", $A$6) &gt; 0</formula>
    </cfRule>
  </conditionalFormatting>
  <conditionalFormatting sqref="Q7">
    <cfRule type="expression" dxfId="1804" priority="52">
      <formula>SEARCH("X", $A$5) &gt; 0</formula>
    </cfRule>
  </conditionalFormatting>
  <conditionalFormatting sqref="Q5">
    <cfRule type="expression" dxfId="1803" priority="51">
      <formula>SEARCH("X", $A$6) &gt; 0</formula>
    </cfRule>
  </conditionalFormatting>
  <conditionalFormatting sqref="C7">
    <cfRule type="expression" dxfId="1802" priority="50">
      <formula>SEARCH("X", $A$10) &gt; 0</formula>
    </cfRule>
  </conditionalFormatting>
  <conditionalFormatting sqref="AB5">
    <cfRule type="expression" dxfId="1801" priority="49">
      <formula>SEARCH("X", $A$6) &gt; 0</formula>
    </cfRule>
  </conditionalFormatting>
  <conditionalFormatting sqref="W10">
    <cfRule type="expression" dxfId="1800" priority="48">
      <formula>SEARCH("X", $A$5) &gt; 0</formula>
    </cfRule>
  </conditionalFormatting>
  <conditionalFormatting sqref="W10">
    <cfRule type="expression" dxfId="1799" priority="47">
      <formula>SEARCH("X", $A$6) &gt; 0</formula>
    </cfRule>
  </conditionalFormatting>
  <conditionalFormatting sqref="I5">
    <cfRule type="expression" dxfId="1798" priority="46">
      <formula>SEARCH("X", $A$10) &gt; 0</formula>
    </cfRule>
  </conditionalFormatting>
  <conditionalFormatting sqref="I5">
    <cfRule type="expression" dxfId="1797" priority="45">
      <formula>SEARCH("X", $A$12) &gt; 0</formula>
    </cfRule>
  </conditionalFormatting>
  <conditionalFormatting sqref="W5">
    <cfRule type="expression" dxfId="1796" priority="44">
      <formula>SEARCH("X", $A$6) &gt; 0</formula>
    </cfRule>
  </conditionalFormatting>
  <conditionalFormatting sqref="O8:AB8">
    <cfRule type="expression" dxfId="1795" priority="43">
      <formula>SEARCH("X", $A$5) &gt; 0</formula>
    </cfRule>
  </conditionalFormatting>
  <conditionalFormatting sqref="O8:P8">
    <cfRule type="expression" dxfId="1794" priority="42">
      <formula>SEARCH("X", $A$6) &gt; 0</formula>
    </cfRule>
  </conditionalFormatting>
  <conditionalFormatting sqref="W8">
    <cfRule type="expression" dxfId="1793" priority="41">
      <formula>SEARCH("X", $A$6) &gt; 0</formula>
    </cfRule>
  </conditionalFormatting>
  <conditionalFormatting sqref="R8:V8">
    <cfRule type="expression" dxfId="1792" priority="40">
      <formula>SEARCH("X", $A$6) &gt; 0</formula>
    </cfRule>
  </conditionalFormatting>
  <conditionalFormatting sqref="Q8">
    <cfRule type="expression" dxfId="1791" priority="38">
      <formula>SEARCH("X", $A$6) &gt; 0</formula>
    </cfRule>
  </conditionalFormatting>
  <conditionalFormatting sqref="AB8">
    <cfRule type="expression" dxfId="1790" priority="37">
      <formula>SEARCH("X", $A$6) &gt; 0</formula>
    </cfRule>
  </conditionalFormatting>
  <conditionalFormatting sqref="W8">
    <cfRule type="expression" dxfId="1789" priority="36">
      <formula>SEARCH("X", $A$6) &gt; 0</formula>
    </cfRule>
  </conditionalFormatting>
  <conditionalFormatting sqref="J10">
    <cfRule type="expression" dxfId="1788" priority="35">
      <formula>SEARCH("X", $A$5) &gt; 0</formula>
    </cfRule>
  </conditionalFormatting>
  <conditionalFormatting sqref="AE10">
    <cfRule type="expression" dxfId="1787" priority="33">
      <formula>SEARCH("X", $A$5) &gt; 0</formula>
    </cfRule>
  </conditionalFormatting>
  <conditionalFormatting sqref="AE6">
    <cfRule type="expression" dxfId="1786" priority="34">
      <formula>SEARCH("X", $A$5) &gt; 0</formula>
    </cfRule>
  </conditionalFormatting>
  <conditionalFormatting sqref="AE9">
    <cfRule type="expression" dxfId="1785" priority="31">
      <formula>WEEKDAY(AE$3,2)=7</formula>
    </cfRule>
    <cfRule type="expression" dxfId="1784" priority="32">
      <formula>WEEKDAY(AE$3,2)=6</formula>
    </cfRule>
  </conditionalFormatting>
  <conditionalFormatting sqref="AE9">
    <cfRule type="expression" dxfId="1783" priority="30">
      <formula>SEARCH("X", $A$6) &gt; 0</formula>
    </cfRule>
  </conditionalFormatting>
  <conditionalFormatting sqref="AE9">
    <cfRule type="expression" dxfId="1782" priority="29">
      <formula>SEARCH("X", $A$5) &gt; 0</formula>
    </cfRule>
  </conditionalFormatting>
  <conditionalFormatting sqref="AE12">
    <cfRule type="expression" dxfId="1781" priority="28">
      <formula>SEARCH("X", $A$6) &gt; 0</formula>
    </cfRule>
  </conditionalFormatting>
  <conditionalFormatting sqref="AE12">
    <cfRule type="expression" dxfId="1780" priority="27">
      <formula>SEARCH("X", $A$5) &gt; 0</formula>
    </cfRule>
  </conditionalFormatting>
  <conditionalFormatting sqref="AE8">
    <cfRule type="expression" dxfId="1779" priority="26">
      <formula>SEARCH("X", $A$6) &gt; 0</formula>
    </cfRule>
  </conditionalFormatting>
  <conditionalFormatting sqref="AE8">
    <cfRule type="expression" dxfId="1778" priority="25">
      <formula>SEARCH("X", $A$5) &gt; 0</formula>
    </cfRule>
  </conditionalFormatting>
  <conditionalFormatting sqref="Q9">
    <cfRule type="expression" dxfId="1777" priority="23">
      <formula>WEEKDAY(Q$3,2)=7</formula>
    </cfRule>
    <cfRule type="expression" dxfId="1776" priority="24">
      <formula>WEEKDAY(Q$3,2)=6</formula>
    </cfRule>
  </conditionalFormatting>
  <conditionalFormatting sqref="Q9">
    <cfRule type="expression" dxfId="1775" priority="22">
      <formula>SEARCH("X", $A$6) &gt; 0</formula>
    </cfRule>
  </conditionalFormatting>
  <conditionalFormatting sqref="Q9">
    <cfRule type="expression" dxfId="1774" priority="21">
      <formula>SEARCH("X", $A$5) &gt; 0</formula>
    </cfRule>
  </conditionalFormatting>
  <conditionalFormatting sqref="Q12">
    <cfRule type="expression" dxfId="1773" priority="20">
      <formula>SEARCH("X", $A$6) &gt; 0</formula>
    </cfRule>
  </conditionalFormatting>
  <conditionalFormatting sqref="Q12">
    <cfRule type="expression" dxfId="1772" priority="19">
      <formula>SEARCH("X", $A$5) &gt; 0</formula>
    </cfRule>
  </conditionalFormatting>
  <conditionalFormatting sqref="X7">
    <cfRule type="expression" dxfId="1771" priority="18">
      <formula>SEARCH("X", $A$6) &gt; 0</formula>
    </cfRule>
  </conditionalFormatting>
  <conditionalFormatting sqref="X7">
    <cfRule type="expression" dxfId="1770" priority="17">
      <formula>SEARCH("X", $A$5) &gt; 0</formula>
    </cfRule>
  </conditionalFormatting>
  <conditionalFormatting sqref="X10">
    <cfRule type="expression" dxfId="1769" priority="16">
      <formula>SEARCH("X", $A$6) &gt; 0</formula>
    </cfRule>
  </conditionalFormatting>
  <conditionalFormatting sqref="X10">
    <cfRule type="expression" dxfId="1768" priority="15">
      <formula>SEARCH("X", $A$5) &gt; 0</formula>
    </cfRule>
  </conditionalFormatting>
  <conditionalFormatting sqref="X9">
    <cfRule type="expression" dxfId="1767" priority="13">
      <formula>WEEKDAY(X$3,2)=7</formula>
    </cfRule>
    <cfRule type="expression" dxfId="1766" priority="14">
      <formula>WEEKDAY(X$3,2)=6</formula>
    </cfRule>
  </conditionalFormatting>
  <conditionalFormatting sqref="X9">
    <cfRule type="expression" dxfId="1765" priority="12">
      <formula>SEARCH("X", $A$6) &gt; 0</formula>
    </cfRule>
  </conditionalFormatting>
  <conditionalFormatting sqref="X9">
    <cfRule type="expression" dxfId="1764" priority="11">
      <formula>SEARCH("X", $A$5) &gt; 0</formula>
    </cfRule>
  </conditionalFormatting>
  <conditionalFormatting sqref="C6">
    <cfRule type="expression" dxfId="1763" priority="10">
      <formula>SEARCH("X", $A$5) &gt; 0</formula>
    </cfRule>
  </conditionalFormatting>
  <conditionalFormatting sqref="C9">
    <cfRule type="expression" dxfId="1762" priority="8">
      <formula>WEEKDAY(C$3,2)=7</formula>
    </cfRule>
    <cfRule type="expression" dxfId="1761" priority="9">
      <formula>WEEKDAY(C$3,2)=6</formula>
    </cfRule>
  </conditionalFormatting>
  <conditionalFormatting sqref="C9">
    <cfRule type="expression" dxfId="1760" priority="7">
      <formula>SEARCH("X", $A$5) &gt; 0</formula>
    </cfRule>
  </conditionalFormatting>
  <conditionalFormatting sqref="C10">
    <cfRule type="expression" dxfId="1759" priority="6">
      <formula>SEARCH("X", $A$5) &gt; 0</formula>
    </cfRule>
  </conditionalFormatting>
  <conditionalFormatting sqref="C12">
    <cfRule type="expression" dxfId="1758" priority="5">
      <formula>SEARCH("X", $A$5) &gt; 0</formula>
    </cfRule>
  </conditionalFormatting>
  <conditionalFormatting sqref="F7:I7">
    <cfRule type="expression" dxfId="1757" priority="4">
      <formula>SEARCH("X", $A$6) &gt; 0</formula>
    </cfRule>
  </conditionalFormatting>
  <conditionalFormatting sqref="D7:E7">
    <cfRule type="expression" dxfId="1756" priority="3">
      <formula>SEARCH("X", $A$6) &gt; 0</formula>
    </cfRule>
  </conditionalFormatting>
  <conditionalFormatting sqref="Z17:Z24">
    <cfRule type="expression" dxfId="1755" priority="2" stopIfTrue="1">
      <formula>COUNTIF($B5:$AF5,"D")&lt;&gt;$Z17</formula>
    </cfRule>
  </conditionalFormatting>
  <conditionalFormatting sqref="AB17:AB24">
    <cfRule type="expression" dxfId="1754" priority="1" stopIfTrue="1">
      <formula>COUNTIF($B5:$AF5,"N")&lt;&gt;$AB17</formula>
    </cfRule>
  </conditionalFormatting>
  <dataValidations count="12">
    <dataValidation type="list" allowBlank="1" showInputMessage="1" showErrorMessage="1" sqref="A12" xr:uid="{3CAE62AF-8930-4C63-B4E8-2E39C92E861B}">
      <formula1>$AI$23:$AJ$23</formula1>
    </dataValidation>
    <dataValidation type="list" allowBlank="1" showInputMessage="1" showErrorMessage="1" sqref="A11" xr:uid="{CC0742CD-2B3F-496F-B1CC-61C0DE69401D}">
      <formula1>$AK$22:$AL$22</formula1>
    </dataValidation>
    <dataValidation type="list" allowBlank="1" showInputMessage="1" showErrorMessage="1" sqref="A5" xr:uid="{335B06DB-E4B4-4CA8-88A6-17485837F092}">
      <formula1>$AK$16:$AL$16</formula1>
    </dataValidation>
    <dataValidation type="list" allowBlank="1" showInputMessage="1" showErrorMessage="1" sqref="A7" xr:uid="{FC31A14D-BF2D-4FBA-8BB2-81A842D373CE}">
      <formula1>$AI$18:$AJ$18</formula1>
    </dataValidation>
    <dataValidation type="list" allowBlank="1" showInputMessage="1" showErrorMessage="1" sqref="A8" xr:uid="{564388A2-FCA3-43D6-9AF9-BD10B168FF2D}">
      <formula1>$AI$19:$AJ$19</formula1>
    </dataValidation>
    <dataValidation type="list" allowBlank="1" showInputMessage="1" showErrorMessage="1" sqref="A6" xr:uid="{DFFF406D-C55D-4F6D-BEFF-58A3BAA24616}">
      <formula1>$AI$17:$AJ$17</formula1>
    </dataValidation>
    <dataValidation type="list" allowBlank="1" showInputMessage="1" showErrorMessage="1" sqref="A9" xr:uid="{A7B875CD-7C34-4752-9769-1FB370384CC1}">
      <formula1>$AI$20:$AJ$20</formula1>
    </dataValidation>
    <dataValidation type="list" allowBlank="1" showInputMessage="1" showErrorMessage="1" sqref="A10" xr:uid="{0A401BB5-E1A3-460D-B754-DD3D6DD35F3B}">
      <formula1>$AI$21:$AJ$21</formula1>
    </dataValidation>
    <dataValidation type="list" allowBlank="1" showInputMessage="1" sqref="B5:AF12" xr:uid="{D6A2B601-D01A-4781-A3B1-8197EC4B54BE}">
      <formula1>$AH$14:$AH$24</formula1>
    </dataValidation>
    <dataValidation type="list" allowBlank="1" showInputMessage="1" showErrorMessage="1" sqref="C16:D23" xr:uid="{A1622A56-4D45-4171-AD1E-B79F1E62654D}">
      <formula1>$AM$17:$AM$20</formula1>
    </dataValidation>
    <dataValidation type="list" allowBlank="1" showInputMessage="1" sqref="A13:A14" xr:uid="{515B7E4E-0600-47B1-88B9-D155FB9D930E}">
      <formula1>$AI$23:$AJ$23</formula1>
    </dataValidation>
    <dataValidation type="list" allowBlank="1" showInputMessage="1" showErrorMessage="1" sqref="E16:F23" xr:uid="{178CF737-CB7A-471B-960A-B7503AF2ADAB}">
      <formula1>$A$5:$A$12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1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7FBAC-B327-484D-894C-13814AE06EDD}">
  <sheetPr codeName="工作表11">
    <pageSetUpPr fitToPage="1"/>
  </sheetPr>
  <dimension ref="A1:AM28"/>
  <sheetViews>
    <sheetView zoomScale="55" zoomScaleNormal="55" workbookViewId="0">
      <selection activeCell="Z21" sqref="Z21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419"/>
      <c r="B2" s="419"/>
      <c r="C2" s="1"/>
      <c r="D2" s="1"/>
      <c r="F2" s="175" t="s">
        <v>300</v>
      </c>
      <c r="G2" s="26">
        <v>2025</v>
      </c>
      <c r="H2" s="27" t="str">
        <f>"("&amp;YEAR(B3)-1911&amp;" 年 "&amp;")"</f>
        <v>(114 年 )</v>
      </c>
      <c r="I2" s="22"/>
      <c r="J2" s="23">
        <v>4</v>
      </c>
      <c r="K2" s="28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E2" s="11"/>
      <c r="AF2" s="1"/>
    </row>
    <row r="3" spans="1:39" ht="27.5">
      <c r="A3" s="19" t="s">
        <v>1</v>
      </c>
      <c r="B3" s="30">
        <f>DATE($G$2,$J$2,1)</f>
        <v>45748</v>
      </c>
      <c r="C3" s="30">
        <f>B3+1</f>
        <v>45749</v>
      </c>
      <c r="D3" s="30">
        <f t="shared" ref="D3:AB3" si="0">C3+1</f>
        <v>45750</v>
      </c>
      <c r="E3" s="30">
        <f t="shared" si="0"/>
        <v>45751</v>
      </c>
      <c r="F3" s="30">
        <f t="shared" si="0"/>
        <v>45752</v>
      </c>
      <c r="G3" s="30">
        <f t="shared" si="0"/>
        <v>45753</v>
      </c>
      <c r="H3" s="30">
        <f t="shared" si="0"/>
        <v>45754</v>
      </c>
      <c r="I3" s="30">
        <f t="shared" si="0"/>
        <v>45755</v>
      </c>
      <c r="J3" s="30">
        <f t="shared" si="0"/>
        <v>45756</v>
      </c>
      <c r="K3" s="30">
        <f t="shared" si="0"/>
        <v>45757</v>
      </c>
      <c r="L3" s="30">
        <f t="shared" si="0"/>
        <v>45758</v>
      </c>
      <c r="M3" s="30">
        <f t="shared" si="0"/>
        <v>45759</v>
      </c>
      <c r="N3" s="30">
        <f t="shared" si="0"/>
        <v>45760</v>
      </c>
      <c r="O3" s="30">
        <f t="shared" si="0"/>
        <v>45761</v>
      </c>
      <c r="P3" s="30">
        <f t="shared" si="0"/>
        <v>45762</v>
      </c>
      <c r="Q3" s="30">
        <f t="shared" si="0"/>
        <v>45763</v>
      </c>
      <c r="R3" s="30">
        <f t="shared" si="0"/>
        <v>45764</v>
      </c>
      <c r="S3" s="30">
        <f t="shared" si="0"/>
        <v>45765</v>
      </c>
      <c r="T3" s="30">
        <f t="shared" si="0"/>
        <v>45766</v>
      </c>
      <c r="U3" s="30">
        <f t="shared" si="0"/>
        <v>45767</v>
      </c>
      <c r="V3" s="30">
        <f t="shared" si="0"/>
        <v>45768</v>
      </c>
      <c r="W3" s="30">
        <f t="shared" si="0"/>
        <v>45769</v>
      </c>
      <c r="X3" s="30">
        <f t="shared" si="0"/>
        <v>45770</v>
      </c>
      <c r="Y3" s="30">
        <f t="shared" si="0"/>
        <v>45771</v>
      </c>
      <c r="Z3" s="30">
        <f t="shared" si="0"/>
        <v>45772</v>
      </c>
      <c r="AA3" s="30">
        <f t="shared" si="0"/>
        <v>45773</v>
      </c>
      <c r="AB3" s="30">
        <f t="shared" si="0"/>
        <v>45774</v>
      </c>
      <c r="AC3" s="30">
        <f>IFERROR(IF(MONTH(AB3+1)=$J$2,AB3+1,""),"")</f>
        <v>45775</v>
      </c>
      <c r="AD3" s="30">
        <f>IFERROR(IF(MONTH(AC3+1)=$J$2,AC3+1,""),"")</f>
        <v>45776</v>
      </c>
      <c r="AE3" s="30">
        <f>IFERROR(IF(MONTH(AD3+1)=$J$2,AD3+1,""),"")</f>
        <v>45777</v>
      </c>
      <c r="AF3" s="30" t="str">
        <f>IFERROR(IF(MONTH(AE3+1)=$J$2,AE3+1,""),"")</f>
        <v/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117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2</v>
      </c>
      <c r="C4" s="31">
        <f>IFERROR(IF(WEEKDAY(C3,2)=7,"日",WEEKDAY(C3,2)),"")</f>
        <v>3</v>
      </c>
      <c r="D4" s="31">
        <f t="shared" si="1"/>
        <v>4</v>
      </c>
      <c r="E4" s="31">
        <f t="shared" si="1"/>
        <v>5</v>
      </c>
      <c r="F4" s="31">
        <f t="shared" si="1"/>
        <v>6</v>
      </c>
      <c r="G4" s="31" t="str">
        <f t="shared" si="1"/>
        <v>日</v>
      </c>
      <c r="H4" s="31">
        <f t="shared" si="1"/>
        <v>1</v>
      </c>
      <c r="I4" s="31">
        <f t="shared" si="1"/>
        <v>2</v>
      </c>
      <c r="J4" s="31">
        <f t="shared" si="1"/>
        <v>3</v>
      </c>
      <c r="K4" s="31">
        <f t="shared" si="1"/>
        <v>4</v>
      </c>
      <c r="L4" s="31">
        <f t="shared" si="1"/>
        <v>5</v>
      </c>
      <c r="M4" s="31">
        <f t="shared" si="1"/>
        <v>6</v>
      </c>
      <c r="N4" s="31" t="str">
        <f t="shared" si="1"/>
        <v>日</v>
      </c>
      <c r="O4" s="31">
        <f t="shared" si="1"/>
        <v>1</v>
      </c>
      <c r="P4" s="31">
        <f t="shared" si="1"/>
        <v>2</v>
      </c>
      <c r="Q4" s="31">
        <f t="shared" si="1"/>
        <v>3</v>
      </c>
      <c r="R4" s="31">
        <f t="shared" si="1"/>
        <v>4</v>
      </c>
      <c r="S4" s="31">
        <f t="shared" si="1"/>
        <v>5</v>
      </c>
      <c r="T4" s="31">
        <f t="shared" si="1"/>
        <v>6</v>
      </c>
      <c r="U4" s="31" t="str">
        <f t="shared" si="1"/>
        <v>日</v>
      </c>
      <c r="V4" s="31">
        <f t="shared" si="1"/>
        <v>1</v>
      </c>
      <c r="W4" s="31">
        <f t="shared" si="1"/>
        <v>2</v>
      </c>
      <c r="X4" s="31">
        <f t="shared" si="1"/>
        <v>3</v>
      </c>
      <c r="Y4" s="31">
        <f t="shared" si="1"/>
        <v>4</v>
      </c>
      <c r="Z4" s="31">
        <f t="shared" si="1"/>
        <v>5</v>
      </c>
      <c r="AA4" s="31">
        <f t="shared" si="1"/>
        <v>6</v>
      </c>
      <c r="AB4" s="31" t="str">
        <f t="shared" si="1"/>
        <v>日</v>
      </c>
      <c r="AC4" s="31">
        <f t="shared" si="1"/>
        <v>1</v>
      </c>
      <c r="AD4" s="31">
        <f t="shared" si="1"/>
        <v>2</v>
      </c>
      <c r="AE4" s="31">
        <f t="shared" si="1"/>
        <v>3</v>
      </c>
      <c r="AF4" s="31" t="str">
        <f t="shared" si="1"/>
        <v/>
      </c>
      <c r="AG4" s="420" t="s">
        <v>42</v>
      </c>
      <c r="AH4" s="421"/>
      <c r="AI4" s="421"/>
      <c r="AJ4" s="421"/>
      <c r="AK4" s="421"/>
      <c r="AL4" s="422"/>
    </row>
    <row r="5" spans="1:39" ht="21.5">
      <c r="A5" s="6" t="s">
        <v>9</v>
      </c>
      <c r="B5" s="33" t="s">
        <v>2</v>
      </c>
      <c r="C5" s="33" t="s">
        <v>2</v>
      </c>
      <c r="D5" s="88" t="s">
        <v>2</v>
      </c>
      <c r="E5" s="88" t="s">
        <v>7</v>
      </c>
      <c r="F5" s="88"/>
      <c r="G5" s="88" t="s">
        <v>2</v>
      </c>
      <c r="H5" s="88" t="s">
        <v>4</v>
      </c>
      <c r="I5" s="62" t="s">
        <v>3</v>
      </c>
      <c r="J5" s="88"/>
      <c r="K5" s="88" t="s">
        <v>2</v>
      </c>
      <c r="L5" s="88"/>
      <c r="M5" s="88"/>
      <c r="N5" s="88" t="s">
        <v>2</v>
      </c>
      <c r="O5" s="33"/>
      <c r="P5" s="62" t="s">
        <v>4</v>
      </c>
      <c r="Q5" s="62" t="s">
        <v>3</v>
      </c>
      <c r="R5" s="33"/>
      <c r="S5" s="62" t="s">
        <v>2</v>
      </c>
      <c r="T5" s="62" t="s">
        <v>2</v>
      </c>
      <c r="U5" s="62" t="s">
        <v>2</v>
      </c>
      <c r="V5" s="62" t="s">
        <v>2</v>
      </c>
      <c r="W5" s="33"/>
      <c r="X5" s="33"/>
      <c r="Y5" s="62" t="s">
        <v>6</v>
      </c>
      <c r="Z5" s="62" t="s">
        <v>6</v>
      </c>
      <c r="AA5" s="62" t="s">
        <v>2</v>
      </c>
      <c r="AB5" s="62" t="s">
        <v>2</v>
      </c>
      <c r="AC5" s="88" t="s">
        <v>6</v>
      </c>
      <c r="AD5" s="88" t="s">
        <v>6</v>
      </c>
      <c r="AE5" s="62" t="s">
        <v>6</v>
      </c>
      <c r="AF5" s="88"/>
      <c r="AG5" s="3">
        <f>(AH5*12)+(AI5*12)+(AK5*8)+(AL5*4)</f>
        <v>160</v>
      </c>
      <c r="AH5" s="3">
        <f t="shared" ref="AH5:AH12" si="2">COUNTIF(B5:AF5,"D")</f>
        <v>3</v>
      </c>
      <c r="AI5" s="3">
        <f t="shared" ref="AI5:AI12" si="3">COUNTIF(B5:AF5,"N")</f>
        <v>5</v>
      </c>
      <c r="AJ5" s="3">
        <f t="shared" ref="AJ5:AJ12" si="4">COUNTIF(B5:AF5,"OFF")+COUNTIF(B5:AF5,"上課")</f>
        <v>14</v>
      </c>
      <c r="AK5" s="3">
        <f t="shared" ref="AK5:AK12" si="5">COUNTIF(B5:AF5,"")-AL5+COUNTIF(B5:AF5,"h3")</f>
        <v>7</v>
      </c>
      <c r="AL5" s="3">
        <f t="shared" ref="AL5:AL12" si="6">COUNTIFS($B$4:$AF$4,"6",B5:AF5,"")+COUNTIF(B5:AF5,"h3")</f>
        <v>2</v>
      </c>
      <c r="AM5" s="3">
        <f t="array" ref="AM5">SUMPRODUCT(($B$4:$AF$4=6)*(B5:AF5="off"))</f>
        <v>2</v>
      </c>
    </row>
    <row r="6" spans="1:39" ht="21.5">
      <c r="A6" s="6" t="s">
        <v>45</v>
      </c>
      <c r="B6" s="33" t="s">
        <v>2</v>
      </c>
      <c r="C6" s="33" t="s">
        <v>2</v>
      </c>
      <c r="D6" s="33" t="s">
        <v>2</v>
      </c>
      <c r="E6" s="33" t="s">
        <v>2</v>
      </c>
      <c r="F6" s="33" t="s">
        <v>2</v>
      </c>
      <c r="G6" s="33" t="s">
        <v>2</v>
      </c>
      <c r="H6" s="33" t="s">
        <v>2</v>
      </c>
      <c r="I6" s="88" t="s">
        <v>2</v>
      </c>
      <c r="J6" s="33" t="s">
        <v>4</v>
      </c>
      <c r="K6" s="62" t="s">
        <v>2</v>
      </c>
      <c r="L6" s="62" t="s">
        <v>7</v>
      </c>
      <c r="M6" s="88"/>
      <c r="N6" s="62" t="s">
        <v>2</v>
      </c>
      <c r="O6" s="33"/>
      <c r="P6" s="88"/>
      <c r="Q6" s="88" t="s">
        <v>6</v>
      </c>
      <c r="R6" s="77" t="s">
        <v>6</v>
      </c>
      <c r="S6" s="33" t="s">
        <v>5</v>
      </c>
      <c r="T6" s="88" t="s">
        <v>2</v>
      </c>
      <c r="U6" s="62" t="s">
        <v>2</v>
      </c>
      <c r="V6" s="33"/>
      <c r="W6" s="88" t="s">
        <v>7</v>
      </c>
      <c r="X6" s="88"/>
      <c r="Y6" s="62" t="s">
        <v>7</v>
      </c>
      <c r="Z6" s="33" t="s">
        <v>2</v>
      </c>
      <c r="AA6" s="33" t="s">
        <v>5</v>
      </c>
      <c r="AB6" s="33" t="s">
        <v>5</v>
      </c>
      <c r="AC6" s="62" t="s">
        <v>2</v>
      </c>
      <c r="AD6" s="88" t="s">
        <v>2</v>
      </c>
      <c r="AE6" s="88" t="s">
        <v>7</v>
      </c>
      <c r="AF6" s="88"/>
      <c r="AG6" s="3">
        <f>(AH6*12)+(AI6*12)+(AK6*8)+(AL6*4)</f>
        <v>152</v>
      </c>
      <c r="AH6" s="3">
        <f t="shared" si="2"/>
        <v>4</v>
      </c>
      <c r="AI6" s="3">
        <f t="shared" si="3"/>
        <v>5</v>
      </c>
      <c r="AJ6" s="3">
        <f t="shared" si="4"/>
        <v>16</v>
      </c>
      <c r="AK6" s="3">
        <f t="shared" si="5"/>
        <v>5</v>
      </c>
      <c r="AL6" s="3">
        <f t="shared" si="6"/>
        <v>1</v>
      </c>
      <c r="AM6" s="3">
        <f t="array" ref="AM6">SUMPRODUCT(($B$4:$AF$4=6)*(B6:AF6="off"))</f>
        <v>2</v>
      </c>
    </row>
    <row r="7" spans="1:39" ht="21.5">
      <c r="A7" s="6" t="s">
        <v>17</v>
      </c>
      <c r="B7" s="88"/>
      <c r="C7" s="88" t="s">
        <v>7</v>
      </c>
      <c r="D7" s="88" t="s">
        <v>2</v>
      </c>
      <c r="E7" s="88" t="s">
        <v>2</v>
      </c>
      <c r="F7" s="88" t="s">
        <v>7</v>
      </c>
      <c r="G7" s="88" t="s">
        <v>2</v>
      </c>
      <c r="H7" s="88" t="s">
        <v>3</v>
      </c>
      <c r="J7" s="88" t="s">
        <v>4</v>
      </c>
      <c r="K7" s="88" t="s">
        <v>3</v>
      </c>
      <c r="L7" s="88" t="s">
        <v>2</v>
      </c>
      <c r="M7" s="88" t="s">
        <v>2</v>
      </c>
      <c r="N7" s="88" t="s">
        <v>2</v>
      </c>
      <c r="O7" s="88" t="s">
        <v>4</v>
      </c>
      <c r="P7" s="88" t="s">
        <v>3</v>
      </c>
      <c r="Q7" s="88" t="s">
        <v>302</v>
      </c>
      <c r="R7" s="88" t="s">
        <v>3</v>
      </c>
      <c r="S7" s="136" t="s">
        <v>3</v>
      </c>
      <c r="T7" s="88" t="s">
        <v>2</v>
      </c>
      <c r="U7" s="88" t="s">
        <v>2</v>
      </c>
      <c r="V7" s="88" t="s">
        <v>7</v>
      </c>
      <c r="W7" s="88" t="s">
        <v>2</v>
      </c>
      <c r="X7" s="88" t="s">
        <v>7</v>
      </c>
      <c r="Y7" s="88"/>
      <c r="Z7" s="88"/>
      <c r="AA7" s="88" t="s">
        <v>2</v>
      </c>
      <c r="AB7" s="88" t="s">
        <v>2</v>
      </c>
      <c r="AC7" s="88" t="s">
        <v>7</v>
      </c>
      <c r="AD7" s="88"/>
      <c r="AE7" s="88" t="s">
        <v>2</v>
      </c>
      <c r="AF7" s="88"/>
      <c r="AG7" s="3">
        <f t="shared" ref="AG7:AG12" si="7">(AH7*12)+(AI7*12)+(AK7*8)+(AL7*4)</f>
        <v>168</v>
      </c>
      <c r="AH7" s="3">
        <f t="shared" si="2"/>
        <v>10</v>
      </c>
      <c r="AI7" s="3">
        <f t="shared" si="3"/>
        <v>0</v>
      </c>
      <c r="AJ7" s="3">
        <f t="shared" si="4"/>
        <v>14</v>
      </c>
      <c r="AK7" s="3">
        <f t="shared" si="5"/>
        <v>6</v>
      </c>
      <c r="AL7" s="3">
        <f t="shared" si="6"/>
        <v>0</v>
      </c>
      <c r="AM7" s="3">
        <f t="array" ref="AM7">SUMPRODUCT(($B$4:$AF$4=6)*(B7:AF7="off"))</f>
        <v>3</v>
      </c>
    </row>
    <row r="8" spans="1:39" ht="21.5">
      <c r="A8" s="6" t="s">
        <v>46</v>
      </c>
      <c r="B8" s="88"/>
      <c r="C8" s="33"/>
      <c r="D8" s="88" t="s">
        <v>7</v>
      </c>
      <c r="E8" s="88" t="s">
        <v>2</v>
      </c>
      <c r="F8" s="88" t="s">
        <v>2</v>
      </c>
      <c r="G8" s="88" t="s">
        <v>7</v>
      </c>
      <c r="H8" s="88"/>
      <c r="I8" s="88" t="s">
        <v>2</v>
      </c>
      <c r="J8" s="88" t="s">
        <v>6</v>
      </c>
      <c r="K8" s="88" t="s">
        <v>6</v>
      </c>
      <c r="L8" s="62" t="s">
        <v>6</v>
      </c>
      <c r="M8" s="62" t="s">
        <v>6</v>
      </c>
      <c r="N8" s="88" t="s">
        <v>6</v>
      </c>
      <c r="O8" s="62" t="s">
        <v>2</v>
      </c>
      <c r="P8" s="62" t="s">
        <v>2</v>
      </c>
      <c r="Q8" s="62" t="s">
        <v>4</v>
      </c>
      <c r="R8" s="62" t="s">
        <v>2</v>
      </c>
      <c r="S8" s="33"/>
      <c r="T8" s="62" t="s">
        <v>7</v>
      </c>
      <c r="U8" s="62" t="s">
        <v>2</v>
      </c>
      <c r="V8" s="33"/>
      <c r="W8" s="33"/>
      <c r="X8" s="62" t="s">
        <v>2</v>
      </c>
      <c r="Y8" s="62" t="s">
        <v>2</v>
      </c>
      <c r="Z8" s="33"/>
      <c r="AA8" s="33"/>
      <c r="AB8" s="62" t="s">
        <v>2</v>
      </c>
      <c r="AC8" s="88"/>
      <c r="AD8" s="88" t="s">
        <v>2</v>
      </c>
      <c r="AE8" s="88" t="s">
        <v>2</v>
      </c>
      <c r="AF8" s="88"/>
      <c r="AG8" s="3">
        <f t="shared" si="7"/>
        <v>172</v>
      </c>
      <c r="AH8" s="3">
        <f t="shared" si="2"/>
        <v>3</v>
      </c>
      <c r="AI8" s="3">
        <f t="shared" si="3"/>
        <v>5</v>
      </c>
      <c r="AJ8" s="3">
        <f t="shared" si="4"/>
        <v>13</v>
      </c>
      <c r="AK8" s="3">
        <f t="shared" si="5"/>
        <v>9</v>
      </c>
      <c r="AL8" s="3">
        <f t="shared" si="6"/>
        <v>1</v>
      </c>
      <c r="AM8" s="3">
        <f t="array" ref="AM8">SUMPRODUCT(($B$4:$AF$4=6)*(B8:AF8="off"))</f>
        <v>1</v>
      </c>
    </row>
    <row r="9" spans="1:39" ht="21.5">
      <c r="A9" s="6" t="s">
        <v>12</v>
      </c>
      <c r="B9" s="88" t="s">
        <v>2</v>
      </c>
      <c r="C9" s="88" t="s">
        <v>2</v>
      </c>
      <c r="D9" s="88" t="s">
        <v>2</v>
      </c>
      <c r="E9" s="33" t="s">
        <v>2</v>
      </c>
      <c r="F9" s="33" t="s">
        <v>2</v>
      </c>
      <c r="G9" s="33" t="s">
        <v>2</v>
      </c>
      <c r="H9" s="33"/>
      <c r="I9" s="33"/>
      <c r="J9" s="33"/>
      <c r="K9" s="33"/>
      <c r="L9" s="33" t="s">
        <v>2</v>
      </c>
      <c r="M9" s="33" t="s">
        <v>2</v>
      </c>
      <c r="N9" s="88" t="s">
        <v>7</v>
      </c>
      <c r="O9" s="88" t="s">
        <v>6</v>
      </c>
      <c r="P9" s="62" t="s">
        <v>6</v>
      </c>
      <c r="Q9" s="62" t="s">
        <v>2</v>
      </c>
      <c r="R9" s="88"/>
      <c r="S9" s="88"/>
      <c r="T9" s="88" t="s">
        <v>6</v>
      </c>
      <c r="U9" s="88" t="s">
        <v>6</v>
      </c>
      <c r="V9" s="88" t="s">
        <v>2</v>
      </c>
      <c r="W9" s="88" t="s">
        <v>2</v>
      </c>
      <c r="X9" s="88" t="s">
        <v>2</v>
      </c>
      <c r="Y9" s="88" t="s">
        <v>2</v>
      </c>
      <c r="Z9" s="88" t="s">
        <v>2</v>
      </c>
      <c r="AA9" s="88" t="s">
        <v>7</v>
      </c>
      <c r="AB9" s="88" t="s">
        <v>2</v>
      </c>
      <c r="AC9" s="88" t="s">
        <v>2</v>
      </c>
      <c r="AD9" s="88" t="s">
        <v>3</v>
      </c>
      <c r="AE9" s="88"/>
      <c r="AF9" s="88"/>
      <c r="AG9" s="3">
        <f t="shared" si="7"/>
        <v>148</v>
      </c>
      <c r="AH9" s="3">
        <f t="shared" si="2"/>
        <v>3</v>
      </c>
      <c r="AI9" s="3">
        <f t="shared" si="3"/>
        <v>4</v>
      </c>
      <c r="AJ9" s="3">
        <f t="shared" si="4"/>
        <v>16</v>
      </c>
      <c r="AK9" s="3">
        <f t="shared" si="5"/>
        <v>8</v>
      </c>
      <c r="AL9" s="3">
        <f t="shared" si="6"/>
        <v>0</v>
      </c>
      <c r="AM9" s="3">
        <f t="array" ref="AM9">SUMPRODUCT(($B$4:$AF$4=6)*(B9:AF9="off"))</f>
        <v>2</v>
      </c>
    </row>
    <row r="10" spans="1:39" ht="21.5">
      <c r="A10" s="6" t="s">
        <v>15</v>
      </c>
      <c r="B10" s="88" t="s">
        <v>5</v>
      </c>
      <c r="C10" s="33" t="s">
        <v>5</v>
      </c>
      <c r="D10" s="88" t="s">
        <v>2</v>
      </c>
      <c r="E10" s="88" t="s">
        <v>2</v>
      </c>
      <c r="F10" s="88"/>
      <c r="G10" s="33" t="s">
        <v>5</v>
      </c>
      <c r="H10" s="33" t="s">
        <v>5</v>
      </c>
      <c r="I10" s="33" t="s">
        <v>5</v>
      </c>
      <c r="J10" s="33" t="s">
        <v>10</v>
      </c>
      <c r="K10" s="33" t="s">
        <v>10</v>
      </c>
      <c r="L10" s="33" t="s">
        <v>10</v>
      </c>
      <c r="M10" s="33" t="s">
        <v>2</v>
      </c>
      <c r="N10" s="33" t="s">
        <v>10</v>
      </c>
      <c r="O10" s="33" t="s">
        <v>10</v>
      </c>
      <c r="P10" s="33" t="s">
        <v>10</v>
      </c>
      <c r="Q10" s="33" t="s">
        <v>10</v>
      </c>
      <c r="R10" s="33" t="s">
        <v>10</v>
      </c>
      <c r="S10" s="88" t="s">
        <v>2</v>
      </c>
      <c r="T10" s="88"/>
      <c r="U10" s="88" t="s">
        <v>2</v>
      </c>
      <c r="V10" s="88" t="s">
        <v>2</v>
      </c>
      <c r="W10" s="88" t="s">
        <v>2</v>
      </c>
      <c r="X10" s="88" t="s">
        <v>2</v>
      </c>
      <c r="Y10" s="88"/>
      <c r="Z10" s="88" t="s">
        <v>7</v>
      </c>
      <c r="AA10" s="88"/>
      <c r="AB10" s="88" t="s">
        <v>7</v>
      </c>
      <c r="AC10" s="88"/>
      <c r="AD10" s="88" t="s">
        <v>2</v>
      </c>
      <c r="AE10" s="88"/>
      <c r="AF10" s="88"/>
      <c r="AG10" s="3">
        <f t="shared" si="7"/>
        <v>128</v>
      </c>
      <c r="AH10" s="3">
        <f t="shared" si="2"/>
        <v>2</v>
      </c>
      <c r="AI10" s="3">
        <f t="shared" si="3"/>
        <v>5</v>
      </c>
      <c r="AJ10" s="3">
        <f t="shared" si="4"/>
        <v>17</v>
      </c>
      <c r="AK10" s="3">
        <f t="shared" si="5"/>
        <v>4</v>
      </c>
      <c r="AL10" s="3">
        <f t="shared" si="6"/>
        <v>3</v>
      </c>
      <c r="AM10" s="3">
        <f t="array" ref="AM10">SUMPRODUCT(($B$4:$AF$4=6)*(B10:AF10="off"))</f>
        <v>1</v>
      </c>
    </row>
    <row r="11" spans="1:39" ht="21.5">
      <c r="A11" s="6" t="s">
        <v>269</v>
      </c>
      <c r="B11" s="88"/>
      <c r="C11" s="88"/>
      <c r="D11" s="88"/>
      <c r="E11" s="88"/>
      <c r="F11" s="88"/>
      <c r="G11" s="88"/>
      <c r="H11" s="88"/>
      <c r="I11" s="33"/>
      <c r="J11" s="33"/>
      <c r="K11" s="88"/>
      <c r="L11" s="88"/>
      <c r="M11" s="33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3">
        <f t="shared" si="7"/>
        <v>232</v>
      </c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27</v>
      </c>
      <c r="AL11" s="3">
        <f t="shared" si="6"/>
        <v>4</v>
      </c>
      <c r="AM11" s="3">
        <f t="array" ref="AM11">SUMPRODUCT(($B$4:$AF$4=6)*(B11:AF11="off"))</f>
        <v>0</v>
      </c>
    </row>
    <row r="12" spans="1:39" ht="21.5">
      <c r="A12" s="6" t="s">
        <v>51</v>
      </c>
      <c r="B12" s="88" t="s">
        <v>3</v>
      </c>
      <c r="C12" s="88"/>
      <c r="D12" s="88" t="s">
        <v>6</v>
      </c>
      <c r="E12" s="88" t="s">
        <v>5</v>
      </c>
      <c r="F12" s="88" t="s">
        <v>5</v>
      </c>
      <c r="G12" s="88" t="s">
        <v>2</v>
      </c>
      <c r="H12" s="88" t="s">
        <v>2</v>
      </c>
      <c r="I12" s="62" t="s">
        <v>2</v>
      </c>
      <c r="J12" s="62" t="s">
        <v>3</v>
      </c>
      <c r="K12" s="88"/>
      <c r="L12" s="88"/>
      <c r="M12" s="62" t="s">
        <v>3</v>
      </c>
      <c r="N12" s="88" t="s">
        <v>2</v>
      </c>
      <c r="O12" s="88" t="s">
        <v>3</v>
      </c>
      <c r="P12" s="33"/>
      <c r="Q12" s="88"/>
      <c r="R12" s="88" t="s">
        <v>4</v>
      </c>
      <c r="S12" s="88" t="s">
        <v>2</v>
      </c>
      <c r="T12" s="88"/>
      <c r="U12" s="88" t="s">
        <v>7</v>
      </c>
      <c r="V12" s="88" t="s">
        <v>6</v>
      </c>
      <c r="W12" s="62" t="s">
        <v>6</v>
      </c>
      <c r="X12" s="62" t="s">
        <v>6</v>
      </c>
      <c r="Y12" s="88" t="s">
        <v>2</v>
      </c>
      <c r="Z12" s="88" t="s">
        <v>2</v>
      </c>
      <c r="AA12" s="88" t="s">
        <v>2</v>
      </c>
      <c r="AB12" s="88" t="s">
        <v>2</v>
      </c>
      <c r="AC12" s="88" t="s">
        <v>2</v>
      </c>
      <c r="AD12" s="88"/>
      <c r="AE12" s="88" t="s">
        <v>2</v>
      </c>
      <c r="AF12" s="88"/>
      <c r="AG12" s="3">
        <f t="shared" si="7"/>
        <v>192</v>
      </c>
      <c r="AH12" s="3">
        <f t="shared" si="2"/>
        <v>5</v>
      </c>
      <c r="AI12" s="3">
        <f t="shared" si="3"/>
        <v>6</v>
      </c>
      <c r="AJ12" s="3">
        <f t="shared" si="4"/>
        <v>12</v>
      </c>
      <c r="AK12" s="3">
        <f t="shared" si="5"/>
        <v>7</v>
      </c>
      <c r="AL12" s="3">
        <f t="shared" si="6"/>
        <v>1</v>
      </c>
      <c r="AM12" s="3">
        <f t="array" ref="AM12">SUMPRODUCT(($B$4:$AF$4=6)*(B12:AF12="off"))</f>
        <v>1</v>
      </c>
    </row>
    <row r="13" spans="1:39" ht="21.5">
      <c r="A13" s="93" t="s">
        <v>277</v>
      </c>
      <c r="B13" s="115">
        <f>IF(B4="","",IF(B4="日",5,IF(B4=6,3,IF(B4&lt;6,3))))</f>
        <v>3</v>
      </c>
      <c r="C13" s="115">
        <f t="shared" ref="C13:AF13" si="8">IF(C4="","",IF(C4="日",5,IF(C4=6,3,IF(C4&lt;6,3))))</f>
        <v>3</v>
      </c>
      <c r="D13" s="115">
        <f t="shared" si="8"/>
        <v>3</v>
      </c>
      <c r="E13" s="115">
        <f t="shared" si="8"/>
        <v>3</v>
      </c>
      <c r="F13" s="115">
        <f t="shared" si="8"/>
        <v>3</v>
      </c>
      <c r="G13" s="115">
        <f t="shared" si="8"/>
        <v>5</v>
      </c>
      <c r="H13" s="115">
        <f t="shared" si="8"/>
        <v>3</v>
      </c>
      <c r="I13" s="115">
        <f t="shared" si="8"/>
        <v>3</v>
      </c>
      <c r="J13" s="115">
        <f t="shared" si="8"/>
        <v>3</v>
      </c>
      <c r="K13" s="115">
        <f t="shared" si="8"/>
        <v>3</v>
      </c>
      <c r="L13" s="115">
        <f t="shared" si="8"/>
        <v>3</v>
      </c>
      <c r="M13" s="115">
        <f t="shared" si="8"/>
        <v>3</v>
      </c>
      <c r="N13" s="115">
        <f t="shared" si="8"/>
        <v>5</v>
      </c>
      <c r="O13" s="115">
        <f t="shared" si="8"/>
        <v>3</v>
      </c>
      <c r="P13" s="115">
        <f t="shared" si="8"/>
        <v>3</v>
      </c>
      <c r="Q13" s="115">
        <f t="shared" si="8"/>
        <v>3</v>
      </c>
      <c r="R13" s="115">
        <f t="shared" si="8"/>
        <v>3</v>
      </c>
      <c r="S13" s="115">
        <f t="shared" si="8"/>
        <v>3</v>
      </c>
      <c r="T13" s="115">
        <f t="shared" si="8"/>
        <v>3</v>
      </c>
      <c r="U13" s="115">
        <f t="shared" si="8"/>
        <v>5</v>
      </c>
      <c r="V13" s="115">
        <f t="shared" si="8"/>
        <v>3</v>
      </c>
      <c r="W13" s="115">
        <f t="shared" si="8"/>
        <v>3</v>
      </c>
      <c r="X13" s="115">
        <f t="shared" si="8"/>
        <v>3</v>
      </c>
      <c r="Y13" s="115">
        <f t="shared" si="8"/>
        <v>3</v>
      </c>
      <c r="Z13" s="115">
        <f t="shared" si="8"/>
        <v>3</v>
      </c>
      <c r="AA13" s="115">
        <f t="shared" si="8"/>
        <v>3</v>
      </c>
      <c r="AB13" s="115">
        <f t="shared" si="8"/>
        <v>5</v>
      </c>
      <c r="AC13" s="115">
        <f t="shared" si="8"/>
        <v>3</v>
      </c>
      <c r="AD13" s="115">
        <f t="shared" si="8"/>
        <v>3</v>
      </c>
      <c r="AE13" s="115">
        <f t="shared" si="8"/>
        <v>3</v>
      </c>
      <c r="AF13" s="115" t="str">
        <f t="shared" si="8"/>
        <v/>
      </c>
      <c r="AG13" s="12"/>
      <c r="AH13" s="12"/>
      <c r="AI13" s="12"/>
      <c r="AJ13" s="12"/>
      <c r="AK13" s="12"/>
      <c r="AL13" s="12"/>
    </row>
    <row r="14" spans="1:39" ht="20.5">
      <c r="A14" s="93" t="s">
        <v>251</v>
      </c>
      <c r="B14" s="114"/>
      <c r="C14" s="114"/>
      <c r="D14" s="114" t="s">
        <v>250</v>
      </c>
      <c r="E14" s="114" t="s">
        <v>250</v>
      </c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39" ht="28" thickBot="1">
      <c r="A15" s="4"/>
      <c r="B15" s="436" t="s">
        <v>158</v>
      </c>
      <c r="C15" s="436"/>
      <c r="D15" s="91"/>
      <c r="E15" s="91"/>
      <c r="F15" s="91"/>
      <c r="G15" s="91"/>
      <c r="H15" s="4"/>
      <c r="I15" s="4"/>
      <c r="J15" s="12"/>
      <c r="K15" s="4"/>
      <c r="AB15" s="14"/>
    </row>
    <row r="16" spans="1:39" ht="32.5" thickBot="1">
      <c r="A16" s="4"/>
      <c r="B16" s="36">
        <v>1</v>
      </c>
      <c r="C16" s="424" t="s">
        <v>173</v>
      </c>
      <c r="D16" s="435"/>
      <c r="E16" s="433" t="s">
        <v>9</v>
      </c>
      <c r="F16" s="434"/>
      <c r="G16" s="14" t="s">
        <v>52</v>
      </c>
      <c r="J16" s="37">
        <f>J17+J18</f>
        <v>4</v>
      </c>
      <c r="K16" s="13" t="s">
        <v>53</v>
      </c>
      <c r="L16" s="13" t="s">
        <v>54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  <c r="X16" s="14"/>
      <c r="Y16" s="14"/>
      <c r="Z16" s="14"/>
      <c r="AA16" s="14"/>
      <c r="AB16" s="14"/>
      <c r="AD16" t="s">
        <v>256</v>
      </c>
      <c r="AE16" s="133" t="s">
        <v>254</v>
      </c>
      <c r="AF16" t="s">
        <v>255</v>
      </c>
      <c r="AG16" s="105" t="s">
        <v>237</v>
      </c>
      <c r="AH16" t="s">
        <v>4</v>
      </c>
      <c r="AI16" s="38" t="s">
        <v>55</v>
      </c>
      <c r="AJ16" s="103" t="s">
        <v>56</v>
      </c>
      <c r="AK16" s="39" t="s">
        <v>9</v>
      </c>
      <c r="AL16" s="92" t="s">
        <v>57</v>
      </c>
    </row>
    <row r="17" spans="1:39" ht="32.5" thickBot="1">
      <c r="A17" s="4"/>
      <c r="B17" s="41">
        <v>2</v>
      </c>
      <c r="C17" s="424" t="s">
        <v>30</v>
      </c>
      <c r="D17" s="435"/>
      <c r="E17" s="433" t="s">
        <v>16</v>
      </c>
      <c r="F17" s="434"/>
      <c r="G17" s="42"/>
      <c r="H17" s="13" t="s">
        <v>59</v>
      </c>
      <c r="I17" s="13"/>
      <c r="J17" s="37">
        <v>2</v>
      </c>
      <c r="K17" s="4"/>
      <c r="L17" s="13" t="s">
        <v>60</v>
      </c>
      <c r="M17" s="13"/>
      <c r="N17" s="13"/>
      <c r="O17" s="13"/>
      <c r="P17" s="13"/>
      <c r="Q17" s="7"/>
      <c r="S17" s="43" t="str">
        <f>QUOTIENT((COUNTA(B3:AF3)-COUNTIF(AD3:AF3,"")),COUNTA(B16:B23))&amp;" ... "&amp;MOD((COUNTA(B3:AF3)-COUNTIF(AD3:AF3,"")),COUNTA(B16:B23))</f>
        <v>4 ... 2</v>
      </c>
      <c r="T17" s="44"/>
      <c r="U17" s="45"/>
      <c r="W17" s="13"/>
      <c r="X17" s="8" t="s">
        <v>20</v>
      </c>
      <c r="Y17" s="20" t="s">
        <v>3</v>
      </c>
      <c r="Z17" s="118">
        <v>3</v>
      </c>
      <c r="AA17" s="20" t="s">
        <v>5</v>
      </c>
      <c r="AB17" s="121">
        <v>5</v>
      </c>
      <c r="AC17" s="124">
        <v>4</v>
      </c>
      <c r="AD17" s="129">
        <v>4</v>
      </c>
      <c r="AE17" s="20">
        <v>8</v>
      </c>
      <c r="AF17" s="73"/>
      <c r="AG17" s="107">
        <v>2</v>
      </c>
      <c r="AH17" t="s">
        <v>3</v>
      </c>
      <c r="AI17" s="46" t="s">
        <v>61</v>
      </c>
      <c r="AJ17" s="104" t="s">
        <v>62</v>
      </c>
      <c r="AK17" s="92" t="s">
        <v>45</v>
      </c>
      <c r="AL17" s="92" t="s">
        <v>63</v>
      </c>
      <c r="AM17" t="s">
        <v>58</v>
      </c>
    </row>
    <row r="18" spans="1:39" ht="32.5" thickBot="1">
      <c r="A18" s="4"/>
      <c r="B18" s="41">
        <v>3</v>
      </c>
      <c r="C18" s="424" t="s">
        <v>31</v>
      </c>
      <c r="D18" s="435"/>
      <c r="E18" s="433" t="s">
        <v>17</v>
      </c>
      <c r="F18" s="434"/>
      <c r="G18" s="42"/>
      <c r="H18" s="13" t="s">
        <v>65</v>
      </c>
      <c r="J18" s="37">
        <v>2</v>
      </c>
      <c r="L18" s="13" t="s">
        <v>66</v>
      </c>
      <c r="M18" s="13"/>
      <c r="N18" s="13"/>
      <c r="O18" s="13"/>
      <c r="P18" s="13"/>
      <c r="Q18" s="7"/>
      <c r="S18" s="48" t="str">
        <f>QUOTIENT((COUNTA(B3:AF3)-COUNTIF(AD3:AF3,"")),COUNTA(B16:B23))&amp;" ... "&amp;MOD((COUNTA(B3:AF3)-COUNTIF(AD3:AF3,"")),COUNTA(B16:B23))</f>
        <v>4 ... 2</v>
      </c>
      <c r="T18" s="49"/>
      <c r="U18" s="45"/>
      <c r="X18" s="8" t="s">
        <v>21</v>
      </c>
      <c r="Y18" s="20" t="s">
        <v>3</v>
      </c>
      <c r="Z18" s="118">
        <v>4</v>
      </c>
      <c r="AA18" s="20" t="s">
        <v>5</v>
      </c>
      <c r="AB18" s="123">
        <v>5</v>
      </c>
      <c r="AC18" s="125">
        <v>4</v>
      </c>
      <c r="AD18" s="148">
        <v>5</v>
      </c>
      <c r="AE18" s="20">
        <v>9</v>
      </c>
      <c r="AF18" s="20"/>
      <c r="AG18" s="106">
        <v>2</v>
      </c>
      <c r="AH18" t="s">
        <v>5</v>
      </c>
      <c r="AI18" s="46" t="s">
        <v>67</v>
      </c>
      <c r="AJ18" s="104" t="s">
        <v>56</v>
      </c>
      <c r="AK18" s="92" t="s">
        <v>17</v>
      </c>
      <c r="AL18" s="92" t="s">
        <v>68</v>
      </c>
      <c r="AM18" t="s">
        <v>64</v>
      </c>
    </row>
    <row r="19" spans="1:39" ht="32.5" thickBot="1">
      <c r="A19" s="4"/>
      <c r="B19" s="41">
        <v>4</v>
      </c>
      <c r="C19" s="424" t="s">
        <v>30</v>
      </c>
      <c r="D19" s="435"/>
      <c r="E19" s="433" t="s">
        <v>14</v>
      </c>
      <c r="F19" s="434"/>
      <c r="L19" s="13" t="s">
        <v>70</v>
      </c>
      <c r="M19" s="13"/>
      <c r="N19" s="13"/>
      <c r="O19" s="13"/>
      <c r="P19" s="13"/>
      <c r="Q19" s="13"/>
      <c r="S19" s="50" t="str">
        <f>QUOTIENT(W20,COUNTA(B16:B23))&amp;" ... "&amp;MOD(W20,COUNTA(B16:B23))</f>
        <v>13 ... 1</v>
      </c>
      <c r="T19" s="51"/>
      <c r="U19" s="52"/>
      <c r="X19" s="8" t="s">
        <v>22</v>
      </c>
      <c r="Y19" s="20" t="s">
        <v>3</v>
      </c>
      <c r="Z19" s="119">
        <v>9</v>
      </c>
      <c r="AA19" s="82" t="s">
        <v>5</v>
      </c>
      <c r="AB19" s="121">
        <v>0</v>
      </c>
      <c r="AC19" s="126">
        <v>4</v>
      </c>
      <c r="AD19" s="130">
        <v>5</v>
      </c>
      <c r="AE19" s="20">
        <v>9</v>
      </c>
      <c r="AF19" s="20"/>
      <c r="AG19" s="106">
        <v>2</v>
      </c>
      <c r="AH19" t="s">
        <v>40</v>
      </c>
      <c r="AI19" s="46" t="s">
        <v>71</v>
      </c>
      <c r="AJ19" s="104" t="s">
        <v>72</v>
      </c>
      <c r="AK19" s="92" t="s">
        <v>46</v>
      </c>
      <c r="AL19" s="92" t="s">
        <v>73</v>
      </c>
      <c r="AM19" t="s">
        <v>69</v>
      </c>
    </row>
    <row r="20" spans="1:39" ht="32.5" thickBot="1">
      <c r="A20" s="4"/>
      <c r="B20" s="41">
        <v>5</v>
      </c>
      <c r="C20" s="424" t="s">
        <v>192</v>
      </c>
      <c r="D20" s="435"/>
      <c r="E20" s="433" t="s">
        <v>13</v>
      </c>
      <c r="F20" s="434"/>
      <c r="G20" s="42"/>
      <c r="H20" s="5"/>
      <c r="I20" s="5"/>
      <c r="J20" s="5"/>
      <c r="K20" s="5"/>
      <c r="L20" s="13" t="s">
        <v>75</v>
      </c>
      <c r="M20" s="13"/>
      <c r="N20" s="13" t="s">
        <v>76</v>
      </c>
      <c r="O20" s="37">
        <f>COUNTIF(B4:AF4,"日")*((COUNTA(B16:B23))-J18)</f>
        <v>20</v>
      </c>
      <c r="P20" s="13" t="s">
        <v>77</v>
      </c>
      <c r="Q20" s="13" t="s">
        <v>78</v>
      </c>
      <c r="R20" s="37">
        <f>COUNTIF(B4:AF4,"6")*((COUNTA(B16:B23))-J16)</f>
        <v>12</v>
      </c>
      <c r="S20" s="13" t="s">
        <v>79</v>
      </c>
      <c r="T20" s="53">
        <f>O20+R20</f>
        <v>32</v>
      </c>
      <c r="U20" s="13" t="s">
        <v>32</v>
      </c>
      <c r="V20" s="13"/>
      <c r="W20" s="54">
        <f>T20+T22</f>
        <v>92</v>
      </c>
      <c r="X20" s="8" t="s">
        <v>3</v>
      </c>
      <c r="Y20" s="20" t="s">
        <v>3</v>
      </c>
      <c r="Z20" s="119">
        <v>3</v>
      </c>
      <c r="AA20" s="20" t="s">
        <v>5</v>
      </c>
      <c r="AB20" s="122">
        <v>5</v>
      </c>
      <c r="AC20" s="126">
        <v>4</v>
      </c>
      <c r="AD20" s="131">
        <v>4</v>
      </c>
      <c r="AE20" s="20">
        <v>8</v>
      </c>
      <c r="AF20" s="188"/>
      <c r="AG20" s="106">
        <v>2</v>
      </c>
      <c r="AH20" t="s">
        <v>80</v>
      </c>
      <c r="AI20" s="46"/>
      <c r="AJ20" s="55"/>
      <c r="AK20" s="92" t="s">
        <v>12</v>
      </c>
      <c r="AL20" s="92" t="s">
        <v>81</v>
      </c>
      <c r="AM20" t="s">
        <v>74</v>
      </c>
    </row>
    <row r="21" spans="1:39" ht="34" thickBot="1">
      <c r="A21" s="4"/>
      <c r="B21" s="41">
        <v>6</v>
      </c>
      <c r="C21" s="424" t="s">
        <v>30</v>
      </c>
      <c r="D21" s="435"/>
      <c r="E21" s="433" t="s">
        <v>15</v>
      </c>
      <c r="F21" s="434"/>
      <c r="G21" s="42"/>
      <c r="H21" s="4"/>
      <c r="I21" s="4"/>
      <c r="J21" s="4"/>
      <c r="K21" s="4"/>
      <c r="N21" s="13" t="s">
        <v>82</v>
      </c>
      <c r="O21" s="13"/>
      <c r="Q21" s="101">
        <f>COUNTIF(B14:AF14,"*國*")</f>
        <v>2</v>
      </c>
      <c r="R21" s="102" t="s">
        <v>233</v>
      </c>
      <c r="S21" s="13"/>
      <c r="T21" s="37">
        <f>((COUNTA(B16:B23))-J18)*Q21</f>
        <v>10</v>
      </c>
      <c r="U21" s="13"/>
      <c r="V21" s="13"/>
      <c r="W21" s="13"/>
      <c r="X21" s="8" t="s">
        <v>23</v>
      </c>
      <c r="Y21" s="20" t="s">
        <v>3</v>
      </c>
      <c r="Z21" s="120">
        <v>4</v>
      </c>
      <c r="AA21" s="20" t="s">
        <v>5</v>
      </c>
      <c r="AB21" s="121">
        <v>5</v>
      </c>
      <c r="AC21" s="127">
        <v>5</v>
      </c>
      <c r="AD21" s="130">
        <v>4</v>
      </c>
      <c r="AE21" s="20">
        <v>9</v>
      </c>
      <c r="AF21" s="20"/>
      <c r="AG21" s="106">
        <v>2</v>
      </c>
      <c r="AH21" t="s">
        <v>85</v>
      </c>
      <c r="AI21" s="46" t="s">
        <v>83</v>
      </c>
      <c r="AJ21" s="104" t="s">
        <v>84</v>
      </c>
      <c r="AK21" s="92" t="s">
        <v>49</v>
      </c>
      <c r="AL21" s="92" t="s">
        <v>86</v>
      </c>
    </row>
    <row r="22" spans="1:39" ht="32.5" thickBot="1">
      <c r="A22" s="4"/>
      <c r="B22" s="41">
        <v>7</v>
      </c>
      <c r="C22" s="424" t="s">
        <v>19</v>
      </c>
      <c r="D22" s="435"/>
      <c r="E22" s="433" t="s">
        <v>27</v>
      </c>
      <c r="F22" s="434"/>
      <c r="G22" s="42"/>
      <c r="N22" s="13" t="s">
        <v>88</v>
      </c>
      <c r="P22" s="13"/>
      <c r="T22" s="37">
        <f t="array" ref="T22">(SUMPRODUCT(--(B3:AF3&lt;&gt;""))-COUNTIF(B4:AF4,"日")-COUNTIF(B4:AF4,"6")-Q21)*((COUNTA(B16:B23))-J16)</f>
        <v>60</v>
      </c>
      <c r="U22" s="13"/>
      <c r="V22" s="13"/>
      <c r="W22" s="13"/>
      <c r="X22" s="8" t="s">
        <v>24</v>
      </c>
      <c r="Y22" s="20" t="s">
        <v>3</v>
      </c>
      <c r="Z22" s="119">
        <v>4</v>
      </c>
      <c r="AA22" s="20" t="s">
        <v>5</v>
      </c>
      <c r="AB22" s="121">
        <v>5</v>
      </c>
      <c r="AC22" s="126">
        <v>5</v>
      </c>
      <c r="AD22" s="130">
        <v>4</v>
      </c>
      <c r="AE22" s="20">
        <v>9</v>
      </c>
      <c r="AF22" s="20"/>
      <c r="AG22" s="106">
        <v>1</v>
      </c>
      <c r="AH22" t="s">
        <v>205</v>
      </c>
      <c r="AI22" s="56" t="s">
        <v>89</v>
      </c>
      <c r="AJ22" s="104" t="s">
        <v>90</v>
      </c>
      <c r="AK22" s="92" t="s">
        <v>50</v>
      </c>
      <c r="AL22" s="92" t="s">
        <v>92</v>
      </c>
    </row>
    <row r="23" spans="1:39" ht="32.5" thickBot="1">
      <c r="B23" s="41"/>
      <c r="C23" s="424"/>
      <c r="D23" s="435"/>
      <c r="E23" s="433"/>
      <c r="F23" s="434"/>
      <c r="G23" s="42"/>
      <c r="H23" s="13"/>
      <c r="I23" s="13"/>
      <c r="J23" s="13"/>
      <c r="K23" s="13"/>
      <c r="L23" s="13" t="s">
        <v>93</v>
      </c>
      <c r="M23" s="13"/>
      <c r="O23" s="13"/>
      <c r="P23" s="4"/>
      <c r="Q23" s="57"/>
      <c r="R23" s="17"/>
      <c r="S23" s="21"/>
      <c r="T23" s="430" t="str">
        <f>QUOTIENT(R20,COUNTA(B16:B23))&amp;" ... "&amp;MOD(R20,COUNTA(B16:B23))</f>
        <v>1 ... 5</v>
      </c>
      <c r="U23" s="431"/>
      <c r="V23" s="432"/>
      <c r="X23" s="8" t="s">
        <v>25</v>
      </c>
      <c r="Y23" s="20" t="s">
        <v>3</v>
      </c>
      <c r="Z23" s="118">
        <v>0</v>
      </c>
      <c r="AA23" s="82" t="s">
        <v>5</v>
      </c>
      <c r="AB23" s="122">
        <v>0</v>
      </c>
      <c r="AC23" s="125"/>
      <c r="AD23" s="131"/>
      <c r="AE23" s="20"/>
      <c r="AF23" s="20"/>
      <c r="AG23" s="106"/>
      <c r="AH23" t="s">
        <v>211</v>
      </c>
      <c r="AI23" s="46" t="s">
        <v>94</v>
      </c>
      <c r="AJ23" s="104" t="s">
        <v>95</v>
      </c>
      <c r="AK23" s="92" t="s">
        <v>51</v>
      </c>
      <c r="AL23" s="92" t="s">
        <v>98</v>
      </c>
    </row>
    <row r="24" spans="1:39" ht="31">
      <c r="X24" s="8" t="s">
        <v>11</v>
      </c>
      <c r="Y24" s="20" t="s">
        <v>3</v>
      </c>
      <c r="Z24" s="118">
        <v>3</v>
      </c>
      <c r="AA24" s="20" t="s">
        <v>5</v>
      </c>
      <c r="AB24" s="122">
        <v>5</v>
      </c>
      <c r="AC24" s="128">
        <v>4</v>
      </c>
      <c r="AD24" s="145">
        <v>4</v>
      </c>
      <c r="AE24" s="20">
        <v>8</v>
      </c>
      <c r="AF24" s="20"/>
      <c r="AG24" s="108">
        <v>1</v>
      </c>
      <c r="AH24" t="s">
        <v>214</v>
      </c>
    </row>
    <row r="25" spans="1:39">
      <c r="Z25">
        <f>SUM(Z17:Z24)</f>
        <v>30</v>
      </c>
      <c r="AB25">
        <f>SUM(AB17:AB24)</f>
        <v>30</v>
      </c>
      <c r="AC25">
        <f>SUM(AC17:AC24)</f>
        <v>30</v>
      </c>
      <c r="AD25">
        <f>SUM(AD17:AD24)</f>
        <v>30</v>
      </c>
      <c r="AH25" t="s">
        <v>215</v>
      </c>
    </row>
    <row r="26" spans="1:39" ht="27.75" customHeight="1">
      <c r="L26" s="59" t="s">
        <v>216</v>
      </c>
      <c r="M26" s="59"/>
      <c r="N26" s="60"/>
      <c r="O26" s="60"/>
      <c r="X26" s="109"/>
      <c r="Y26" s="428" t="s">
        <v>234</v>
      </c>
      <c r="Z26" s="428"/>
      <c r="AA26" s="428"/>
      <c r="AB26" s="428"/>
      <c r="AC26" s="428"/>
      <c r="AH26" t="s">
        <v>102</v>
      </c>
    </row>
    <row r="27" spans="1:39" ht="27.5">
      <c r="X27" s="110"/>
      <c r="Y27" s="429" t="s">
        <v>253</v>
      </c>
      <c r="Z27" s="429"/>
      <c r="AA27" s="429"/>
      <c r="AB27" s="429"/>
      <c r="AC27" s="429"/>
    </row>
    <row r="28" spans="1:39" ht="27.5">
      <c r="X28" s="135"/>
      <c r="Y28" s="429" t="s">
        <v>257</v>
      </c>
      <c r="Z28" s="429"/>
      <c r="AA28" s="429"/>
      <c r="AB28" s="429"/>
      <c r="AC28" s="429"/>
    </row>
  </sheetData>
  <mergeCells count="23">
    <mergeCell ref="C17:D17"/>
    <mergeCell ref="E17:F17"/>
    <mergeCell ref="A1:B2"/>
    <mergeCell ref="AG4:AL4"/>
    <mergeCell ref="B15:C15"/>
    <mergeCell ref="C16:D16"/>
    <mergeCell ref="E16:F16"/>
    <mergeCell ref="C18:D18"/>
    <mergeCell ref="E18:F18"/>
    <mergeCell ref="C19:D19"/>
    <mergeCell ref="E19:F19"/>
    <mergeCell ref="C20:D20"/>
    <mergeCell ref="E20:F20"/>
    <mergeCell ref="T23:V23"/>
    <mergeCell ref="Y26:AC26"/>
    <mergeCell ref="Y27:AC27"/>
    <mergeCell ref="Y28:AC28"/>
    <mergeCell ref="C21:D21"/>
    <mergeCell ref="E21:F21"/>
    <mergeCell ref="C22:D22"/>
    <mergeCell ref="E22:F22"/>
    <mergeCell ref="C23:D23"/>
    <mergeCell ref="E23:F23"/>
  </mergeCells>
  <phoneticPr fontId="11" type="noConversion"/>
  <conditionalFormatting sqref="AG3">
    <cfRule type="expression" dxfId="1753" priority="127" stopIfTrue="1">
      <formula>WEEKDAY(AG$3)=7</formula>
    </cfRule>
    <cfRule type="expression" dxfId="1752" priority="128" stopIfTrue="1">
      <formula>WEEKDAY(AG$3)=1</formula>
    </cfRule>
    <cfRule type="expression" dxfId="1751" priority="129" stopIfTrue="1">
      <formula>WEEKDAY(AG$3)=7</formula>
    </cfRule>
    <cfRule type="expression" dxfId="1750" priority="130" stopIfTrue="1">
      <formula>WEEKDAY(AG$3)=1</formula>
    </cfRule>
  </conditionalFormatting>
  <conditionalFormatting sqref="B3:AF3 I6 B7:H7 B8:N8 S10 J7:AF7">
    <cfRule type="expression" dxfId="1749" priority="125">
      <formula>WEEKDAY(B$3,2)=7</formula>
    </cfRule>
    <cfRule type="expression" dxfId="1748" priority="126">
      <formula>WEEKDAY(B$3,2)=6</formula>
    </cfRule>
  </conditionalFormatting>
  <conditionalFormatting sqref="B4:AF4">
    <cfRule type="expression" dxfId="1747" priority="123">
      <formula>WEEKDAY(B$3,2)=7</formula>
    </cfRule>
    <cfRule type="expression" dxfId="1746" priority="124">
      <formula>WEEKDAY(B$3,2)=6</formula>
    </cfRule>
  </conditionalFormatting>
  <conditionalFormatting sqref="B13:AF13">
    <cfRule type="expression" dxfId="1745" priority="113" stopIfTrue="1">
      <formula>COUNTIF(B$5:B$12,"off")&lt;&gt;B$13</formula>
    </cfRule>
  </conditionalFormatting>
  <conditionalFormatting sqref="Z17:Z24">
    <cfRule type="expression" dxfId="1744" priority="112" stopIfTrue="1">
      <formula>COUNTIF($B5:$AF5,"D")&lt;&gt;$Z17</formula>
    </cfRule>
  </conditionalFormatting>
  <conditionalFormatting sqref="AB17:AB24">
    <cfRule type="expression" dxfId="1743" priority="111" stopIfTrue="1">
      <formula>COUNTIF($B5:$AF5,"N")&lt;&gt;$AB17</formula>
    </cfRule>
  </conditionalFormatting>
  <conditionalFormatting sqref="B12:AF12 Y9:AB9 N10:R10 B11:L11 N11:AF11 AA10:AF10 B10 D10 G10:L10 T10:X10">
    <cfRule type="expression" dxfId="1742" priority="59">
      <formula>WEEKDAY(B$3,2)=7</formula>
    </cfRule>
    <cfRule type="expression" dxfId="1741" priority="60">
      <formula>WEEKDAY(B$3,2)=6</formula>
    </cfRule>
  </conditionalFormatting>
  <conditionalFormatting sqref="B5:N5 AC5:AF5 B9:X9 AC8:AF9 P6:Q6 W6:X6 AD6:AF6 M6 T6 AA6 B6:H6 J6">
    <cfRule type="expression" dxfId="1740" priority="57">
      <formula>WEEKDAY(B$3,2)=7</formula>
    </cfRule>
    <cfRule type="expression" dxfId="1739" priority="58">
      <formula>WEEKDAY(B$3,2)=6</formula>
    </cfRule>
  </conditionalFormatting>
  <conditionalFormatting sqref="B5:N5 AC5:AF5">
    <cfRule type="expression" dxfId="1738" priority="56">
      <formula>SEARCH("X", $A$5) &gt; 0</formula>
    </cfRule>
  </conditionalFormatting>
  <conditionalFormatting sqref="P6:Q6 W6:X6 AD6:AF6 M6 T6 AA6 B6:H6 J6">
    <cfRule type="expression" dxfId="1737" priority="55">
      <formula>SEARCH("X", $A$6) &gt; 0</formula>
    </cfRule>
  </conditionalFormatting>
  <conditionalFormatting sqref="B7:H7 I8 S10 J7:AF7">
    <cfRule type="expression" dxfId="1736" priority="54">
      <formula>SEARCH("X", $A$7) &gt; 0</formula>
    </cfRule>
  </conditionalFormatting>
  <conditionalFormatting sqref="AC8:AF8 B8:H8 J8:N8 I6">
    <cfRule type="expression" dxfId="1735" priority="53">
      <formula>SEARCH("X", $A$8) &gt; 0</formula>
    </cfRule>
  </conditionalFormatting>
  <conditionalFormatting sqref="B9:X9 AC9:AF9">
    <cfRule type="expression" dxfId="1734" priority="52">
      <formula>SEARCH("X", $A$9) &gt; 0</formula>
    </cfRule>
  </conditionalFormatting>
  <conditionalFormatting sqref="Y9:AB9 B10 N10:R10 AA10:AF10 D10 G10:L10 T10:X10">
    <cfRule type="expression" dxfId="1733" priority="51">
      <formula>SEARCH("X", $A$10) &gt; 0</formula>
    </cfRule>
  </conditionalFormatting>
  <conditionalFormatting sqref="B11:L11 N11:AF11">
    <cfRule type="expression" dxfId="1732" priority="50">
      <formula>SEARCH("X", $A$11) &gt; 0</formula>
    </cfRule>
  </conditionalFormatting>
  <conditionalFormatting sqref="B12:AF12">
    <cfRule type="expression" dxfId="1731" priority="49">
      <formula>SEARCH("X", $A$12) &gt; 0</formula>
    </cfRule>
  </conditionalFormatting>
  <conditionalFormatting sqref="K10">
    <cfRule type="expression" dxfId="1730" priority="48">
      <formula>SEARCH("X", $A$9) &gt; 0</formula>
    </cfRule>
  </conditionalFormatting>
  <conditionalFormatting sqref="O5 Q5:AB5">
    <cfRule type="expression" dxfId="1729" priority="46">
      <formula>WEEKDAY(O$3,2)=7</formula>
    </cfRule>
    <cfRule type="expression" dxfId="1728" priority="47">
      <formula>WEEKDAY(O$3,2)=6</formula>
    </cfRule>
  </conditionalFormatting>
  <conditionalFormatting sqref="O5 Q5:AB5">
    <cfRule type="expression" dxfId="1727" priority="45">
      <formula>SEARCH("X", $A$5) &gt; 0</formula>
    </cfRule>
  </conditionalFormatting>
  <conditionalFormatting sqref="O8:AB8">
    <cfRule type="expression" dxfId="1726" priority="43">
      <formula>WEEKDAY(O$3,2)=7</formula>
    </cfRule>
    <cfRule type="expression" dxfId="1725" priority="44">
      <formula>WEEKDAY(O$3,2)=6</formula>
    </cfRule>
  </conditionalFormatting>
  <conditionalFormatting sqref="O8:AB8">
    <cfRule type="expression" dxfId="1724" priority="42">
      <formula>SEARCH("X", $A$5) &gt; 0</formula>
    </cfRule>
  </conditionalFormatting>
  <conditionalFormatting sqref="P5">
    <cfRule type="expression" dxfId="1723" priority="40">
      <formula>WEEKDAY(P$3,2)=7</formula>
    </cfRule>
    <cfRule type="expression" dxfId="1722" priority="41">
      <formula>WEEKDAY(P$3,2)=6</formula>
    </cfRule>
  </conditionalFormatting>
  <conditionalFormatting sqref="P5">
    <cfRule type="expression" dxfId="1721" priority="39">
      <formula>SEARCH("X", $A$5) &gt; 0</formula>
    </cfRule>
  </conditionalFormatting>
  <conditionalFormatting sqref="Y10">
    <cfRule type="expression" dxfId="1720" priority="37">
      <formula>WEEKDAY(Y$3,2)=7</formula>
    </cfRule>
    <cfRule type="expression" dxfId="1719" priority="38">
      <formula>WEEKDAY(Y$3,2)=6</formula>
    </cfRule>
  </conditionalFormatting>
  <conditionalFormatting sqref="Y10">
    <cfRule type="expression" dxfId="1718" priority="36">
      <formula>SEARCH("X", $A$10) &gt; 0</formula>
    </cfRule>
  </conditionalFormatting>
  <conditionalFormatting sqref="N6:O6">
    <cfRule type="expression" dxfId="1717" priority="34">
      <formula>WEEKDAY(N$3,2)=7</formula>
    </cfRule>
    <cfRule type="expression" dxfId="1716" priority="35">
      <formula>WEEKDAY(N$3,2)=6</formula>
    </cfRule>
  </conditionalFormatting>
  <conditionalFormatting sqref="N6:O6">
    <cfRule type="expression" dxfId="1715" priority="33">
      <formula>SEARCH("X", $A$6) &gt; 0</formula>
    </cfRule>
  </conditionalFormatting>
  <conditionalFormatting sqref="U6:V6">
    <cfRule type="expression" dxfId="1714" priority="31">
      <formula>WEEKDAY(U$3,2)=7</formula>
    </cfRule>
    <cfRule type="expression" dxfId="1713" priority="32">
      <formula>WEEKDAY(U$3,2)=6</formula>
    </cfRule>
  </conditionalFormatting>
  <conditionalFormatting sqref="U6:V6">
    <cfRule type="expression" dxfId="1712" priority="30">
      <formula>SEARCH("X", $A$6) &gt; 0</formula>
    </cfRule>
  </conditionalFormatting>
  <conditionalFormatting sqref="AB6:AC6">
    <cfRule type="expression" dxfId="1711" priority="28">
      <formula>WEEKDAY(AB$3,2)=7</formula>
    </cfRule>
    <cfRule type="expression" dxfId="1710" priority="29">
      <formula>WEEKDAY(AB$3,2)=6</formula>
    </cfRule>
  </conditionalFormatting>
  <conditionalFormatting sqref="AB6:AC6">
    <cfRule type="expression" dxfId="1709" priority="27">
      <formula>SEARCH("X", $A$6) &gt; 0</formula>
    </cfRule>
  </conditionalFormatting>
  <conditionalFormatting sqref="K6:L6">
    <cfRule type="expression" dxfId="1708" priority="25">
      <formula>WEEKDAY(K$3,2)=7</formula>
    </cfRule>
    <cfRule type="expression" dxfId="1707" priority="26">
      <formula>WEEKDAY(K$3,2)=6</formula>
    </cfRule>
  </conditionalFormatting>
  <conditionalFormatting sqref="K6:L6">
    <cfRule type="expression" dxfId="1706" priority="24">
      <formula>SEARCH("X", $A$6) &gt; 0</formula>
    </cfRule>
  </conditionalFormatting>
  <conditionalFormatting sqref="R6:S6">
    <cfRule type="expression" dxfId="1705" priority="22">
      <formula>WEEKDAY(R$3,2)=7</formula>
    </cfRule>
    <cfRule type="expression" dxfId="1704" priority="23">
      <formula>WEEKDAY(R$3,2)=6</formula>
    </cfRule>
  </conditionalFormatting>
  <conditionalFormatting sqref="R6:S6">
    <cfRule type="expression" dxfId="1703" priority="21">
      <formula>SEARCH("X", $A$6) &gt; 0</formula>
    </cfRule>
  </conditionalFormatting>
  <conditionalFormatting sqref="Y6:Z6">
    <cfRule type="expression" dxfId="1702" priority="19">
      <formula>WEEKDAY(Y$3,2)=7</formula>
    </cfRule>
    <cfRule type="expression" dxfId="1701" priority="20">
      <formula>WEEKDAY(Y$3,2)=6</formula>
    </cfRule>
  </conditionalFormatting>
  <conditionalFormatting sqref="Y6:Z6">
    <cfRule type="expression" dxfId="1700" priority="18">
      <formula>SEARCH("X", $A$6) &gt; 0</formula>
    </cfRule>
  </conditionalFormatting>
  <conditionalFormatting sqref="M11">
    <cfRule type="expression" dxfId="1699" priority="16">
      <formula>WEEKDAY(M$3,2)=7</formula>
    </cfRule>
    <cfRule type="expression" dxfId="1698" priority="17">
      <formula>WEEKDAY(M$3,2)=6</formula>
    </cfRule>
  </conditionalFormatting>
  <conditionalFormatting sqref="M11">
    <cfRule type="expression" dxfId="1697" priority="15">
      <formula>SEARCH("X", $A$10) &gt; 0</formula>
    </cfRule>
  </conditionalFormatting>
  <conditionalFormatting sqref="M10">
    <cfRule type="expression" dxfId="1696" priority="13">
      <formula>WEEKDAY(M$3,2)=7</formula>
    </cfRule>
    <cfRule type="expression" dxfId="1695" priority="14">
      <formula>WEEKDAY(M$3,2)=6</formula>
    </cfRule>
  </conditionalFormatting>
  <conditionalFormatting sqref="M10">
    <cfRule type="expression" dxfId="1694" priority="12">
      <formula>SEARCH("X", $A$9) &gt; 0</formula>
    </cfRule>
  </conditionalFormatting>
  <conditionalFormatting sqref="C10">
    <cfRule type="expression" dxfId="1693" priority="10">
      <formula>WEEKDAY(C$3,2)=7</formula>
    </cfRule>
    <cfRule type="expression" dxfId="1692" priority="11">
      <formula>WEEKDAY(C$3,2)=6</formula>
    </cfRule>
  </conditionalFormatting>
  <conditionalFormatting sqref="C10">
    <cfRule type="expression" dxfId="1691" priority="9">
      <formula>SEARCH("X", $A$5) &gt; 0</formula>
    </cfRule>
  </conditionalFormatting>
  <conditionalFormatting sqref="Z10">
    <cfRule type="expression" dxfId="1690" priority="7">
      <formula>WEEKDAY(Z$3,2)=7</formula>
    </cfRule>
    <cfRule type="expression" dxfId="1689" priority="8">
      <formula>WEEKDAY(Z$3,2)=6</formula>
    </cfRule>
  </conditionalFormatting>
  <conditionalFormatting sqref="Z10">
    <cfRule type="expression" dxfId="1688" priority="6">
      <formula>SEARCH("X", $A$10) &gt; 0</formula>
    </cfRule>
  </conditionalFormatting>
  <conditionalFormatting sqref="H6">
    <cfRule type="expression" dxfId="1687" priority="5">
      <formula>SEARCH("X", $A$7) &gt; 0</formula>
    </cfRule>
  </conditionalFormatting>
  <conditionalFormatting sqref="B6:G6">
    <cfRule type="expression" dxfId="1686" priority="4">
      <formula>SEARCH("X", $A$7) &gt; 0</formula>
    </cfRule>
  </conditionalFormatting>
  <conditionalFormatting sqref="E10:F10">
    <cfRule type="expression" dxfId="1685" priority="2">
      <formula>WEEKDAY(E$3,2)=7</formula>
    </cfRule>
    <cfRule type="expression" dxfId="1684" priority="3">
      <formula>WEEKDAY(E$3,2)=6</formula>
    </cfRule>
  </conditionalFormatting>
  <conditionalFormatting sqref="E10:F10">
    <cfRule type="expression" dxfId="1683" priority="1">
      <formula>SEARCH("X", $A$9) &gt; 0</formula>
    </cfRule>
  </conditionalFormatting>
  <dataValidations count="12">
    <dataValidation type="list" allowBlank="1" showInputMessage="1" showErrorMessage="1" sqref="E16:F23" xr:uid="{A29BF0F5-285E-4393-91C9-190C7DC89F89}">
      <formula1>$A$5:$A$12</formula1>
    </dataValidation>
    <dataValidation type="list" allowBlank="1" showInputMessage="1" sqref="A13:A14" xr:uid="{1E2C417A-5A3F-441E-B007-EF77101079D3}">
      <formula1>$AI$23:$AJ$23</formula1>
    </dataValidation>
    <dataValidation type="list" allowBlank="1" showInputMessage="1" showErrorMessage="1" sqref="C16:D23" xr:uid="{7FAB0080-4607-42A4-BD3C-580E95F220B9}">
      <formula1>$AM$17:$AM$20</formula1>
    </dataValidation>
    <dataValidation type="list" allowBlank="1" showInputMessage="1" sqref="Y11:AB12 AB7:AB10 AC7:AC12 Y5:AA9 AD5:AF12 AB5:AC6 Z10 I5:I6 B5:H12 I8:I12 J5:R12 T5:X12 S5:S6 S8:S12" xr:uid="{6AE58CD5-99A3-4FE8-B8A3-E6792892F8C9}">
      <formula1>$AH$14:$AH$24</formula1>
    </dataValidation>
    <dataValidation type="list" allowBlank="1" showInputMessage="1" showErrorMessage="1" sqref="A10" xr:uid="{34770835-57BC-41BD-BBD8-8D68242B4640}">
      <formula1>$AK$21:$AL$21</formula1>
    </dataValidation>
    <dataValidation type="list" allowBlank="1" showInputMessage="1" showErrorMessage="1" sqref="A9" xr:uid="{4A9D8C67-F8F4-4CE9-A31A-50D0948C09BC}">
      <formula1>$AK$20:$AL$20</formula1>
    </dataValidation>
    <dataValidation type="list" allowBlank="1" showInputMessage="1" showErrorMessage="1" sqref="A6" xr:uid="{A37E3D44-03E2-43F8-BA28-6558AA5D67CB}">
      <formula1>$AK$17:$AL$17</formula1>
    </dataValidation>
    <dataValidation type="list" allowBlank="1" showInputMessage="1" showErrorMessage="1" sqref="A8" xr:uid="{53494550-67E3-4509-8AF0-244927C37DF7}">
      <formula1>$AK$19:$AL$19</formula1>
    </dataValidation>
    <dataValidation type="list" allowBlank="1" showInputMessage="1" showErrorMessage="1" sqref="A7" xr:uid="{618C2173-7F1E-4BDD-B4BF-77BD4DC9BBB1}">
      <formula1>$AK$18:$AL$18</formula1>
    </dataValidation>
    <dataValidation type="list" allowBlank="1" showInputMessage="1" showErrorMessage="1" sqref="A5" xr:uid="{D935A415-595A-49FD-98D6-E75328C0FCCE}">
      <formula1>$AK$16:$AL$16</formula1>
    </dataValidation>
    <dataValidation type="list" allowBlank="1" showInputMessage="1" showErrorMessage="1" sqref="A11" xr:uid="{CC25BB62-B692-4BFB-91C9-8CB15AB1A6CC}">
      <formula1>$AK$22:$AL$22</formula1>
    </dataValidation>
    <dataValidation type="list" allowBlank="1" showInputMessage="1" showErrorMessage="1" sqref="A12" xr:uid="{6061AE1B-EBA3-464C-9920-C6CA4240F7F7}">
      <formula1>$AK$23:$AL$23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B931-EE01-47C7-8A98-71360AF842F1}">
  <sheetPr codeName="工作表12">
    <pageSetUpPr fitToPage="1"/>
  </sheetPr>
  <dimension ref="A1:AM35"/>
  <sheetViews>
    <sheetView zoomScale="55" zoomScaleNormal="55" workbookViewId="0">
      <selection activeCell="E21" sqref="E21:F21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380"/>
      <c r="B2" s="380"/>
      <c r="C2" s="1"/>
      <c r="D2" s="1"/>
      <c r="F2" s="1"/>
      <c r="G2" s="27">
        <v>2025</v>
      </c>
      <c r="H2" s="27" t="str">
        <f>"("&amp;YEAR(B3)-1911&amp;" 年 "&amp;")"</f>
        <v>(114 年 )</v>
      </c>
      <c r="I2" s="22"/>
      <c r="J2" s="23">
        <v>5</v>
      </c>
      <c r="K2" s="23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F2" s="175" t="s">
        <v>106</v>
      </c>
    </row>
    <row r="3" spans="1:39" ht="27.5">
      <c r="A3" s="19" t="s">
        <v>1</v>
      </c>
      <c r="B3" s="30">
        <f>DATE($G$2,$J$2,1)</f>
        <v>45778</v>
      </c>
      <c r="C3" s="30">
        <f>B3+1</f>
        <v>45779</v>
      </c>
      <c r="D3" s="30">
        <f t="shared" ref="D3:AB3" si="0">C3+1</f>
        <v>45780</v>
      </c>
      <c r="E3" s="30">
        <f t="shared" si="0"/>
        <v>45781</v>
      </c>
      <c r="F3" s="30">
        <f t="shared" si="0"/>
        <v>45782</v>
      </c>
      <c r="G3" s="30">
        <f t="shared" si="0"/>
        <v>45783</v>
      </c>
      <c r="H3" s="30">
        <f t="shared" si="0"/>
        <v>45784</v>
      </c>
      <c r="I3" s="30">
        <f t="shared" si="0"/>
        <v>45785</v>
      </c>
      <c r="J3" s="30">
        <f t="shared" si="0"/>
        <v>45786</v>
      </c>
      <c r="K3" s="30">
        <f t="shared" si="0"/>
        <v>45787</v>
      </c>
      <c r="L3" s="30">
        <f t="shared" si="0"/>
        <v>45788</v>
      </c>
      <c r="M3" s="30">
        <f t="shared" si="0"/>
        <v>45789</v>
      </c>
      <c r="N3" s="30">
        <f t="shared" si="0"/>
        <v>45790</v>
      </c>
      <c r="O3" s="30">
        <f t="shared" si="0"/>
        <v>45791</v>
      </c>
      <c r="P3" s="30">
        <f t="shared" si="0"/>
        <v>45792</v>
      </c>
      <c r="Q3" s="30">
        <f t="shared" si="0"/>
        <v>45793</v>
      </c>
      <c r="R3" s="30">
        <f t="shared" si="0"/>
        <v>45794</v>
      </c>
      <c r="S3" s="30">
        <f t="shared" si="0"/>
        <v>45795</v>
      </c>
      <c r="T3" s="30">
        <f t="shared" si="0"/>
        <v>45796</v>
      </c>
      <c r="U3" s="30">
        <f t="shared" si="0"/>
        <v>45797</v>
      </c>
      <c r="V3" s="30">
        <f t="shared" si="0"/>
        <v>45798</v>
      </c>
      <c r="W3" s="30">
        <f t="shared" si="0"/>
        <v>45799</v>
      </c>
      <c r="X3" s="30">
        <f t="shared" si="0"/>
        <v>45800</v>
      </c>
      <c r="Y3" s="30">
        <f t="shared" si="0"/>
        <v>45801</v>
      </c>
      <c r="Z3" s="30">
        <f t="shared" si="0"/>
        <v>45802</v>
      </c>
      <c r="AA3" s="30">
        <f t="shared" si="0"/>
        <v>45803</v>
      </c>
      <c r="AB3" s="30">
        <f t="shared" si="0"/>
        <v>45804</v>
      </c>
      <c r="AC3" s="30">
        <f>IFERROR(IF(MONTH(AB3+1)=$J$2,AB3+1,""),"")</f>
        <v>45805</v>
      </c>
      <c r="AD3" s="30">
        <f>IFERROR(IF(MONTH(AC3+1)=$J$2,AC3+1,""),"")</f>
        <v>45806</v>
      </c>
      <c r="AE3" s="30">
        <f>IFERROR(IF(MONTH(AD3+1)=$J$2,AD3+1,""),"")</f>
        <v>45807</v>
      </c>
      <c r="AF3" s="30">
        <f>IFERROR(IF(MONTH(AE3+1)=$J$2,AE3+1,""),"")</f>
        <v>45808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3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4</v>
      </c>
      <c r="C4" s="31">
        <f>IFERROR(IF(WEEKDAY(C3,2)=7,"日",WEEKDAY(C3,2)),"")</f>
        <v>5</v>
      </c>
      <c r="D4" s="31">
        <f t="shared" si="1"/>
        <v>6</v>
      </c>
      <c r="E4" s="31" t="str">
        <f t="shared" si="1"/>
        <v>日</v>
      </c>
      <c r="F4" s="31">
        <f t="shared" si="1"/>
        <v>1</v>
      </c>
      <c r="G4" s="31">
        <f t="shared" si="1"/>
        <v>2</v>
      </c>
      <c r="H4" s="31">
        <f t="shared" si="1"/>
        <v>3</v>
      </c>
      <c r="I4" s="31">
        <f t="shared" si="1"/>
        <v>4</v>
      </c>
      <c r="J4" s="31">
        <f t="shared" si="1"/>
        <v>5</v>
      </c>
      <c r="K4" s="31">
        <f t="shared" si="1"/>
        <v>6</v>
      </c>
      <c r="L4" s="31" t="str">
        <f t="shared" si="1"/>
        <v>日</v>
      </c>
      <c r="M4" s="31">
        <f t="shared" si="1"/>
        <v>1</v>
      </c>
      <c r="N4" s="31">
        <f t="shared" si="1"/>
        <v>2</v>
      </c>
      <c r="O4" s="31">
        <f t="shared" si="1"/>
        <v>3</v>
      </c>
      <c r="P4" s="31">
        <f t="shared" si="1"/>
        <v>4</v>
      </c>
      <c r="Q4" s="31">
        <f t="shared" si="1"/>
        <v>5</v>
      </c>
      <c r="R4" s="31">
        <f t="shared" si="1"/>
        <v>6</v>
      </c>
      <c r="S4" s="31" t="str">
        <f t="shared" si="1"/>
        <v>日</v>
      </c>
      <c r="T4" s="31">
        <f t="shared" si="1"/>
        <v>1</v>
      </c>
      <c r="U4" s="31">
        <f t="shared" si="1"/>
        <v>2</v>
      </c>
      <c r="V4" s="31">
        <f t="shared" si="1"/>
        <v>3</v>
      </c>
      <c r="W4" s="31">
        <f t="shared" si="1"/>
        <v>4</v>
      </c>
      <c r="X4" s="31">
        <f t="shared" si="1"/>
        <v>5</v>
      </c>
      <c r="Y4" s="31">
        <f t="shared" si="1"/>
        <v>6</v>
      </c>
      <c r="Z4" s="31" t="str">
        <f t="shared" si="1"/>
        <v>日</v>
      </c>
      <c r="AA4" s="31">
        <f t="shared" si="1"/>
        <v>1</v>
      </c>
      <c r="AB4" s="31">
        <f t="shared" si="1"/>
        <v>2</v>
      </c>
      <c r="AC4" s="31">
        <f t="shared" si="1"/>
        <v>3</v>
      </c>
      <c r="AD4" s="31">
        <f t="shared" si="1"/>
        <v>4</v>
      </c>
      <c r="AE4" s="31">
        <f t="shared" si="1"/>
        <v>5</v>
      </c>
      <c r="AF4" s="31">
        <f t="shared" si="1"/>
        <v>6</v>
      </c>
      <c r="AG4" s="377" t="s">
        <v>42</v>
      </c>
      <c r="AH4" s="377"/>
      <c r="AI4" s="377"/>
      <c r="AJ4" s="377"/>
      <c r="AK4" s="377"/>
      <c r="AL4" s="377"/>
      <c r="AM4" s="174"/>
    </row>
    <row r="5" spans="1:39" ht="21.5">
      <c r="A5" s="6" t="s">
        <v>9</v>
      </c>
      <c r="B5" s="83" t="s">
        <v>2</v>
      </c>
      <c r="C5" s="83" t="s">
        <v>2</v>
      </c>
      <c r="D5" s="88" t="s">
        <v>2</v>
      </c>
      <c r="E5" s="88" t="s">
        <v>3</v>
      </c>
      <c r="F5" s="88"/>
      <c r="G5" s="88" t="s">
        <v>3</v>
      </c>
      <c r="H5" s="88"/>
      <c r="I5" s="83" t="s">
        <v>2</v>
      </c>
      <c r="J5" s="88"/>
      <c r="K5" s="88"/>
      <c r="L5" s="88" t="s">
        <v>4</v>
      </c>
      <c r="M5" s="88" t="s">
        <v>5</v>
      </c>
      <c r="N5" s="88" t="s">
        <v>2</v>
      </c>
      <c r="O5" s="83" t="s">
        <v>2</v>
      </c>
      <c r="P5" s="62" t="s">
        <v>2</v>
      </c>
      <c r="Q5" s="62" t="s">
        <v>2</v>
      </c>
      <c r="R5" s="62" t="s">
        <v>2</v>
      </c>
      <c r="S5" s="83" t="s">
        <v>4</v>
      </c>
      <c r="T5" s="83"/>
      <c r="U5" s="83" t="s">
        <v>3</v>
      </c>
      <c r="V5" s="62"/>
      <c r="W5" s="62" t="s">
        <v>2</v>
      </c>
      <c r="X5" s="62" t="s">
        <v>5</v>
      </c>
      <c r="Y5" s="83" t="s">
        <v>5</v>
      </c>
      <c r="Z5" s="83" t="s">
        <v>5</v>
      </c>
      <c r="AA5" s="83" t="s">
        <v>2</v>
      </c>
      <c r="AB5" s="83"/>
      <c r="AC5" s="83"/>
      <c r="AD5" s="88"/>
      <c r="AE5" s="83"/>
      <c r="AF5" s="88" t="s">
        <v>2</v>
      </c>
      <c r="AG5" s="3">
        <f t="shared" ref="AG5:AG15" si="2">(AH5*12)+(AI5*12)+(AK5*8)+(AL5*4)</f>
        <v>160</v>
      </c>
      <c r="AH5" s="3">
        <f t="shared" ref="AH5:AH12" si="3">COUNTIF(B5:AF5,"D")</f>
        <v>3</v>
      </c>
      <c r="AI5" s="3">
        <f t="shared" ref="AI5:AI15" si="4">COUNTIF(B5:AF5,"N")</f>
        <v>4</v>
      </c>
      <c r="AJ5" s="3">
        <f t="shared" ref="AJ5:AJ15" si="5">COUNTIF(B5:AF5,"OFF")+COUNTIF(B5:AF5,"上課")</f>
        <v>14</v>
      </c>
      <c r="AK5" s="3">
        <f t="shared" ref="AK5:AK15" si="6">COUNTIF(B5:AF5,"")-AL5+COUNTIF(B5:AF5,"h3")</f>
        <v>9</v>
      </c>
      <c r="AL5" s="3">
        <f t="shared" ref="AL5:AL15" si="7">COUNTIFS($B$4:$AF$4,"6",B5:AF5,"")+COUNTIF(B5:AF5,"h3")</f>
        <v>1</v>
      </c>
      <c r="AM5" s="3">
        <f t="array" ref="AM5">SUMPRODUCT(($B$4:$AF$4=6)*(B5:AF5="off"))</f>
        <v>3</v>
      </c>
    </row>
    <row r="6" spans="1:39" ht="21.5">
      <c r="A6" s="6" t="s">
        <v>45</v>
      </c>
      <c r="B6" s="33" t="s">
        <v>3</v>
      </c>
      <c r="C6" s="33" t="s">
        <v>2</v>
      </c>
      <c r="D6" s="83"/>
      <c r="E6" s="83" t="s">
        <v>4</v>
      </c>
      <c r="F6" s="88"/>
      <c r="G6" s="83"/>
      <c r="H6" s="83"/>
      <c r="I6" s="33" t="s">
        <v>3</v>
      </c>
      <c r="J6" s="33" t="s">
        <v>2</v>
      </c>
      <c r="K6" s="83" t="s">
        <v>2</v>
      </c>
      <c r="L6" s="88" t="s">
        <v>4</v>
      </c>
      <c r="M6" s="88"/>
      <c r="N6" s="83"/>
      <c r="O6" s="83"/>
      <c r="P6" s="33" t="s">
        <v>3</v>
      </c>
      <c r="Q6" s="33" t="s">
        <v>4</v>
      </c>
      <c r="R6" s="83"/>
      <c r="S6" s="83" t="s">
        <v>4</v>
      </c>
      <c r="T6" s="33" t="s">
        <v>2</v>
      </c>
      <c r="U6" s="33" t="s">
        <v>10</v>
      </c>
      <c r="V6" s="33" t="s">
        <v>10</v>
      </c>
      <c r="W6" s="33" t="s">
        <v>10</v>
      </c>
      <c r="X6" s="33" t="s">
        <v>2</v>
      </c>
      <c r="Y6" s="83"/>
      <c r="Z6" s="83" t="s">
        <v>4</v>
      </c>
      <c r="AA6" s="88"/>
      <c r="AB6" s="62" t="s">
        <v>5</v>
      </c>
      <c r="AC6" s="62" t="s">
        <v>5</v>
      </c>
      <c r="AD6" s="62" t="s">
        <v>5</v>
      </c>
      <c r="AE6" s="62" t="s">
        <v>2</v>
      </c>
      <c r="AF6" s="88" t="s">
        <v>6</v>
      </c>
      <c r="AG6" s="3">
        <f t="shared" si="2"/>
        <v>152</v>
      </c>
      <c r="AH6" s="3">
        <f t="shared" si="3"/>
        <v>3</v>
      </c>
      <c r="AI6" s="3">
        <f t="shared" si="4"/>
        <v>4</v>
      </c>
      <c r="AJ6" s="3">
        <f t="shared" si="5"/>
        <v>14</v>
      </c>
      <c r="AK6" s="3">
        <f t="shared" si="6"/>
        <v>7</v>
      </c>
      <c r="AL6" s="3">
        <f t="shared" si="7"/>
        <v>3</v>
      </c>
      <c r="AM6" s="3">
        <f t="array" ref="AM6">SUMPRODUCT(($B$4:$AF$4=6)*(B6:AF6="off"))</f>
        <v>1</v>
      </c>
    </row>
    <row r="7" spans="1:39" ht="21.5">
      <c r="A7" s="6" t="s">
        <v>17</v>
      </c>
      <c r="B7" s="88"/>
      <c r="C7" s="88" t="s">
        <v>3</v>
      </c>
      <c r="D7" s="88"/>
      <c r="E7" s="83" t="s">
        <v>4</v>
      </c>
      <c r="F7" s="88" t="s">
        <v>3</v>
      </c>
      <c r="G7" s="88"/>
      <c r="H7" s="88" t="s">
        <v>3</v>
      </c>
      <c r="I7" s="88"/>
      <c r="J7" s="88"/>
      <c r="K7" s="88" t="s">
        <v>2</v>
      </c>
      <c r="L7" s="88" t="s">
        <v>3</v>
      </c>
      <c r="M7" s="83"/>
      <c r="N7" s="83" t="s">
        <v>2</v>
      </c>
      <c r="O7" s="62"/>
      <c r="P7" s="83"/>
      <c r="Q7" s="83" t="s">
        <v>3</v>
      </c>
      <c r="R7" s="83"/>
      <c r="S7" s="83" t="s">
        <v>4</v>
      </c>
      <c r="T7" s="88" t="s">
        <v>3</v>
      </c>
      <c r="U7" s="88" t="s">
        <v>2</v>
      </c>
      <c r="V7" s="88" t="s">
        <v>3</v>
      </c>
      <c r="W7" s="88" t="s">
        <v>2</v>
      </c>
      <c r="X7" s="88" t="s">
        <v>3</v>
      </c>
      <c r="Y7" s="33" t="s">
        <v>10</v>
      </c>
      <c r="Z7" s="33" t="s">
        <v>4</v>
      </c>
      <c r="AA7" s="33" t="s">
        <v>10</v>
      </c>
      <c r="AB7" s="33" t="s">
        <v>10</v>
      </c>
      <c r="AC7" s="33" t="s">
        <v>10</v>
      </c>
      <c r="AD7" s="33" t="s">
        <v>10</v>
      </c>
      <c r="AE7" s="33" t="s">
        <v>10</v>
      </c>
      <c r="AF7" s="33" t="s">
        <v>10</v>
      </c>
      <c r="AG7" s="3">
        <f t="shared" si="2"/>
        <v>160</v>
      </c>
      <c r="AH7" s="3">
        <f t="shared" si="3"/>
        <v>8</v>
      </c>
      <c r="AI7" s="3">
        <f t="shared" si="4"/>
        <v>0</v>
      </c>
      <c r="AJ7" s="3">
        <f t="shared" si="5"/>
        <v>14</v>
      </c>
      <c r="AK7" s="3">
        <f t="shared" si="6"/>
        <v>7</v>
      </c>
      <c r="AL7" s="3">
        <f t="shared" si="7"/>
        <v>2</v>
      </c>
      <c r="AM7" s="3">
        <f t="array" ref="AM7">SUMPRODUCT(($B$4:$AF$4=6)*(B7:AF7="off"))</f>
        <v>3</v>
      </c>
    </row>
    <row r="8" spans="1:39" ht="21.5">
      <c r="A8" s="6" t="s">
        <v>46</v>
      </c>
      <c r="B8" s="88" t="s">
        <v>2</v>
      </c>
      <c r="C8" s="33"/>
      <c r="D8" s="88" t="s">
        <v>3</v>
      </c>
      <c r="E8" s="83" t="s">
        <v>4</v>
      </c>
      <c r="F8" s="88" t="s">
        <v>2</v>
      </c>
      <c r="G8" s="88" t="s">
        <v>5</v>
      </c>
      <c r="H8" s="88" t="s">
        <v>5</v>
      </c>
      <c r="I8" s="88" t="s">
        <v>5</v>
      </c>
      <c r="J8" s="88" t="s">
        <v>5</v>
      </c>
      <c r="K8" s="88" t="s">
        <v>2</v>
      </c>
      <c r="L8" s="62" t="s">
        <v>4</v>
      </c>
      <c r="M8" s="62"/>
      <c r="N8" s="88" t="s">
        <v>3</v>
      </c>
      <c r="O8" s="33" t="s">
        <v>4</v>
      </c>
      <c r="P8" s="83" t="s">
        <v>2</v>
      </c>
      <c r="Q8" s="62" t="s">
        <v>2</v>
      </c>
      <c r="R8" s="83" t="s">
        <v>2</v>
      </c>
      <c r="S8" s="83" t="s">
        <v>4</v>
      </c>
      <c r="T8" s="83" t="s">
        <v>2</v>
      </c>
      <c r="U8" s="83" t="s">
        <v>5</v>
      </c>
      <c r="V8" s="33" t="s">
        <v>4</v>
      </c>
      <c r="W8" s="83"/>
      <c r="X8" s="83"/>
      <c r="Y8" s="83" t="s">
        <v>3</v>
      </c>
      <c r="Z8" s="83" t="s">
        <v>4</v>
      </c>
      <c r="AA8" s="83"/>
      <c r="AB8" s="83"/>
      <c r="AC8" s="88"/>
      <c r="AD8" s="88"/>
      <c r="AE8" s="88"/>
      <c r="AF8" s="88" t="s">
        <v>2</v>
      </c>
      <c r="AG8" s="3">
        <f t="shared" si="2"/>
        <v>168</v>
      </c>
      <c r="AH8" s="3">
        <f t="shared" si="3"/>
        <v>3</v>
      </c>
      <c r="AI8" s="3">
        <f t="shared" si="4"/>
        <v>5</v>
      </c>
      <c r="AJ8" s="3">
        <f t="shared" si="5"/>
        <v>14</v>
      </c>
      <c r="AK8" s="3">
        <f t="shared" si="6"/>
        <v>9</v>
      </c>
      <c r="AL8" s="3">
        <f t="shared" si="7"/>
        <v>0</v>
      </c>
      <c r="AM8" s="3">
        <f t="array" ref="AM8">SUMPRODUCT(($B$4:$AF$4=6)*(B8:AF8="off"))</f>
        <v>3</v>
      </c>
    </row>
    <row r="9" spans="1:39" ht="21.5">
      <c r="A9" s="6" t="s">
        <v>12</v>
      </c>
      <c r="B9" s="88" t="s">
        <v>5</v>
      </c>
      <c r="C9" s="88" t="s">
        <v>5</v>
      </c>
      <c r="D9" s="33" t="s">
        <v>2</v>
      </c>
      <c r="E9" s="33" t="s">
        <v>2</v>
      </c>
      <c r="F9" s="33" t="s">
        <v>2</v>
      </c>
      <c r="G9" s="33" t="s">
        <v>2</v>
      </c>
      <c r="H9" s="33" t="s">
        <v>2</v>
      </c>
      <c r="I9" s="62"/>
      <c r="J9" s="62"/>
      <c r="K9" s="62" t="s">
        <v>3</v>
      </c>
      <c r="L9" s="62" t="s">
        <v>4</v>
      </c>
      <c r="M9" s="88" t="s">
        <v>2</v>
      </c>
      <c r="N9" s="88" t="s">
        <v>4</v>
      </c>
      <c r="O9" s="88"/>
      <c r="P9" s="83" t="s">
        <v>2</v>
      </c>
      <c r="Q9" s="83"/>
      <c r="R9" s="88" t="s">
        <v>2</v>
      </c>
      <c r="S9" s="83" t="s">
        <v>4</v>
      </c>
      <c r="T9" s="88"/>
      <c r="U9" s="88"/>
      <c r="V9" s="88" t="s">
        <v>5</v>
      </c>
      <c r="W9" s="88" t="s">
        <v>5</v>
      </c>
      <c r="X9" s="88" t="s">
        <v>2</v>
      </c>
      <c r="Y9" s="88"/>
      <c r="Z9" s="88" t="s">
        <v>4</v>
      </c>
      <c r="AA9" s="88"/>
      <c r="AB9" s="88"/>
      <c r="AC9" s="88"/>
      <c r="AD9" s="88" t="s">
        <v>3</v>
      </c>
      <c r="AE9" s="88"/>
      <c r="AF9" s="88" t="s">
        <v>7</v>
      </c>
      <c r="AG9" s="3">
        <f t="shared" si="2"/>
        <v>168</v>
      </c>
      <c r="AH9" s="3">
        <f t="shared" si="3"/>
        <v>3</v>
      </c>
      <c r="AI9" s="3">
        <f t="shared" si="4"/>
        <v>4</v>
      </c>
      <c r="AJ9" s="3">
        <f t="shared" si="5"/>
        <v>13</v>
      </c>
      <c r="AK9" s="3">
        <f t="shared" si="6"/>
        <v>10</v>
      </c>
      <c r="AL9" s="3">
        <f t="shared" si="7"/>
        <v>1</v>
      </c>
      <c r="AM9" s="3">
        <f t="array" ref="AM9">SUMPRODUCT(($B$4:$AF$4=6)*(B9:AF9="off"))</f>
        <v>2</v>
      </c>
    </row>
    <row r="10" spans="1:39" ht="21.5" hidden="1">
      <c r="A10" s="6" t="s">
        <v>303</v>
      </c>
      <c r="B10" s="88"/>
      <c r="C10" s="88"/>
      <c r="D10" s="88"/>
      <c r="E10" s="88"/>
      <c r="F10" s="88"/>
      <c r="G10" s="88"/>
      <c r="H10" s="88"/>
      <c r="I10" s="33"/>
      <c r="J10" s="33"/>
      <c r="K10" s="88"/>
      <c r="L10" s="88"/>
      <c r="M10" s="88"/>
      <c r="N10" s="88"/>
      <c r="O10" s="88"/>
      <c r="P10" s="88"/>
      <c r="Q10" s="88"/>
      <c r="R10" s="88"/>
      <c r="S10" s="83" t="s">
        <v>4</v>
      </c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3">
        <f t="shared" si="2"/>
        <v>220</v>
      </c>
      <c r="AH10" s="3">
        <f t="shared" si="3"/>
        <v>0</v>
      </c>
      <c r="AI10" s="3">
        <f t="shared" si="4"/>
        <v>0</v>
      </c>
      <c r="AJ10" s="3">
        <f t="shared" si="5"/>
        <v>1</v>
      </c>
      <c r="AK10" s="3">
        <f t="shared" si="6"/>
        <v>25</v>
      </c>
      <c r="AL10" s="3">
        <f t="shared" si="7"/>
        <v>5</v>
      </c>
      <c r="AM10" s="3">
        <f t="array" ref="AM10">SUMPRODUCT(($B$4:$AF$4=6)*(B10:AF10="off"))</f>
        <v>0</v>
      </c>
    </row>
    <row r="11" spans="1:39" ht="21.5" hidden="1">
      <c r="A11" s="6" t="s">
        <v>269</v>
      </c>
      <c r="B11" s="88"/>
      <c r="C11" s="88"/>
      <c r="D11" s="88"/>
      <c r="E11" s="88"/>
      <c r="F11" s="88"/>
      <c r="G11" s="88"/>
      <c r="H11" s="88"/>
      <c r="I11" s="33"/>
      <c r="J11" s="33"/>
      <c r="K11" s="88"/>
      <c r="L11" s="88"/>
      <c r="M11" s="88"/>
      <c r="N11" s="88"/>
      <c r="O11" s="88"/>
      <c r="P11" s="88"/>
      <c r="Q11" s="88"/>
      <c r="R11" s="88"/>
      <c r="S11" s="83" t="s">
        <v>4</v>
      </c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3">
        <f t="shared" si="2"/>
        <v>220</v>
      </c>
      <c r="AH11" s="3">
        <f t="shared" si="3"/>
        <v>0</v>
      </c>
      <c r="AI11" s="3">
        <f t="shared" si="4"/>
        <v>0</v>
      </c>
      <c r="AJ11" s="3">
        <f t="shared" si="5"/>
        <v>1</v>
      </c>
      <c r="AK11" s="3">
        <f t="shared" si="6"/>
        <v>25</v>
      </c>
      <c r="AL11" s="3">
        <f t="shared" si="7"/>
        <v>5</v>
      </c>
      <c r="AM11" s="3">
        <f t="array" ref="AM11">SUMPRODUCT(($B$4:$AF$4=6)*(B11:AF11="off"))</f>
        <v>0</v>
      </c>
    </row>
    <row r="12" spans="1:39" ht="21.5">
      <c r="A12" s="6" t="s">
        <v>51</v>
      </c>
      <c r="B12" s="88"/>
      <c r="C12" s="88"/>
      <c r="D12" s="88" t="s">
        <v>5</v>
      </c>
      <c r="E12" s="88" t="s">
        <v>5</v>
      </c>
      <c r="F12" s="88" t="s">
        <v>5</v>
      </c>
      <c r="G12" s="33" t="s">
        <v>4</v>
      </c>
      <c r="H12" s="33" t="s">
        <v>2</v>
      </c>
      <c r="I12" s="33" t="s">
        <v>2</v>
      </c>
      <c r="J12" s="33" t="s">
        <v>2</v>
      </c>
      <c r="K12" s="33" t="s">
        <v>2</v>
      </c>
      <c r="L12" s="33" t="s">
        <v>2</v>
      </c>
      <c r="M12" s="33" t="s">
        <v>2</v>
      </c>
      <c r="N12" s="33" t="s">
        <v>5</v>
      </c>
      <c r="O12" s="88" t="s">
        <v>2</v>
      </c>
      <c r="P12" s="62"/>
      <c r="Q12" s="88"/>
      <c r="R12" s="88" t="s">
        <v>3</v>
      </c>
      <c r="S12" s="83" t="s">
        <v>4</v>
      </c>
      <c r="T12" s="88" t="s">
        <v>5</v>
      </c>
      <c r="U12" s="88" t="s">
        <v>2</v>
      </c>
      <c r="V12" s="88"/>
      <c r="W12" s="83" t="s">
        <v>3</v>
      </c>
      <c r="X12" s="62"/>
      <c r="Y12" s="88"/>
      <c r="Z12" s="88" t="s">
        <v>3</v>
      </c>
      <c r="AA12" s="88" t="s">
        <v>2</v>
      </c>
      <c r="AB12" s="88"/>
      <c r="AC12" s="88" t="s">
        <v>3</v>
      </c>
      <c r="AD12" s="88"/>
      <c r="AE12" s="88" t="s">
        <v>2</v>
      </c>
      <c r="AF12" s="88" t="s">
        <v>2</v>
      </c>
      <c r="AG12" s="3">
        <f t="shared" si="2"/>
        <v>176</v>
      </c>
      <c r="AH12" s="3">
        <f t="shared" si="3"/>
        <v>4</v>
      </c>
      <c r="AI12" s="3">
        <f t="shared" si="4"/>
        <v>5</v>
      </c>
      <c r="AJ12" s="3">
        <f t="shared" si="5"/>
        <v>13</v>
      </c>
      <c r="AK12" s="3">
        <f t="shared" si="6"/>
        <v>8</v>
      </c>
      <c r="AL12" s="3">
        <f t="shared" si="7"/>
        <v>1</v>
      </c>
      <c r="AM12" s="3">
        <f t="array" ref="AM12">SUMPRODUCT(($B$4:$AF$4=6)*(B12:AF12="off"))</f>
        <v>2</v>
      </c>
    </row>
    <row r="13" spans="1:39" ht="21.5">
      <c r="A13" s="6" t="s">
        <v>310</v>
      </c>
      <c r="B13" s="195" t="s">
        <v>317</v>
      </c>
      <c r="C13" s="195" t="s">
        <v>317</v>
      </c>
      <c r="D13" s="195" t="s">
        <v>317</v>
      </c>
      <c r="E13" s="195" t="s">
        <v>317</v>
      </c>
      <c r="F13" s="195" t="s">
        <v>317</v>
      </c>
      <c r="G13" s="195" t="s">
        <v>317</v>
      </c>
      <c r="H13" s="195" t="s">
        <v>317</v>
      </c>
      <c r="I13" s="195" t="s">
        <v>317</v>
      </c>
      <c r="J13" s="62" t="s">
        <v>2</v>
      </c>
      <c r="K13" s="33"/>
      <c r="L13" s="83" t="s">
        <v>2</v>
      </c>
      <c r="M13" s="62" t="s">
        <v>3</v>
      </c>
      <c r="N13" s="62"/>
      <c r="O13" s="88" t="s">
        <v>5</v>
      </c>
      <c r="P13" s="62" t="s">
        <v>5</v>
      </c>
      <c r="Q13" s="88" t="s">
        <v>5</v>
      </c>
      <c r="R13" s="88" t="s">
        <v>2</v>
      </c>
      <c r="S13" s="83" t="s">
        <v>3</v>
      </c>
      <c r="T13" s="33"/>
      <c r="U13" s="88"/>
      <c r="V13" s="88" t="s">
        <v>2</v>
      </c>
      <c r="W13" s="33"/>
      <c r="X13" s="33" t="s">
        <v>4</v>
      </c>
      <c r="Y13" s="33" t="s">
        <v>4</v>
      </c>
      <c r="Z13" s="33" t="s">
        <v>4</v>
      </c>
      <c r="AA13" s="33" t="s">
        <v>329</v>
      </c>
      <c r="AB13" s="33" t="s">
        <v>329</v>
      </c>
      <c r="AC13" s="33" t="s">
        <v>314</v>
      </c>
      <c r="AD13" s="33" t="s">
        <v>314</v>
      </c>
      <c r="AE13" s="33" t="s">
        <v>314</v>
      </c>
      <c r="AF13" s="88" t="s">
        <v>2</v>
      </c>
      <c r="AG13" s="3">
        <f t="shared" si="2"/>
        <v>108</v>
      </c>
      <c r="AH13" s="3">
        <v>3</v>
      </c>
      <c r="AI13" s="3">
        <f t="shared" si="4"/>
        <v>3</v>
      </c>
      <c r="AJ13" s="3">
        <f t="shared" si="5"/>
        <v>8</v>
      </c>
      <c r="AK13" s="3">
        <f t="shared" si="6"/>
        <v>4</v>
      </c>
      <c r="AL13" s="3">
        <f t="shared" si="7"/>
        <v>1</v>
      </c>
      <c r="AM13" s="3">
        <f t="array" ref="AM13">SUMPRODUCT(($B$4:$AF$4=6)*(B13:AF13="off"))</f>
        <v>3</v>
      </c>
    </row>
    <row r="14" spans="1:39" ht="21.5">
      <c r="A14" s="6" t="s">
        <v>311</v>
      </c>
      <c r="B14" s="195" t="s">
        <v>317</v>
      </c>
      <c r="C14" s="195" t="s">
        <v>317</v>
      </c>
      <c r="D14" s="195" t="s">
        <v>317</v>
      </c>
      <c r="E14" s="195" t="s">
        <v>317</v>
      </c>
      <c r="F14" s="195" t="s">
        <v>317</v>
      </c>
      <c r="G14" s="195" t="s">
        <v>317</v>
      </c>
      <c r="H14" s="195" t="s">
        <v>317</v>
      </c>
      <c r="I14" s="195" t="s">
        <v>317</v>
      </c>
      <c r="J14" s="62" t="s">
        <v>2</v>
      </c>
      <c r="K14" s="62" t="s">
        <v>5</v>
      </c>
      <c r="L14" s="83" t="s">
        <v>5</v>
      </c>
      <c r="M14" s="62" t="s">
        <v>2</v>
      </c>
      <c r="N14" s="62"/>
      <c r="O14" s="88" t="s">
        <v>3</v>
      </c>
      <c r="P14" s="62"/>
      <c r="Q14" s="88" t="s">
        <v>4</v>
      </c>
      <c r="R14" s="88"/>
      <c r="S14" s="83" t="s">
        <v>2</v>
      </c>
      <c r="T14" s="33" t="s">
        <v>315</v>
      </c>
      <c r="U14" s="33" t="s">
        <v>314</v>
      </c>
      <c r="V14" s="33" t="s">
        <v>314</v>
      </c>
      <c r="W14" s="33" t="s">
        <v>314</v>
      </c>
      <c r="X14" s="33" t="s">
        <v>314</v>
      </c>
      <c r="Y14" s="33" t="s">
        <v>10</v>
      </c>
      <c r="Z14" s="33" t="s">
        <v>4</v>
      </c>
      <c r="AA14" s="62" t="s">
        <v>5</v>
      </c>
      <c r="AB14" s="33" t="s">
        <v>4</v>
      </c>
      <c r="AC14" s="33" t="s">
        <v>4</v>
      </c>
      <c r="AD14" s="33" t="s">
        <v>4</v>
      </c>
      <c r="AE14" s="62" t="s">
        <v>3</v>
      </c>
      <c r="AF14" s="88" t="s">
        <v>2</v>
      </c>
      <c r="AG14" s="3">
        <f t="shared" si="2"/>
        <v>80</v>
      </c>
      <c r="AH14" s="3">
        <f>COUNTIF(B14:AF14,"D")</f>
        <v>2</v>
      </c>
      <c r="AI14" s="3">
        <f t="shared" si="4"/>
        <v>3</v>
      </c>
      <c r="AJ14" s="3">
        <f t="shared" si="5"/>
        <v>10</v>
      </c>
      <c r="AK14" s="3">
        <f t="shared" si="6"/>
        <v>2</v>
      </c>
      <c r="AL14" s="3">
        <f t="shared" si="7"/>
        <v>1</v>
      </c>
      <c r="AM14" s="3">
        <f t="array" ref="AM14">SUMPRODUCT(($B$4:$AF$4=6)*(B14:AF14="off"))</f>
        <v>2</v>
      </c>
    </row>
    <row r="15" spans="1:39" ht="21.5">
      <c r="A15" s="6" t="s">
        <v>312</v>
      </c>
      <c r="B15" s="195" t="s">
        <v>317</v>
      </c>
      <c r="C15" s="195" t="s">
        <v>317</v>
      </c>
      <c r="D15" s="195" t="s">
        <v>317</v>
      </c>
      <c r="E15" s="195" t="s">
        <v>317</v>
      </c>
      <c r="F15" s="195" t="s">
        <v>317</v>
      </c>
      <c r="G15" s="195" t="s">
        <v>317</v>
      </c>
      <c r="H15" s="195" t="s">
        <v>317</v>
      </c>
      <c r="I15" s="195" t="s">
        <v>317</v>
      </c>
      <c r="J15" s="62" t="s">
        <v>3</v>
      </c>
      <c r="K15" s="62"/>
      <c r="L15" s="83" t="s">
        <v>4</v>
      </c>
      <c r="M15" s="62" t="s">
        <v>2</v>
      </c>
      <c r="N15" s="88" t="s">
        <v>2</v>
      </c>
      <c r="O15" s="88" t="s">
        <v>2</v>
      </c>
      <c r="P15" s="62" t="s">
        <v>2</v>
      </c>
      <c r="Q15" s="88"/>
      <c r="R15" s="88" t="s">
        <v>5</v>
      </c>
      <c r="S15" s="83" t="s">
        <v>5</v>
      </c>
      <c r="T15" s="88" t="s">
        <v>2</v>
      </c>
      <c r="U15" s="88"/>
      <c r="V15" s="88"/>
      <c r="W15" s="33"/>
      <c r="X15" s="33"/>
      <c r="Y15" s="33" t="s">
        <v>4</v>
      </c>
      <c r="Z15" s="33" t="s">
        <v>2</v>
      </c>
      <c r="AA15" s="62"/>
      <c r="AB15" s="33" t="s">
        <v>4</v>
      </c>
      <c r="AC15" s="33" t="s">
        <v>4</v>
      </c>
      <c r="AD15" s="33" t="s">
        <v>4</v>
      </c>
      <c r="AE15" s="62" t="s">
        <v>5</v>
      </c>
      <c r="AF15" s="88" t="s">
        <v>2</v>
      </c>
      <c r="AG15" s="3">
        <f t="shared" si="2"/>
        <v>100</v>
      </c>
      <c r="AH15" s="3">
        <f>COUNTIF(B15:AF15,"D")</f>
        <v>1</v>
      </c>
      <c r="AI15" s="3">
        <f t="shared" si="4"/>
        <v>3</v>
      </c>
      <c r="AJ15" s="3">
        <f t="shared" si="5"/>
        <v>12</v>
      </c>
      <c r="AK15" s="3">
        <f t="shared" si="6"/>
        <v>6</v>
      </c>
      <c r="AL15" s="3">
        <f t="shared" si="7"/>
        <v>1</v>
      </c>
      <c r="AM15" s="3">
        <f t="array" ref="AM15">SUMPRODUCT(($B$4:$AF$4=6)*(B15:AF15="off"))</f>
        <v>2</v>
      </c>
    </row>
    <row r="16" spans="1:39" ht="21.5">
      <c r="A16" s="6" t="s">
        <v>313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3"/>
      <c r="X16" s="33"/>
      <c r="Y16" s="88"/>
      <c r="Z16" s="88"/>
      <c r="AA16" s="88"/>
      <c r="AB16" s="88"/>
      <c r="AC16" s="88"/>
      <c r="AD16" s="88"/>
      <c r="AE16" s="88"/>
      <c r="AF16" s="88"/>
      <c r="AG16" s="3"/>
      <c r="AH16" s="3"/>
      <c r="AI16" s="3"/>
      <c r="AJ16" s="3"/>
      <c r="AK16" s="3"/>
      <c r="AL16" s="3"/>
      <c r="AM16" s="3"/>
    </row>
    <row r="17" spans="1:39" ht="21.5">
      <c r="A17" s="6" t="s">
        <v>277</v>
      </c>
      <c r="B17" s="172">
        <v>2</v>
      </c>
      <c r="C17" s="172">
        <v>2</v>
      </c>
      <c r="D17" s="172">
        <v>2</v>
      </c>
      <c r="E17" s="172">
        <v>4</v>
      </c>
      <c r="F17" s="172">
        <v>2</v>
      </c>
      <c r="G17" s="172">
        <v>2</v>
      </c>
      <c r="H17" s="172">
        <v>2</v>
      </c>
      <c r="I17" s="172">
        <v>2</v>
      </c>
      <c r="J17" s="172">
        <v>4</v>
      </c>
      <c r="K17" s="172">
        <v>4</v>
      </c>
      <c r="L17" s="172">
        <v>7</v>
      </c>
      <c r="M17" s="172">
        <v>4</v>
      </c>
      <c r="N17" s="172">
        <v>4</v>
      </c>
      <c r="O17" s="172">
        <v>4</v>
      </c>
      <c r="P17" s="172">
        <v>4</v>
      </c>
      <c r="Q17" s="172">
        <v>4</v>
      </c>
      <c r="R17" s="172">
        <v>4</v>
      </c>
      <c r="S17" s="172">
        <v>7</v>
      </c>
      <c r="T17" s="172">
        <v>4</v>
      </c>
      <c r="U17" s="172">
        <v>4</v>
      </c>
      <c r="V17" s="172">
        <v>4</v>
      </c>
      <c r="W17" s="172">
        <v>4</v>
      </c>
      <c r="X17" s="172">
        <v>4</v>
      </c>
      <c r="Y17" s="172">
        <v>4</v>
      </c>
      <c r="Z17" s="172">
        <v>7</v>
      </c>
      <c r="AA17" s="172">
        <v>4</v>
      </c>
      <c r="AB17" s="172">
        <v>4</v>
      </c>
      <c r="AC17" s="172">
        <v>4</v>
      </c>
      <c r="AD17" s="172">
        <v>4</v>
      </c>
      <c r="AE17" s="172">
        <v>4</v>
      </c>
      <c r="AF17" s="172">
        <v>7</v>
      </c>
      <c r="AG17" s="3">
        <f>SUM(B17:AF17)</f>
        <v>122</v>
      </c>
      <c r="AH17" s="3"/>
      <c r="AI17" s="3"/>
      <c r="AJ17" s="3"/>
      <c r="AK17" s="3"/>
      <c r="AL17" s="3"/>
      <c r="AM17" s="174"/>
    </row>
    <row r="18" spans="1:39" ht="20.5">
      <c r="A18" s="6" t="s">
        <v>251</v>
      </c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 t="s">
        <v>250</v>
      </c>
      <c r="AG18" s="3"/>
      <c r="AH18" s="3"/>
      <c r="AI18" s="3"/>
      <c r="AJ18" s="3"/>
      <c r="AK18" s="3"/>
      <c r="AL18" s="3"/>
      <c r="AM18" s="174"/>
    </row>
    <row r="19" spans="1:39" ht="28" thickBot="1">
      <c r="A19" s="4"/>
      <c r="B19" s="436" t="s">
        <v>158</v>
      </c>
      <c r="C19" s="436"/>
      <c r="D19" s="91"/>
      <c r="E19" s="91"/>
      <c r="F19" s="91"/>
      <c r="G19" s="91"/>
      <c r="H19" s="4"/>
      <c r="I19" s="4"/>
      <c r="J19" s="12"/>
      <c r="K19" s="4"/>
      <c r="AB19" s="14"/>
    </row>
    <row r="20" spans="1:39" ht="32.5" thickBot="1">
      <c r="A20" s="4"/>
      <c r="B20" s="36">
        <v>1</v>
      </c>
      <c r="C20" s="423" t="s">
        <v>173</v>
      </c>
      <c r="D20" s="423"/>
      <c r="E20" s="425" t="s">
        <v>9</v>
      </c>
      <c r="F20" s="425"/>
      <c r="G20" s="14" t="s">
        <v>52</v>
      </c>
      <c r="J20" s="37">
        <f>J21+J22</f>
        <v>5</v>
      </c>
      <c r="K20" s="13" t="s">
        <v>53</v>
      </c>
      <c r="L20" s="13" t="s">
        <v>54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  <c r="X20" s="14"/>
      <c r="Y20" s="14"/>
      <c r="Z20" s="14"/>
      <c r="AA20" s="14"/>
      <c r="AB20" s="14"/>
      <c r="AE20" s="133"/>
      <c r="AF20" s="174" t="s">
        <v>255</v>
      </c>
      <c r="AG20" s="105" t="s">
        <v>237</v>
      </c>
      <c r="AH20" t="s">
        <v>4</v>
      </c>
      <c r="AI20" s="38" t="s">
        <v>55</v>
      </c>
      <c r="AJ20" s="103" t="s">
        <v>56</v>
      </c>
      <c r="AK20" s="39" t="s">
        <v>9</v>
      </c>
      <c r="AL20" s="92" t="s">
        <v>57</v>
      </c>
    </row>
    <row r="21" spans="1:39" ht="32.5" thickBot="1">
      <c r="A21" s="4"/>
      <c r="B21" s="36">
        <v>2</v>
      </c>
      <c r="C21" s="423" t="s">
        <v>30</v>
      </c>
      <c r="D21" s="423"/>
      <c r="E21" s="425" t="s">
        <v>16</v>
      </c>
      <c r="F21" s="425"/>
      <c r="G21" s="42"/>
      <c r="H21" s="13" t="s">
        <v>59</v>
      </c>
      <c r="I21" s="13"/>
      <c r="J21" s="37">
        <v>3</v>
      </c>
      <c r="K21" s="4"/>
      <c r="L21" s="13" t="s">
        <v>320</v>
      </c>
      <c r="M21" s="13"/>
      <c r="N21" s="13"/>
      <c r="O21" s="13"/>
      <c r="P21" s="13"/>
      <c r="Q21" s="7" t="s">
        <v>321</v>
      </c>
      <c r="S21" s="7"/>
      <c r="T21" s="13"/>
      <c r="U21" s="13"/>
      <c r="W21" s="182" t="s">
        <v>20</v>
      </c>
      <c r="X21" s="118" t="s">
        <v>3</v>
      </c>
      <c r="Y21" s="118">
        <v>2</v>
      </c>
      <c r="Z21" s="118" t="s">
        <v>5</v>
      </c>
      <c r="AA21" s="118">
        <v>2</v>
      </c>
      <c r="AB21" s="118" t="s">
        <v>3</v>
      </c>
      <c r="AC21" s="118">
        <v>2</v>
      </c>
      <c r="AD21" s="118" t="s">
        <v>5</v>
      </c>
      <c r="AE21" s="118">
        <v>2</v>
      </c>
      <c r="AF21" s="185">
        <v>15</v>
      </c>
      <c r="AG21" s="118">
        <v>2</v>
      </c>
      <c r="AH21">
        <v>1</v>
      </c>
      <c r="AI21" s="46" t="s">
        <v>61</v>
      </c>
      <c r="AJ21" s="104" t="s">
        <v>62</v>
      </c>
      <c r="AK21" s="92" t="s">
        <v>45</v>
      </c>
      <c r="AL21" s="92" t="s">
        <v>63</v>
      </c>
      <c r="AM21" t="s">
        <v>58</v>
      </c>
    </row>
    <row r="22" spans="1:39" ht="32.5" thickBot="1">
      <c r="A22" s="4"/>
      <c r="B22" s="36">
        <v>3</v>
      </c>
      <c r="C22" s="423" t="s">
        <v>31</v>
      </c>
      <c r="D22" s="423"/>
      <c r="E22" s="425" t="s">
        <v>17</v>
      </c>
      <c r="F22" s="425"/>
      <c r="G22" s="42"/>
      <c r="H22" s="13" t="s">
        <v>65</v>
      </c>
      <c r="J22" s="37">
        <v>2</v>
      </c>
      <c r="L22" s="192"/>
      <c r="W22" s="182" t="s">
        <v>21</v>
      </c>
      <c r="X22" s="118" t="s">
        <v>3</v>
      </c>
      <c r="Y22" s="118">
        <v>0</v>
      </c>
      <c r="Z22" s="118" t="s">
        <v>5</v>
      </c>
      <c r="AA22" s="118">
        <v>2</v>
      </c>
      <c r="AB22" s="118" t="s">
        <v>3</v>
      </c>
      <c r="AC22" s="178">
        <v>3</v>
      </c>
      <c r="AD22" s="118" t="s">
        <v>5</v>
      </c>
      <c r="AE22" s="178">
        <v>2</v>
      </c>
      <c r="AF22" s="194">
        <v>14</v>
      </c>
      <c r="AG22" s="118">
        <v>3</v>
      </c>
      <c r="AH22" t="s">
        <v>5</v>
      </c>
      <c r="AI22" s="46" t="s">
        <v>67</v>
      </c>
      <c r="AJ22" s="104" t="s">
        <v>56</v>
      </c>
      <c r="AK22" s="92" t="s">
        <v>17</v>
      </c>
      <c r="AL22" s="92" t="s">
        <v>68</v>
      </c>
      <c r="AM22" t="s">
        <v>64</v>
      </c>
    </row>
    <row r="23" spans="1:39" ht="32">
      <c r="A23" s="4"/>
      <c r="B23" s="36">
        <v>4</v>
      </c>
      <c r="C23" s="423" t="s">
        <v>30</v>
      </c>
      <c r="D23" s="423"/>
      <c r="E23" s="425" t="s">
        <v>14</v>
      </c>
      <c r="F23" s="425"/>
      <c r="L23" s="13" t="s">
        <v>326</v>
      </c>
      <c r="M23" s="13"/>
      <c r="N23" s="13"/>
      <c r="O23" s="13"/>
      <c r="P23" s="13"/>
      <c r="Q23" s="7"/>
      <c r="S23" s="183"/>
      <c r="T23" s="13"/>
      <c r="U23" s="13"/>
      <c r="W23" s="182" t="s">
        <v>22</v>
      </c>
      <c r="X23" s="118" t="s">
        <v>3</v>
      </c>
      <c r="Y23" s="119">
        <v>2</v>
      </c>
      <c r="Z23" s="186" t="s">
        <v>5</v>
      </c>
      <c r="AA23" s="187">
        <v>0</v>
      </c>
      <c r="AB23" s="118" t="s">
        <v>3</v>
      </c>
      <c r="AC23" s="118">
        <v>6</v>
      </c>
      <c r="AD23" s="118" t="s">
        <v>5</v>
      </c>
      <c r="AE23" s="118">
        <v>0</v>
      </c>
      <c r="AF23" s="185">
        <v>14</v>
      </c>
      <c r="AG23" s="118">
        <v>2</v>
      </c>
      <c r="AH23" t="s">
        <v>40</v>
      </c>
      <c r="AI23" s="46" t="s">
        <v>71</v>
      </c>
      <c r="AJ23" s="104" t="s">
        <v>72</v>
      </c>
      <c r="AK23" s="92" t="s">
        <v>46</v>
      </c>
      <c r="AL23" s="92" t="s">
        <v>73</v>
      </c>
      <c r="AM23" t="s">
        <v>69</v>
      </c>
    </row>
    <row r="24" spans="1:39" ht="32">
      <c r="A24" s="4"/>
      <c r="B24" s="36">
        <v>5</v>
      </c>
      <c r="C24" s="423" t="s">
        <v>192</v>
      </c>
      <c r="D24" s="423"/>
      <c r="E24" s="425" t="s">
        <v>13</v>
      </c>
      <c r="F24" s="425"/>
      <c r="G24" s="42"/>
      <c r="H24" s="5"/>
      <c r="I24" s="5"/>
      <c r="J24" s="5"/>
      <c r="K24" s="5"/>
      <c r="L24" s="13"/>
      <c r="M24" s="13"/>
      <c r="N24" s="13"/>
      <c r="O24" s="13"/>
      <c r="P24" s="13"/>
      <c r="Q24" s="13"/>
      <c r="S24" s="13"/>
      <c r="V24" s="13"/>
      <c r="W24" s="182" t="s">
        <v>3</v>
      </c>
      <c r="X24" s="118" t="s">
        <v>3</v>
      </c>
      <c r="Y24" s="119">
        <v>1</v>
      </c>
      <c r="Z24" s="118" t="s">
        <v>5</v>
      </c>
      <c r="AA24" s="119">
        <v>1</v>
      </c>
      <c r="AB24" s="118" t="s">
        <v>3</v>
      </c>
      <c r="AC24" s="118">
        <v>2</v>
      </c>
      <c r="AD24" s="118" t="s">
        <v>5</v>
      </c>
      <c r="AE24" s="118">
        <v>4</v>
      </c>
      <c r="AF24" s="185">
        <v>14</v>
      </c>
      <c r="AG24" s="118">
        <v>2</v>
      </c>
      <c r="AH24" t="s">
        <v>80</v>
      </c>
      <c r="AI24" s="46"/>
      <c r="AJ24" s="55"/>
      <c r="AK24" s="92" t="s">
        <v>12</v>
      </c>
      <c r="AL24" s="92" t="s">
        <v>81</v>
      </c>
      <c r="AM24" t="s">
        <v>74</v>
      </c>
    </row>
    <row r="25" spans="1:39" ht="32">
      <c r="A25" s="4"/>
      <c r="B25" s="36"/>
      <c r="C25" s="423"/>
      <c r="D25" s="423"/>
      <c r="E25" s="425" t="s">
        <v>303</v>
      </c>
      <c r="F25" s="425"/>
      <c r="G25" s="42"/>
      <c r="H25" s="4"/>
      <c r="I25" s="4"/>
      <c r="J25" s="4"/>
      <c r="K25" s="4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82" t="s">
        <v>23</v>
      </c>
      <c r="X25" s="118" t="s">
        <v>3</v>
      </c>
      <c r="Y25" s="118">
        <v>1</v>
      </c>
      <c r="Z25" s="118" t="s">
        <v>5</v>
      </c>
      <c r="AA25" s="118">
        <v>1</v>
      </c>
      <c r="AB25" s="118" t="s">
        <v>3</v>
      </c>
      <c r="AC25" s="118">
        <v>2</v>
      </c>
      <c r="AD25" s="118" t="s">
        <v>5</v>
      </c>
      <c r="AE25" s="118">
        <v>3</v>
      </c>
      <c r="AF25" s="185">
        <v>14</v>
      </c>
      <c r="AG25" s="118">
        <v>2</v>
      </c>
      <c r="AH25" t="s">
        <v>85</v>
      </c>
      <c r="AI25" s="46" t="s">
        <v>83</v>
      </c>
      <c r="AJ25" s="104" t="s">
        <v>84</v>
      </c>
      <c r="AK25" s="92" t="s">
        <v>49</v>
      </c>
      <c r="AL25" s="92" t="s">
        <v>86</v>
      </c>
    </row>
    <row r="26" spans="1:39" ht="33.5">
      <c r="A26" s="4"/>
      <c r="B26" s="36"/>
      <c r="C26" s="423"/>
      <c r="D26" s="423"/>
      <c r="E26" s="425" t="s">
        <v>269</v>
      </c>
      <c r="F26" s="425"/>
      <c r="G26" s="42"/>
      <c r="J26" s="13" t="s">
        <v>325</v>
      </c>
      <c r="N26" s="13"/>
      <c r="O26" s="13"/>
      <c r="R26" s="102"/>
      <c r="S26" s="13"/>
      <c r="T26" s="13"/>
      <c r="U26" s="13"/>
      <c r="V26" s="13"/>
      <c r="W26" s="182" t="s">
        <v>11</v>
      </c>
      <c r="X26" s="118" t="s">
        <v>3</v>
      </c>
      <c r="Y26" s="119">
        <v>2</v>
      </c>
      <c r="Z26" s="118" t="s">
        <v>5</v>
      </c>
      <c r="AA26" s="119">
        <v>2</v>
      </c>
      <c r="AB26" s="118" t="s">
        <v>3</v>
      </c>
      <c r="AC26" s="118">
        <v>2</v>
      </c>
      <c r="AD26" s="118" t="s">
        <v>5</v>
      </c>
      <c r="AE26" s="118">
        <v>3</v>
      </c>
      <c r="AF26" s="193">
        <v>15</v>
      </c>
      <c r="AG26" s="119">
        <v>2</v>
      </c>
      <c r="AH26">
        <v>1</v>
      </c>
      <c r="AI26" s="56" t="s">
        <v>89</v>
      </c>
      <c r="AJ26" s="104" t="s">
        <v>90</v>
      </c>
      <c r="AK26" s="92" t="s">
        <v>50</v>
      </c>
      <c r="AL26" s="92" t="s">
        <v>92</v>
      </c>
    </row>
    <row r="27" spans="1:39" ht="32">
      <c r="B27" s="36">
        <v>6</v>
      </c>
      <c r="C27" s="423" t="s">
        <v>30</v>
      </c>
      <c r="D27" s="423"/>
      <c r="E27" s="425" t="s">
        <v>27</v>
      </c>
      <c r="F27" s="425"/>
      <c r="G27" s="42"/>
      <c r="H27" s="13"/>
      <c r="I27" s="13"/>
      <c r="J27" s="13"/>
      <c r="K27" s="13"/>
      <c r="L27" s="13"/>
      <c r="M27" s="13"/>
      <c r="O27" s="13"/>
      <c r="P27" s="4"/>
      <c r="Q27" s="57"/>
      <c r="R27" s="17"/>
      <c r="S27" s="21"/>
      <c r="T27" s="385"/>
      <c r="U27" s="385"/>
      <c r="V27" s="385"/>
      <c r="W27" s="182" t="s">
        <v>307</v>
      </c>
      <c r="X27" s="118" t="s">
        <v>3</v>
      </c>
      <c r="Y27" s="119" t="s">
        <v>319</v>
      </c>
      <c r="Z27" s="118" t="s">
        <v>5</v>
      </c>
      <c r="AA27" s="119" t="s">
        <v>319</v>
      </c>
      <c r="AB27" s="118" t="s">
        <v>3</v>
      </c>
      <c r="AC27" s="118">
        <v>2</v>
      </c>
      <c r="AD27" s="118" t="s">
        <v>5</v>
      </c>
      <c r="AE27" s="118">
        <v>3</v>
      </c>
      <c r="AF27" s="193">
        <v>12</v>
      </c>
      <c r="AG27" s="118">
        <v>2</v>
      </c>
      <c r="AH27" t="s">
        <v>211</v>
      </c>
      <c r="AI27" s="46" t="s">
        <v>94</v>
      </c>
      <c r="AJ27" s="104" t="s">
        <v>95</v>
      </c>
      <c r="AK27" s="92" t="s">
        <v>51</v>
      </c>
      <c r="AL27" s="92" t="s">
        <v>98</v>
      </c>
    </row>
    <row r="28" spans="1:39" ht="31">
      <c r="B28" s="174">
        <v>7</v>
      </c>
      <c r="C28" s="423" t="s">
        <v>30</v>
      </c>
      <c r="D28" s="423"/>
      <c r="E28" s="439" t="s">
        <v>304</v>
      </c>
      <c r="F28" s="439"/>
      <c r="W28" s="182" t="s">
        <v>308</v>
      </c>
      <c r="X28" s="118" t="s">
        <v>3</v>
      </c>
      <c r="Y28" s="119" t="s">
        <v>319</v>
      </c>
      <c r="Z28" s="118" t="s">
        <v>5</v>
      </c>
      <c r="AA28" s="119" t="s">
        <v>319</v>
      </c>
      <c r="AB28" s="118" t="s">
        <v>3</v>
      </c>
      <c r="AC28" s="118">
        <v>2</v>
      </c>
      <c r="AD28" s="118" t="s">
        <v>5</v>
      </c>
      <c r="AE28" s="118">
        <v>3</v>
      </c>
      <c r="AF28" s="193">
        <v>12</v>
      </c>
      <c r="AG28" s="118">
        <v>2</v>
      </c>
      <c r="AH28" t="s">
        <v>214</v>
      </c>
      <c r="AJ28" s="55" t="s">
        <v>307</v>
      </c>
      <c r="AK28" t="s">
        <v>304</v>
      </c>
    </row>
    <row r="29" spans="1:39" ht="31">
      <c r="B29" s="174">
        <v>8</v>
      </c>
      <c r="C29" s="423" t="s">
        <v>30</v>
      </c>
      <c r="D29" s="423"/>
      <c r="E29" s="439" t="s">
        <v>305</v>
      </c>
      <c r="F29" s="439"/>
      <c r="W29" s="182" t="s">
        <v>309</v>
      </c>
      <c r="X29" s="118" t="s">
        <v>3</v>
      </c>
      <c r="Y29" s="119" t="s">
        <v>319</v>
      </c>
      <c r="Z29" s="118" t="s">
        <v>5</v>
      </c>
      <c r="AA29" s="119" t="s">
        <v>319</v>
      </c>
      <c r="AB29" s="118" t="s">
        <v>3</v>
      </c>
      <c r="AC29" s="118">
        <v>2</v>
      </c>
      <c r="AD29" s="118" t="s">
        <v>5</v>
      </c>
      <c r="AE29" s="118">
        <v>3</v>
      </c>
      <c r="AF29" s="193">
        <v>12</v>
      </c>
      <c r="AG29" s="118">
        <v>2</v>
      </c>
      <c r="AH29" t="s">
        <v>215</v>
      </c>
      <c r="AJ29" s="55" t="s">
        <v>308</v>
      </c>
      <c r="AK29" s="181" t="s">
        <v>305</v>
      </c>
    </row>
    <row r="30" spans="1:39" ht="27.75" customHeight="1">
      <c r="B30" s="174">
        <v>9</v>
      </c>
      <c r="C30" s="423" t="s">
        <v>30</v>
      </c>
      <c r="D30" s="423"/>
      <c r="E30" s="439" t="s">
        <v>306</v>
      </c>
      <c r="F30" s="439"/>
      <c r="L30" s="59" t="s">
        <v>216</v>
      </c>
      <c r="M30" s="59"/>
      <c r="N30" s="60"/>
      <c r="O30" s="60"/>
      <c r="Q30" s="109"/>
      <c r="R30" s="428" t="s">
        <v>234</v>
      </c>
      <c r="S30" s="428"/>
      <c r="T30" s="428"/>
      <c r="U30" s="428"/>
      <c r="V30" s="437"/>
      <c r="W30" s="189"/>
      <c r="X30" s="190" t="s">
        <v>322</v>
      </c>
      <c r="Y30" s="189"/>
      <c r="Z30" s="189"/>
      <c r="AA30" s="189"/>
      <c r="AB30" s="154" t="s">
        <v>318</v>
      </c>
      <c r="AC30" s="189"/>
      <c r="AE30">
        <f>SUM(AE21:AE29)</f>
        <v>23</v>
      </c>
      <c r="AF30" s="17">
        <f>SUM(AF21:AF29)</f>
        <v>122</v>
      </c>
      <c r="AG30" s="192">
        <f>SUM(AG21:AG29)</f>
        <v>19</v>
      </c>
      <c r="AH30" t="s">
        <v>102</v>
      </c>
      <c r="AJ30" s="55" t="s">
        <v>309</v>
      </c>
      <c r="AK30" s="181" t="s">
        <v>306</v>
      </c>
    </row>
    <row r="31" spans="1:39" ht="27.5">
      <c r="B31" s="191">
        <v>10</v>
      </c>
      <c r="Q31" s="110"/>
      <c r="R31" s="429" t="s">
        <v>253</v>
      </c>
      <c r="S31" s="429"/>
      <c r="T31" s="429"/>
      <c r="U31" s="429"/>
      <c r="V31" s="438"/>
      <c r="X31" s="184"/>
      <c r="AF31" s="188"/>
      <c r="AG31" s="20"/>
    </row>
    <row r="32" spans="1:39" ht="27.5">
      <c r="Q32" s="135"/>
      <c r="R32" s="429" t="s">
        <v>257</v>
      </c>
      <c r="S32" s="429"/>
      <c r="T32" s="429"/>
      <c r="U32" s="429"/>
      <c r="V32" s="429"/>
    </row>
    <row r="35" spans="33:33">
      <c r="AG35" t="s">
        <v>323</v>
      </c>
    </row>
  </sheetData>
  <mergeCells count="29">
    <mergeCell ref="R32:V32"/>
    <mergeCell ref="C25:D25"/>
    <mergeCell ref="E25:F25"/>
    <mergeCell ref="C26:D26"/>
    <mergeCell ref="E26:F26"/>
    <mergeCell ref="C27:D27"/>
    <mergeCell ref="E27:F27"/>
    <mergeCell ref="E28:F28"/>
    <mergeCell ref="E29:F29"/>
    <mergeCell ref="E30:F30"/>
    <mergeCell ref="C28:D28"/>
    <mergeCell ref="C29:D29"/>
    <mergeCell ref="C30:D30"/>
    <mergeCell ref="C24:D24"/>
    <mergeCell ref="E24:F24"/>
    <mergeCell ref="T27:V27"/>
    <mergeCell ref="R30:V30"/>
    <mergeCell ref="R31:V31"/>
    <mergeCell ref="C21:D21"/>
    <mergeCell ref="E21:F21"/>
    <mergeCell ref="C22:D22"/>
    <mergeCell ref="E22:F22"/>
    <mergeCell ref="C23:D23"/>
    <mergeCell ref="E23:F23"/>
    <mergeCell ref="A1:B2"/>
    <mergeCell ref="AG4:AL4"/>
    <mergeCell ref="B19:C19"/>
    <mergeCell ref="C20:D20"/>
    <mergeCell ref="E20:F20"/>
  </mergeCells>
  <phoneticPr fontId="11" type="noConversion"/>
  <conditionalFormatting sqref="Y21:Y25">
    <cfRule type="expression" dxfId="1682" priority="3122" stopIfTrue="1">
      <formula>COUNTIF($B5:$AF5,"D")&lt;&gt;$Y21</formula>
    </cfRule>
  </conditionalFormatting>
  <conditionalFormatting sqref="AA21:AA25 AA29">
    <cfRule type="expression" dxfId="1681" priority="3124" stopIfTrue="1">
      <formula>COUNTIF($B5:$AF5,"N")&lt;&gt;$AA21</formula>
    </cfRule>
  </conditionalFormatting>
  <conditionalFormatting sqref="Y26:Y29">
    <cfRule type="expression" dxfId="1680" priority="3128" stopIfTrue="1">
      <formula>COUNTIF($B12:$AF12,"D")&lt;&gt;$Y26</formula>
    </cfRule>
  </conditionalFormatting>
  <conditionalFormatting sqref="AA26:AA29">
    <cfRule type="expression" dxfId="1679" priority="3129" stopIfTrue="1">
      <formula>COUNTIF($B12:$AF12,"N")&lt;&gt;$AA26</formula>
    </cfRule>
  </conditionalFormatting>
  <conditionalFormatting sqref="AA28">
    <cfRule type="expression" dxfId="1678" priority="3130" stopIfTrue="1">
      <formula>COUNTIF($B13:$AF13,"N")&lt;&gt;$AA28</formula>
    </cfRule>
  </conditionalFormatting>
  <conditionalFormatting sqref="AG3">
    <cfRule type="expression" dxfId="1677" priority="65" stopIfTrue="1">
      <formula>WEEKDAY(AG$3)=7</formula>
    </cfRule>
    <cfRule type="expression" dxfId="1676" priority="66" stopIfTrue="1">
      <formula>WEEKDAY(AG$3)=1</formula>
    </cfRule>
    <cfRule type="expression" dxfId="1675" priority="67" stopIfTrue="1">
      <formula>WEEKDAY(AG$3)=7</formula>
    </cfRule>
    <cfRule type="expression" dxfId="1674" priority="68" stopIfTrue="1">
      <formula>WEEKDAY(AG$3)=1</formula>
    </cfRule>
  </conditionalFormatting>
  <conditionalFormatting sqref="B3:AF3 Y9:AB9 B11:AF16">
    <cfRule type="expression" dxfId="1673" priority="63">
      <formula>WEEKDAY(B$3,2)=7</formula>
    </cfRule>
    <cfRule type="expression" dxfId="1672" priority="64">
      <formula>WEEKDAY(B$3,2)=6</formula>
    </cfRule>
  </conditionalFormatting>
  <conditionalFormatting sqref="B4:AF4 B5:N5 AC5:AF5 B8:N8 AC8:AF9 AF6 F6 T6 AA6 B7:AF7 L6:M6 B9:X9">
    <cfRule type="expression" dxfId="1671" priority="61">
      <formula>WEEKDAY(B$3,2)=7</formula>
    </cfRule>
    <cfRule type="expression" dxfId="1670" priority="62">
      <formula>WEEKDAY(B$3,2)=6</formula>
    </cfRule>
  </conditionalFormatting>
  <conditionalFormatting sqref="B5:N5 AC5:AF5 L6">
    <cfRule type="expression" dxfId="1669" priority="60">
      <formula>SEARCH("X", $A$5) &gt; 0</formula>
    </cfRule>
  </conditionalFormatting>
  <conditionalFormatting sqref="AF6 F6 M6 T6 AA6">
    <cfRule type="expression" dxfId="1668" priority="59">
      <formula>SEARCH("X", $A$6) &gt; 0</formula>
    </cfRule>
  </conditionalFormatting>
  <conditionalFormatting sqref="B7:AF7">
    <cfRule type="expression" dxfId="1667" priority="58">
      <formula>SEARCH("X", $A$7) &gt; 0</formula>
    </cfRule>
  </conditionalFormatting>
  <conditionalFormatting sqref="B8:N8 AC8:AF8 L9">
    <cfRule type="expression" dxfId="1666" priority="57">
      <formula>SEARCH("X", $A$8) &gt; 0</formula>
    </cfRule>
  </conditionalFormatting>
  <conditionalFormatting sqref="B9:AF9">
    <cfRule type="expression" dxfId="1665" priority="56">
      <formula>SEARCH("X", $A$9) &gt; 0</formula>
    </cfRule>
  </conditionalFormatting>
  <conditionalFormatting sqref="B11:AF11">
    <cfRule type="expression" dxfId="1664" priority="55">
      <formula>SEARCH("X", $A$11) &gt; 0</formula>
    </cfRule>
  </conditionalFormatting>
  <conditionalFormatting sqref="B12:AF16">
    <cfRule type="expression" dxfId="1663" priority="54">
      <formula>SEARCH("X", $A$12) &gt; 0</formula>
    </cfRule>
  </conditionalFormatting>
  <conditionalFormatting sqref="B17:AF17">
    <cfRule type="expression" dxfId="1662" priority="53" stopIfTrue="1">
      <formula>(COUNTIF(B$5:B$16,"off")+COUNTIF(B$5:B$16,"護")) &lt;&gt; B$17</formula>
    </cfRule>
  </conditionalFormatting>
  <conditionalFormatting sqref="O5 Q5:AB5 S6:S12">
    <cfRule type="expression" dxfId="1661" priority="51">
      <formula>WEEKDAY(O$3,2)=7</formula>
    </cfRule>
    <cfRule type="expression" dxfId="1660" priority="52">
      <formula>WEEKDAY(O$3,2)=6</formula>
    </cfRule>
  </conditionalFormatting>
  <conditionalFormatting sqref="O5 Q5:AB5 S6:S12">
    <cfRule type="expression" dxfId="1659" priority="50">
      <formula>SEARCH("X", $A$5) &gt; 0</formula>
    </cfRule>
  </conditionalFormatting>
  <conditionalFormatting sqref="O8:AB8 S9:S16">
    <cfRule type="expression" dxfId="1658" priority="48">
      <formula>WEEKDAY(O$3,2)=7</formula>
    </cfRule>
    <cfRule type="expression" dxfId="1657" priority="49">
      <formula>WEEKDAY(O$3,2)=6</formula>
    </cfRule>
  </conditionalFormatting>
  <conditionalFormatting sqref="O8:AB8 S9:S16">
    <cfRule type="expression" dxfId="1656" priority="47">
      <formula>SEARCH("X", $A$5) &gt; 0</formula>
    </cfRule>
  </conditionalFormatting>
  <conditionalFormatting sqref="P5">
    <cfRule type="expression" dxfId="1655" priority="45">
      <formula>WEEKDAY(P$3,2)=7</formula>
    </cfRule>
    <cfRule type="expression" dxfId="1654" priority="46">
      <formula>WEEKDAY(P$3,2)=6</formula>
    </cfRule>
  </conditionalFormatting>
  <conditionalFormatting sqref="P5">
    <cfRule type="expression" dxfId="1653" priority="44">
      <formula>SEARCH("X", $A$5) &gt; 0</formula>
    </cfRule>
  </conditionalFormatting>
  <conditionalFormatting sqref="G6:H6">
    <cfRule type="expression" dxfId="1652" priority="42">
      <formula>WEEKDAY(G$3,2)=7</formula>
    </cfRule>
    <cfRule type="expression" dxfId="1651" priority="43">
      <formula>WEEKDAY(G$3,2)=6</formula>
    </cfRule>
  </conditionalFormatting>
  <conditionalFormatting sqref="G6:H6">
    <cfRule type="expression" dxfId="1650" priority="41">
      <formula>SEARCH("X", $A$6) &gt; 0</formula>
    </cfRule>
  </conditionalFormatting>
  <conditionalFormatting sqref="N6:O6">
    <cfRule type="expression" dxfId="1649" priority="39">
      <formula>WEEKDAY(N$3,2)=7</formula>
    </cfRule>
    <cfRule type="expression" dxfId="1648" priority="40">
      <formula>WEEKDAY(N$3,2)=6</formula>
    </cfRule>
  </conditionalFormatting>
  <conditionalFormatting sqref="N6:O6">
    <cfRule type="expression" dxfId="1647" priority="38">
      <formula>SEARCH("X", $A$6) &gt; 0</formula>
    </cfRule>
  </conditionalFormatting>
  <conditionalFormatting sqref="U6:V6">
    <cfRule type="expression" dxfId="1646" priority="36">
      <formula>WEEKDAY(U$3,2)=7</formula>
    </cfRule>
    <cfRule type="expression" dxfId="1645" priority="37">
      <formula>WEEKDAY(U$3,2)=6</formula>
    </cfRule>
  </conditionalFormatting>
  <conditionalFormatting sqref="U6:V6">
    <cfRule type="expression" dxfId="1644" priority="35">
      <formula>SEARCH("X", $A$6) &gt; 0</formula>
    </cfRule>
  </conditionalFormatting>
  <conditionalFormatting sqref="AB6:AC6">
    <cfRule type="expression" dxfId="1643" priority="33">
      <formula>WEEKDAY(AB$3,2)=7</formula>
    </cfRule>
    <cfRule type="expression" dxfId="1642" priority="34">
      <formula>WEEKDAY(AB$3,2)=6</formula>
    </cfRule>
  </conditionalFormatting>
  <conditionalFormatting sqref="AB6:AC6">
    <cfRule type="expression" dxfId="1641" priority="32">
      <formula>SEARCH("X", $A$6) &gt; 0</formula>
    </cfRule>
  </conditionalFormatting>
  <conditionalFormatting sqref="D6:E6 E7:E8">
    <cfRule type="expression" dxfId="1640" priority="30">
      <formula>WEEKDAY(D$3,2)=7</formula>
    </cfRule>
    <cfRule type="expression" dxfId="1639" priority="31">
      <formula>WEEKDAY(D$3,2)=6</formula>
    </cfRule>
  </conditionalFormatting>
  <conditionalFormatting sqref="D6:E6 E7:E8">
    <cfRule type="expression" dxfId="1638" priority="29">
      <formula>SEARCH("X", $A$6) &gt; 0</formula>
    </cfRule>
  </conditionalFormatting>
  <conditionalFormatting sqref="K6:L6">
    <cfRule type="expression" dxfId="1637" priority="27">
      <formula>WEEKDAY(K$3,2)=7</formula>
    </cfRule>
    <cfRule type="expression" dxfId="1636" priority="28">
      <formula>WEEKDAY(K$3,2)=6</formula>
    </cfRule>
  </conditionalFormatting>
  <conditionalFormatting sqref="K6:L6">
    <cfRule type="expression" dxfId="1635" priority="26">
      <formula>SEARCH("X", $A$6) &gt; 0</formula>
    </cfRule>
  </conditionalFormatting>
  <conditionalFormatting sqref="R6:S6">
    <cfRule type="expression" dxfId="1634" priority="24">
      <formula>WEEKDAY(R$3,2)=7</formula>
    </cfRule>
    <cfRule type="expression" dxfId="1633" priority="25">
      <formula>WEEKDAY(R$3,2)=6</formula>
    </cfRule>
  </conditionalFormatting>
  <conditionalFormatting sqref="R6:S6">
    <cfRule type="expression" dxfId="1632" priority="23">
      <formula>SEARCH("X", $A$6) &gt; 0</formula>
    </cfRule>
  </conditionalFormatting>
  <conditionalFormatting sqref="Y6:Z6">
    <cfRule type="expression" dxfId="1631" priority="21">
      <formula>WEEKDAY(Y$3,2)=7</formula>
    </cfRule>
    <cfRule type="expression" dxfId="1630" priority="22">
      <formula>WEEKDAY(Y$3,2)=6</formula>
    </cfRule>
  </conditionalFormatting>
  <conditionalFormatting sqref="Y6:Z6">
    <cfRule type="expression" dxfId="1629" priority="20">
      <formula>SEARCH("X", $A$6) &gt; 0</formula>
    </cfRule>
  </conditionalFormatting>
  <conditionalFormatting sqref="B6:C6">
    <cfRule type="expression" dxfId="1628" priority="18">
      <formula>WEEKDAY(B$3,2)=7</formula>
    </cfRule>
    <cfRule type="expression" dxfId="1627" priority="19">
      <formula>WEEKDAY(B$3,2)=6</formula>
    </cfRule>
  </conditionalFormatting>
  <conditionalFormatting sqref="B6:C6">
    <cfRule type="expression" dxfId="1626" priority="17">
      <formula>SEARCH("X", $A$6) &gt; 0</formula>
    </cfRule>
  </conditionalFormatting>
  <conditionalFormatting sqref="I6:J6">
    <cfRule type="expression" dxfId="1625" priority="15">
      <formula>WEEKDAY(I$3,2)=7</formula>
    </cfRule>
    <cfRule type="expression" dxfId="1624" priority="16">
      <formula>WEEKDAY(I$3,2)=6</formula>
    </cfRule>
  </conditionalFormatting>
  <conditionalFormatting sqref="I6:J6">
    <cfRule type="expression" dxfId="1623" priority="14">
      <formula>SEARCH("X", $A$6) &gt; 0</formula>
    </cfRule>
  </conditionalFormatting>
  <conditionalFormatting sqref="P6:Q6">
    <cfRule type="expression" dxfId="1622" priority="12">
      <formula>WEEKDAY(P$3,2)=7</formula>
    </cfRule>
    <cfRule type="expression" dxfId="1621" priority="13">
      <formula>WEEKDAY(P$3,2)=6</formula>
    </cfRule>
  </conditionalFormatting>
  <conditionalFormatting sqref="P6:Q6">
    <cfRule type="expression" dxfId="1620" priority="11">
      <formula>SEARCH("X", $A$6) &gt; 0</formula>
    </cfRule>
  </conditionalFormatting>
  <conditionalFormatting sqref="W6:X6">
    <cfRule type="expression" dxfId="1619" priority="9">
      <formula>WEEKDAY(W$3,2)=7</formula>
    </cfRule>
    <cfRule type="expression" dxfId="1618" priority="10">
      <formula>WEEKDAY(W$3,2)=6</formula>
    </cfRule>
  </conditionalFormatting>
  <conditionalFormatting sqref="W6:X6">
    <cfRule type="expression" dxfId="1617" priority="8">
      <formula>SEARCH("X", $A$6) &gt; 0</formula>
    </cfRule>
  </conditionalFormatting>
  <conditionalFormatting sqref="AD6:AE6">
    <cfRule type="expression" dxfId="1616" priority="6">
      <formula>WEEKDAY(AD$3,2)=7</formula>
    </cfRule>
    <cfRule type="expression" dxfId="1615" priority="7">
      <formula>WEEKDAY(AD$3,2)=6</formula>
    </cfRule>
  </conditionalFormatting>
  <conditionalFormatting sqref="AD6:AE6">
    <cfRule type="expression" dxfId="1614" priority="5">
      <formula>SEARCH("X", $A$6) &gt; 0</formula>
    </cfRule>
  </conditionalFormatting>
  <conditionalFormatting sqref="B10:AF10">
    <cfRule type="expression" dxfId="1613" priority="3">
      <formula>WEEKDAY(B$3,2)=7</formula>
    </cfRule>
    <cfRule type="expression" dxfId="1612" priority="4">
      <formula>WEEKDAY(B$3,2)=6</formula>
    </cfRule>
  </conditionalFormatting>
  <conditionalFormatting sqref="B10:AF10">
    <cfRule type="expression" dxfId="1611" priority="2">
      <formula>SEARCH("X", $A$11) &gt; 0</formula>
    </cfRule>
  </conditionalFormatting>
  <conditionalFormatting sqref="B3:AF16">
    <cfRule type="expression" dxfId="1610" priority="1" stopIfTrue="1">
      <formula>SEARCH("國", B$18) &gt; 0</formula>
    </cfRule>
  </conditionalFormatting>
  <dataValidations count="12">
    <dataValidation type="list" allowBlank="1" showInputMessage="1" showErrorMessage="1" sqref="A12" xr:uid="{710161C1-8E51-4967-8B3E-AECDCBA13398}">
      <formula1>$AI$27:$AJ$27</formula1>
    </dataValidation>
    <dataValidation type="list" allowBlank="1" showInputMessage="1" showErrorMessage="1" sqref="A11" xr:uid="{1322CB59-FCED-492F-84E4-4017FE9F7DA6}">
      <formula1>$AK$26:$AL$26</formula1>
    </dataValidation>
    <dataValidation type="list" allowBlank="1" showInputMessage="1" showErrorMessage="1" sqref="A5" xr:uid="{1CE8FCE5-85DE-42DC-96D8-014584B869A8}">
      <formula1>$AK$20:$AL$20</formula1>
    </dataValidation>
    <dataValidation type="list" allowBlank="1" showInputMessage="1" showErrorMessage="1" sqref="A7" xr:uid="{01BF2094-81BB-4D2D-B393-3F4493EB9D23}">
      <formula1>$AI$22:$AJ$22</formula1>
    </dataValidation>
    <dataValidation type="list" allowBlank="1" showInputMessage="1" showErrorMessage="1" sqref="A8" xr:uid="{3032B189-11C1-4E92-A5C3-4A3110F17138}">
      <formula1>$AK$23:$AL$23</formula1>
    </dataValidation>
    <dataValidation type="list" allowBlank="1" showInputMessage="1" showErrorMessage="1" sqref="A6" xr:uid="{1A34F2DC-8B2D-43C3-B4F0-8A53161C31EC}">
      <formula1>$AI$21:$AJ$21</formula1>
    </dataValidation>
    <dataValidation type="list" allowBlank="1" showInputMessage="1" showErrorMessage="1" sqref="A9" xr:uid="{94D3738A-8023-4CD0-8331-F801E9EED037}">
      <formula1>$AK$24:$AL$24</formula1>
    </dataValidation>
    <dataValidation type="list" allowBlank="1" showInputMessage="1" showErrorMessage="1" sqref="A10" xr:uid="{9F98025E-BF19-429F-8CAA-575952A1D7A0}">
      <formula1>$AK$25:$AL$25</formula1>
    </dataValidation>
    <dataValidation type="list" allowBlank="1" showInputMessage="1" sqref="B5:AF16" xr:uid="{4990D703-A06D-41F2-8C54-BD5819FF44C5}">
      <formula1>$AH$20:$AH$30</formula1>
    </dataValidation>
    <dataValidation type="list" allowBlank="1" showInputMessage="1" showErrorMessage="1" sqref="C20:D30" xr:uid="{4D7EA2BC-BEBF-4B10-AEF1-34EE053A75D9}">
      <formula1>$AM$21:$AM$24</formula1>
    </dataValidation>
    <dataValidation type="list" allowBlank="1" showInputMessage="1" sqref="A17:A18" xr:uid="{E2CD128C-CC92-445E-AB8F-A55FD52CF1C1}">
      <formula1>$AI$27:$AJ$27</formula1>
    </dataValidation>
    <dataValidation type="list" allowBlank="1" showInputMessage="1" showErrorMessage="1" sqref="E20:F27" xr:uid="{3113696F-3752-401F-91D3-91C2BE697C48}">
      <formula1>$A$5:$A$12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5" name="Button 43">
              <controlPr defaultSize="0" print="0" autoFill="0" autoPict="0" macro="[2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868C6-8168-49CD-8E26-EC1F36EA9435}">
  <sheetPr codeName="工作表13">
    <pageSetUpPr fitToPage="1"/>
  </sheetPr>
  <dimension ref="A1:AM31"/>
  <sheetViews>
    <sheetView zoomScale="55" zoomScaleNormal="55" workbookViewId="0">
      <selection activeCell="C15" sqref="C15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380"/>
      <c r="B2" s="380"/>
      <c r="C2" s="1"/>
      <c r="D2" s="1"/>
      <c r="F2" s="1"/>
      <c r="G2" s="27">
        <v>2025</v>
      </c>
      <c r="H2" s="27" t="str">
        <f>"("&amp;YEAR(B3)-1911&amp;" 年 "&amp;")"</f>
        <v>(114 年 )</v>
      </c>
      <c r="I2" s="22"/>
      <c r="J2" s="23">
        <v>6</v>
      </c>
      <c r="K2" s="23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F2" s="175"/>
    </row>
    <row r="3" spans="1:39" ht="27.5">
      <c r="A3" s="19" t="s">
        <v>1</v>
      </c>
      <c r="B3" s="30">
        <f>DATE($G$2,$J$2,1)</f>
        <v>45809</v>
      </c>
      <c r="C3" s="30">
        <f>B3+1</f>
        <v>45810</v>
      </c>
      <c r="D3" s="30">
        <f t="shared" ref="D3:AB3" si="0">C3+1</f>
        <v>45811</v>
      </c>
      <c r="E3" s="30">
        <f t="shared" si="0"/>
        <v>45812</v>
      </c>
      <c r="F3" s="30">
        <f t="shared" si="0"/>
        <v>45813</v>
      </c>
      <c r="G3" s="30">
        <f t="shared" si="0"/>
        <v>45814</v>
      </c>
      <c r="H3" s="30">
        <f t="shared" si="0"/>
        <v>45815</v>
      </c>
      <c r="I3" s="30">
        <f t="shared" si="0"/>
        <v>45816</v>
      </c>
      <c r="J3" s="30">
        <f t="shared" si="0"/>
        <v>45817</v>
      </c>
      <c r="K3" s="30">
        <f t="shared" si="0"/>
        <v>45818</v>
      </c>
      <c r="L3" s="30">
        <f t="shared" si="0"/>
        <v>45819</v>
      </c>
      <c r="M3" s="30">
        <f t="shared" si="0"/>
        <v>45820</v>
      </c>
      <c r="N3" s="30">
        <f t="shared" si="0"/>
        <v>45821</v>
      </c>
      <c r="O3" s="30">
        <f t="shared" si="0"/>
        <v>45822</v>
      </c>
      <c r="P3" s="30">
        <f t="shared" si="0"/>
        <v>45823</v>
      </c>
      <c r="Q3" s="30">
        <f t="shared" si="0"/>
        <v>45824</v>
      </c>
      <c r="R3" s="30">
        <f t="shared" si="0"/>
        <v>45825</v>
      </c>
      <c r="S3" s="30">
        <f t="shared" si="0"/>
        <v>45826</v>
      </c>
      <c r="T3" s="30">
        <f t="shared" si="0"/>
        <v>45827</v>
      </c>
      <c r="U3" s="30">
        <f t="shared" si="0"/>
        <v>45828</v>
      </c>
      <c r="V3" s="30">
        <f t="shared" si="0"/>
        <v>45829</v>
      </c>
      <c r="W3" s="30">
        <f t="shared" si="0"/>
        <v>45830</v>
      </c>
      <c r="X3" s="30">
        <f t="shared" si="0"/>
        <v>45831</v>
      </c>
      <c r="Y3" s="30">
        <f t="shared" si="0"/>
        <v>45832</v>
      </c>
      <c r="Z3" s="30">
        <f t="shared" si="0"/>
        <v>45833</v>
      </c>
      <c r="AA3" s="30">
        <f t="shared" si="0"/>
        <v>45834</v>
      </c>
      <c r="AB3" s="30">
        <f t="shared" si="0"/>
        <v>45835</v>
      </c>
      <c r="AC3" s="30">
        <f>IFERROR(IF(MONTH(AB3+1)=$J$2,AB3+1,""),"")</f>
        <v>45836</v>
      </c>
      <c r="AD3" s="30">
        <f>IFERROR(IF(MONTH(AC3+1)=$J$2,AC3+1,""),"")</f>
        <v>45837</v>
      </c>
      <c r="AE3" s="30">
        <f>IFERROR(IF(MONTH(AD3+1)=$J$2,AD3+1,""),"")</f>
        <v>45838</v>
      </c>
      <c r="AF3" s="30" t="str">
        <f>IFERROR(IF(MONTH(AE3+1)=$J$2,AE3+1,""),"")</f>
        <v/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3" t="s">
        <v>252</v>
      </c>
    </row>
    <row r="4" spans="1:39" ht="27.5">
      <c r="A4" s="19" t="s">
        <v>41</v>
      </c>
      <c r="B4" s="31" t="str">
        <f t="shared" ref="B4:AF4" si="1">IFERROR(IF(WEEKDAY(B3,2)=7,"日",WEEKDAY(B3,2)),"")</f>
        <v>日</v>
      </c>
      <c r="C4" s="31">
        <f>IFERROR(IF(WEEKDAY(C3,2)=7,"日",WEEKDAY(C3,2)),"")</f>
        <v>1</v>
      </c>
      <c r="D4" s="31">
        <f t="shared" si="1"/>
        <v>2</v>
      </c>
      <c r="E4" s="31">
        <f t="shared" si="1"/>
        <v>3</v>
      </c>
      <c r="F4" s="31">
        <f t="shared" si="1"/>
        <v>4</v>
      </c>
      <c r="G4" s="31">
        <f t="shared" si="1"/>
        <v>5</v>
      </c>
      <c r="H4" s="31">
        <f t="shared" si="1"/>
        <v>6</v>
      </c>
      <c r="I4" s="31" t="str">
        <f t="shared" si="1"/>
        <v>日</v>
      </c>
      <c r="J4" s="31">
        <f t="shared" si="1"/>
        <v>1</v>
      </c>
      <c r="K4" s="31">
        <f t="shared" si="1"/>
        <v>2</v>
      </c>
      <c r="L4" s="31">
        <f t="shared" si="1"/>
        <v>3</v>
      </c>
      <c r="M4" s="31">
        <f t="shared" si="1"/>
        <v>4</v>
      </c>
      <c r="N4" s="31">
        <f t="shared" si="1"/>
        <v>5</v>
      </c>
      <c r="O4" s="31">
        <f t="shared" si="1"/>
        <v>6</v>
      </c>
      <c r="P4" s="31" t="str">
        <f t="shared" si="1"/>
        <v>日</v>
      </c>
      <c r="Q4" s="31">
        <f t="shared" si="1"/>
        <v>1</v>
      </c>
      <c r="R4" s="31">
        <f t="shared" si="1"/>
        <v>2</v>
      </c>
      <c r="S4" s="31">
        <f t="shared" si="1"/>
        <v>3</v>
      </c>
      <c r="T4" s="31">
        <f t="shared" si="1"/>
        <v>4</v>
      </c>
      <c r="U4" s="31">
        <f t="shared" si="1"/>
        <v>5</v>
      </c>
      <c r="V4" s="31">
        <f t="shared" si="1"/>
        <v>6</v>
      </c>
      <c r="W4" s="31" t="str">
        <f t="shared" si="1"/>
        <v>日</v>
      </c>
      <c r="X4" s="31">
        <f t="shared" si="1"/>
        <v>1</v>
      </c>
      <c r="Y4" s="31">
        <f t="shared" si="1"/>
        <v>2</v>
      </c>
      <c r="Z4" s="31">
        <f t="shared" si="1"/>
        <v>3</v>
      </c>
      <c r="AA4" s="31">
        <f t="shared" si="1"/>
        <v>4</v>
      </c>
      <c r="AB4" s="31">
        <f t="shared" si="1"/>
        <v>5</v>
      </c>
      <c r="AC4" s="31">
        <f t="shared" si="1"/>
        <v>6</v>
      </c>
      <c r="AD4" s="31" t="str">
        <f t="shared" si="1"/>
        <v>日</v>
      </c>
      <c r="AE4" s="31">
        <f t="shared" si="1"/>
        <v>1</v>
      </c>
      <c r="AF4" s="31" t="str">
        <f t="shared" si="1"/>
        <v/>
      </c>
      <c r="AG4" s="377" t="s">
        <v>42</v>
      </c>
      <c r="AH4" s="377"/>
      <c r="AI4" s="377"/>
      <c r="AJ4" s="377"/>
      <c r="AK4" s="377"/>
      <c r="AL4" s="377"/>
      <c r="AM4" s="174"/>
    </row>
    <row r="5" spans="1:39" ht="21.5">
      <c r="A5" s="6" t="s">
        <v>9</v>
      </c>
      <c r="B5" s="83" t="s">
        <v>4</v>
      </c>
      <c r="C5" s="33"/>
      <c r="D5" s="88"/>
      <c r="E5" s="88" t="s">
        <v>4</v>
      </c>
      <c r="F5" s="88" t="s">
        <v>4</v>
      </c>
      <c r="G5" s="88" t="s">
        <v>316</v>
      </c>
      <c r="H5" s="88" t="s">
        <v>3</v>
      </c>
      <c r="I5" s="62" t="s">
        <v>4</v>
      </c>
      <c r="J5" s="33" t="s">
        <v>2</v>
      </c>
      <c r="K5" s="33" t="s">
        <v>2</v>
      </c>
      <c r="L5" s="33" t="s">
        <v>2</v>
      </c>
      <c r="M5" s="88" t="s">
        <v>2</v>
      </c>
      <c r="N5" s="88"/>
      <c r="O5" s="62" t="s">
        <v>4</v>
      </c>
      <c r="P5" s="62" t="s">
        <v>4</v>
      </c>
      <c r="Q5" s="33"/>
      <c r="R5" s="62" t="s">
        <v>4</v>
      </c>
      <c r="S5" s="62" t="s">
        <v>3</v>
      </c>
      <c r="T5" s="33"/>
      <c r="U5" s="33" t="s">
        <v>2</v>
      </c>
      <c r="V5" s="33" t="s">
        <v>2</v>
      </c>
      <c r="W5" s="33" t="s">
        <v>2</v>
      </c>
      <c r="X5" s="62" t="s">
        <v>4</v>
      </c>
      <c r="Y5" s="62" t="s">
        <v>4</v>
      </c>
      <c r="Z5" s="62" t="s">
        <v>4</v>
      </c>
      <c r="AA5" s="62" t="s">
        <v>3</v>
      </c>
      <c r="AB5" s="62" t="s">
        <v>5</v>
      </c>
      <c r="AC5" s="88" t="s">
        <v>5</v>
      </c>
      <c r="AD5" s="88" t="s">
        <v>5</v>
      </c>
      <c r="AE5" s="83" t="s">
        <v>2</v>
      </c>
      <c r="AF5" s="88"/>
      <c r="AG5" s="3">
        <f>(AH5*12)+(AI5*12)+(AK5*8)+(AL5*4)</f>
        <v>120</v>
      </c>
      <c r="AH5" s="3">
        <f t="shared" ref="AH5:AH15" si="2">COUNTIF(B5:AF5,"D")</f>
        <v>3</v>
      </c>
      <c r="AI5" s="3">
        <f t="shared" ref="AI5:AI15" si="3">COUNTIF(B5:AF5,"N")</f>
        <v>3</v>
      </c>
      <c r="AJ5" s="3">
        <f t="shared" ref="AJ5:AJ15" si="4">COUNTIF(B5:AF5,"OFF")+COUNTIF(B5:AF5,"上課")</f>
        <v>18</v>
      </c>
      <c r="AK5" s="3">
        <f t="shared" ref="AK5:AK15" si="5">COUNTIF(B5:AF5,"")-AL5+COUNTIF(B5:AF5,"h3")</f>
        <v>6</v>
      </c>
      <c r="AL5" s="3">
        <f t="shared" ref="AL5:AL15" si="6">COUNTIFS($B$4:$AF$4,"6",B5:AF5,"")+COUNTIF(B5:AF5,"h3")</f>
        <v>0</v>
      </c>
      <c r="AM5" s="3">
        <f t="array" ref="AM5">SUMPRODUCT(($B$4:$AF$4=6)*(B5:AF5="off"))</f>
        <v>2</v>
      </c>
    </row>
    <row r="6" spans="1:39" ht="21.5">
      <c r="A6" s="6" t="s">
        <v>45</v>
      </c>
      <c r="B6" s="88" t="s">
        <v>4</v>
      </c>
      <c r="C6" s="88" t="s">
        <v>4</v>
      </c>
      <c r="D6" s="88" t="s">
        <v>4</v>
      </c>
      <c r="E6" s="88"/>
      <c r="F6" s="33" t="s">
        <v>85</v>
      </c>
      <c r="G6" s="33" t="s">
        <v>4</v>
      </c>
      <c r="H6" s="33" t="s">
        <v>10</v>
      </c>
      <c r="I6" s="83" t="s">
        <v>2</v>
      </c>
      <c r="J6" s="88"/>
      <c r="K6" s="33" t="s">
        <v>4</v>
      </c>
      <c r="L6" s="33" t="s">
        <v>4</v>
      </c>
      <c r="M6" s="33" t="s">
        <v>4</v>
      </c>
      <c r="N6" s="33" t="s">
        <v>4</v>
      </c>
      <c r="O6" s="33"/>
      <c r="P6" s="62" t="s">
        <v>3</v>
      </c>
      <c r="Q6" s="88"/>
      <c r="R6" s="62" t="s">
        <v>3</v>
      </c>
      <c r="S6" s="62" t="s">
        <v>4</v>
      </c>
      <c r="T6" s="33" t="s">
        <v>4</v>
      </c>
      <c r="U6" s="33" t="s">
        <v>4</v>
      </c>
      <c r="V6" s="33"/>
      <c r="W6" s="88" t="s">
        <v>4</v>
      </c>
      <c r="X6" s="88" t="s">
        <v>3</v>
      </c>
      <c r="Y6" s="62" t="s">
        <v>4</v>
      </c>
      <c r="Z6" s="62" t="s">
        <v>5</v>
      </c>
      <c r="AA6" s="88" t="s">
        <v>5</v>
      </c>
      <c r="AB6" s="62" t="s">
        <v>4</v>
      </c>
      <c r="AC6" s="62" t="s">
        <v>4</v>
      </c>
      <c r="AD6" s="88" t="s">
        <v>2</v>
      </c>
      <c r="AE6" s="62" t="s">
        <v>5</v>
      </c>
      <c r="AF6" s="88"/>
      <c r="AG6" s="3">
        <f>(AH6*12)+(AI6*12)+(AK6*8)+(AL6*4)</f>
        <v>112</v>
      </c>
      <c r="AH6" s="3">
        <f t="shared" si="2"/>
        <v>3</v>
      </c>
      <c r="AI6" s="3">
        <f t="shared" si="3"/>
        <v>3</v>
      </c>
      <c r="AJ6" s="3">
        <f t="shared" si="4"/>
        <v>18</v>
      </c>
      <c r="AK6" s="3">
        <f t="shared" si="5"/>
        <v>4</v>
      </c>
      <c r="AL6" s="3">
        <f t="shared" si="6"/>
        <v>2</v>
      </c>
      <c r="AM6" s="3">
        <f t="array" ref="AM6">SUMPRODUCT(($B$4:$AF$4=6)*(B6:AF6="off"))</f>
        <v>2</v>
      </c>
    </row>
    <row r="7" spans="1:39" ht="21.5">
      <c r="A7" s="6" t="s">
        <v>17</v>
      </c>
      <c r="B7" s="88" t="s">
        <v>4</v>
      </c>
      <c r="C7" s="90" t="s">
        <v>3</v>
      </c>
      <c r="D7" s="90"/>
      <c r="E7" s="90"/>
      <c r="F7" s="90" t="s">
        <v>3</v>
      </c>
      <c r="G7" s="201" t="s">
        <v>2</v>
      </c>
      <c r="H7" s="90"/>
      <c r="I7" s="90" t="s">
        <v>3</v>
      </c>
      <c r="J7" s="90" t="s">
        <v>2</v>
      </c>
      <c r="K7" s="90" t="s">
        <v>4</v>
      </c>
      <c r="L7" s="90" t="s">
        <v>4</v>
      </c>
      <c r="M7" s="90" t="s">
        <v>3</v>
      </c>
      <c r="N7" s="90" t="s">
        <v>4</v>
      </c>
      <c r="O7" s="202" t="s">
        <v>4</v>
      </c>
      <c r="P7" s="196" t="s">
        <v>4</v>
      </c>
      <c r="Q7" s="88" t="s">
        <v>4</v>
      </c>
      <c r="R7" s="88"/>
      <c r="S7" s="33"/>
      <c r="T7" s="33" t="s">
        <v>2</v>
      </c>
      <c r="U7" s="33" t="s">
        <v>2</v>
      </c>
      <c r="V7" s="33" t="s">
        <v>2</v>
      </c>
      <c r="W7" s="33" t="s">
        <v>2</v>
      </c>
      <c r="X7" s="33" t="s">
        <v>4</v>
      </c>
      <c r="Y7" s="62" t="s">
        <v>4</v>
      </c>
      <c r="Z7" s="62" t="s">
        <v>2</v>
      </c>
      <c r="AA7" s="88" t="s">
        <v>2</v>
      </c>
      <c r="AB7" s="88" t="s">
        <v>3</v>
      </c>
      <c r="AC7" s="88"/>
      <c r="AD7" s="88" t="s">
        <v>4</v>
      </c>
      <c r="AE7" s="62" t="s">
        <v>3</v>
      </c>
      <c r="AF7" s="33"/>
      <c r="AG7" s="3">
        <f>(AH7*12)+(AI7*12)+(AK7*8)+(AL7*4)</f>
        <v>120</v>
      </c>
      <c r="AH7" s="3">
        <f t="shared" si="2"/>
        <v>6</v>
      </c>
      <c r="AI7" s="3">
        <f t="shared" si="3"/>
        <v>0</v>
      </c>
      <c r="AJ7" s="3">
        <f t="shared" si="4"/>
        <v>18</v>
      </c>
      <c r="AK7" s="3">
        <f t="shared" si="5"/>
        <v>5</v>
      </c>
      <c r="AL7" s="3">
        <f t="shared" si="6"/>
        <v>2</v>
      </c>
      <c r="AM7" s="3">
        <f t="array" ref="AM7">SUMPRODUCT(($B$4:$AF$4=6)*(B7:AF7="off"))</f>
        <v>2</v>
      </c>
    </row>
    <row r="8" spans="1:39" ht="21.5">
      <c r="A8" s="6" t="s">
        <v>46</v>
      </c>
      <c r="B8" s="33" t="s">
        <v>2</v>
      </c>
      <c r="C8" s="88" t="s">
        <v>4</v>
      </c>
      <c r="D8" s="88" t="s">
        <v>4</v>
      </c>
      <c r="E8" s="88" t="s">
        <v>4</v>
      </c>
      <c r="F8" s="88" t="s">
        <v>4</v>
      </c>
      <c r="G8" s="33" t="s">
        <v>2</v>
      </c>
      <c r="H8" s="33" t="s">
        <v>2</v>
      </c>
      <c r="I8" s="33" t="s">
        <v>2</v>
      </c>
      <c r="J8" s="88" t="s">
        <v>2</v>
      </c>
      <c r="K8" s="88" t="s">
        <v>2</v>
      </c>
      <c r="L8" s="33" t="s">
        <v>2</v>
      </c>
      <c r="M8" s="62"/>
      <c r="N8" s="88" t="s">
        <v>3</v>
      </c>
      <c r="O8" s="33"/>
      <c r="P8" s="88" t="s">
        <v>4</v>
      </c>
      <c r="Q8" s="77" t="s">
        <v>4</v>
      </c>
      <c r="R8" s="77" t="s">
        <v>5</v>
      </c>
      <c r="S8" s="77" t="s">
        <v>5</v>
      </c>
      <c r="T8" s="77" t="s">
        <v>5</v>
      </c>
      <c r="U8" s="77" t="s">
        <v>5</v>
      </c>
      <c r="V8" s="77" t="s">
        <v>2</v>
      </c>
      <c r="W8" s="198" t="s">
        <v>7</v>
      </c>
      <c r="X8" s="201"/>
      <c r="Y8" s="201"/>
      <c r="Z8" s="77" t="s">
        <v>2</v>
      </c>
      <c r="AA8" s="201" t="s">
        <v>2</v>
      </c>
      <c r="AB8" s="201" t="s">
        <v>2</v>
      </c>
      <c r="AC8" s="201" t="s">
        <v>2</v>
      </c>
      <c r="AD8" s="33" t="s">
        <v>4</v>
      </c>
      <c r="AE8" s="201"/>
      <c r="AF8" s="88"/>
      <c r="AG8" s="3">
        <f>(AH8*12)+(AI8*12)+(AK8*8)+(AL8*4)</f>
        <v>116</v>
      </c>
      <c r="AH8" s="3">
        <f t="shared" si="2"/>
        <v>2</v>
      </c>
      <c r="AI8" s="3">
        <f t="shared" si="3"/>
        <v>4</v>
      </c>
      <c r="AJ8" s="3">
        <f t="shared" si="4"/>
        <v>19</v>
      </c>
      <c r="AK8" s="3">
        <f t="shared" si="5"/>
        <v>5</v>
      </c>
      <c r="AL8" s="3">
        <f t="shared" si="6"/>
        <v>1</v>
      </c>
      <c r="AM8" s="3">
        <f t="array" ref="AM8">SUMPRODUCT(($B$4:$AF$4=6)*(B8:AF8="off"))</f>
        <v>3</v>
      </c>
    </row>
    <row r="9" spans="1:39" ht="21.5">
      <c r="A9" s="6" t="s">
        <v>12</v>
      </c>
      <c r="B9" s="88" t="s">
        <v>4</v>
      </c>
      <c r="C9" s="88" t="s">
        <v>4</v>
      </c>
      <c r="D9" s="88" t="s">
        <v>4</v>
      </c>
      <c r="E9" s="88" t="s">
        <v>4</v>
      </c>
      <c r="F9" s="62" t="s">
        <v>4</v>
      </c>
      <c r="G9" s="33"/>
      <c r="H9" s="62" t="s">
        <v>4</v>
      </c>
      <c r="I9" s="62" t="s">
        <v>4</v>
      </c>
      <c r="J9" s="62" t="s">
        <v>5</v>
      </c>
      <c r="K9" s="62" t="s">
        <v>5</v>
      </c>
      <c r="L9" s="62" t="s">
        <v>5</v>
      </c>
      <c r="M9" s="62" t="s">
        <v>5</v>
      </c>
      <c r="N9" s="88" t="s">
        <v>2</v>
      </c>
      <c r="O9" s="88" t="s">
        <v>2</v>
      </c>
      <c r="P9" s="88" t="s">
        <v>2</v>
      </c>
      <c r="Q9" s="88" t="s">
        <v>2</v>
      </c>
      <c r="R9" s="33" t="s">
        <v>2</v>
      </c>
      <c r="S9" s="33" t="s">
        <v>2</v>
      </c>
      <c r="T9" s="88" t="s">
        <v>4</v>
      </c>
      <c r="U9" s="88"/>
      <c r="V9" s="88"/>
      <c r="W9" s="88" t="s">
        <v>4</v>
      </c>
      <c r="X9" s="88"/>
      <c r="Y9" s="88" t="s">
        <v>3</v>
      </c>
      <c r="Z9" s="88"/>
      <c r="AA9" s="88"/>
      <c r="AB9" s="88" t="s">
        <v>2</v>
      </c>
      <c r="AC9" s="88" t="s">
        <v>4</v>
      </c>
      <c r="AD9" s="88" t="s">
        <v>3</v>
      </c>
      <c r="AE9" s="88" t="s">
        <v>4</v>
      </c>
      <c r="AF9" s="88"/>
      <c r="AG9" s="3">
        <f>(AH9*12)+(AI9*12)+(AK9*8)+(AL9*4)</f>
        <v>124</v>
      </c>
      <c r="AH9" s="3">
        <f t="shared" si="2"/>
        <v>2</v>
      </c>
      <c r="AI9" s="3">
        <f t="shared" si="3"/>
        <v>4</v>
      </c>
      <c r="AJ9" s="3">
        <f t="shared" si="4"/>
        <v>18</v>
      </c>
      <c r="AK9" s="3">
        <f t="shared" si="5"/>
        <v>6</v>
      </c>
      <c r="AL9" s="3">
        <f t="shared" si="6"/>
        <v>1</v>
      </c>
      <c r="AM9" s="3">
        <f t="array" ref="AM9">SUMPRODUCT(($B$4:$AF$4=6)*(B9:AF9="off"))</f>
        <v>3</v>
      </c>
    </row>
    <row r="10" spans="1:39" ht="21.5">
      <c r="A10" s="6" t="s">
        <v>303</v>
      </c>
      <c r="B10" s="88"/>
      <c r="C10" s="88"/>
      <c r="D10" s="88"/>
      <c r="E10" s="88"/>
      <c r="F10" s="88"/>
      <c r="G10" s="88"/>
      <c r="H10" s="88"/>
      <c r="I10" s="33"/>
      <c r="J10" s="33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3">
        <f t="shared" ref="AG10:AG15" si="7">(AH10*12)+(AI10*12)+(AK10*8)+(AL10*4)</f>
        <v>232</v>
      </c>
      <c r="AH10" s="3">
        <f t="shared" si="2"/>
        <v>0</v>
      </c>
      <c r="AI10" s="3">
        <f t="shared" si="3"/>
        <v>0</v>
      </c>
      <c r="AJ10" s="3">
        <f t="shared" si="4"/>
        <v>0</v>
      </c>
      <c r="AK10" s="3">
        <f t="shared" si="5"/>
        <v>27</v>
      </c>
      <c r="AL10" s="3">
        <f t="shared" si="6"/>
        <v>4</v>
      </c>
      <c r="AM10" s="3">
        <f t="array" ref="AM10">SUMPRODUCT(($B$4:$AF$4=6)*(B10:AF10="off"))</f>
        <v>0</v>
      </c>
    </row>
    <row r="11" spans="1:39" ht="21.5">
      <c r="A11" s="6" t="s">
        <v>269</v>
      </c>
      <c r="B11" s="88"/>
      <c r="C11" s="88"/>
      <c r="D11" s="88"/>
      <c r="E11" s="88"/>
      <c r="F11" s="88"/>
      <c r="G11" s="88"/>
      <c r="H11" s="88"/>
      <c r="I11" s="33"/>
      <c r="J11" s="33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3">
        <f t="shared" si="7"/>
        <v>232</v>
      </c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27</v>
      </c>
      <c r="AL11" s="3">
        <f t="shared" si="6"/>
        <v>4</v>
      </c>
      <c r="AM11" s="3">
        <f t="array" ref="AM11">SUMPRODUCT(($B$4:$AF$4=6)*(B11:AF11="off"))</f>
        <v>0</v>
      </c>
    </row>
    <row r="12" spans="1:39" ht="21.5">
      <c r="A12" s="6" t="s">
        <v>51</v>
      </c>
      <c r="B12" s="83" t="s">
        <v>5</v>
      </c>
      <c r="C12" s="62" t="s">
        <v>5</v>
      </c>
      <c r="D12" s="88" t="s">
        <v>5</v>
      </c>
      <c r="E12" s="88" t="s">
        <v>5</v>
      </c>
      <c r="F12" s="88" t="s">
        <v>4</v>
      </c>
      <c r="G12" s="88" t="s">
        <v>4</v>
      </c>
      <c r="H12" s="88" t="s">
        <v>4</v>
      </c>
      <c r="I12" s="62" t="s">
        <v>4</v>
      </c>
      <c r="J12" s="62" t="s">
        <v>3</v>
      </c>
      <c r="K12" s="88"/>
      <c r="L12" s="88"/>
      <c r="M12" s="88" t="s">
        <v>2</v>
      </c>
      <c r="N12" s="33" t="s">
        <v>2</v>
      </c>
      <c r="O12" s="33" t="s">
        <v>2</v>
      </c>
      <c r="P12" s="33" t="s">
        <v>4</v>
      </c>
      <c r="Q12" s="33" t="s">
        <v>2</v>
      </c>
      <c r="R12" s="33" t="s">
        <v>4</v>
      </c>
      <c r="S12" s="88" t="s">
        <v>2</v>
      </c>
      <c r="T12" s="88" t="s">
        <v>4</v>
      </c>
      <c r="U12" s="88"/>
      <c r="V12" s="88" t="s">
        <v>3</v>
      </c>
      <c r="W12" s="88" t="s">
        <v>4</v>
      </c>
      <c r="X12" s="62" t="s">
        <v>4</v>
      </c>
      <c r="Y12" s="88"/>
      <c r="Z12" s="88"/>
      <c r="AA12" s="88"/>
      <c r="AB12" s="88" t="s">
        <v>4</v>
      </c>
      <c r="AC12" s="88" t="s">
        <v>3</v>
      </c>
      <c r="AD12" s="88" t="s">
        <v>4</v>
      </c>
      <c r="AE12" s="33" t="s">
        <v>4</v>
      </c>
      <c r="AF12" s="88"/>
      <c r="AG12" s="3">
        <f t="shared" si="7"/>
        <v>140</v>
      </c>
      <c r="AH12" s="3">
        <f t="shared" si="2"/>
        <v>3</v>
      </c>
      <c r="AI12" s="3">
        <f t="shared" si="3"/>
        <v>4</v>
      </c>
      <c r="AJ12" s="3">
        <f t="shared" si="4"/>
        <v>17</v>
      </c>
      <c r="AK12" s="3">
        <f t="shared" si="5"/>
        <v>7</v>
      </c>
      <c r="AL12" s="3">
        <f t="shared" si="6"/>
        <v>0</v>
      </c>
      <c r="AM12" s="3">
        <f t="array" ref="AM12">SUMPRODUCT(($B$4:$AF$4=6)*(B12:AF12="off"))</f>
        <v>2</v>
      </c>
    </row>
    <row r="13" spans="1:39" ht="21.5">
      <c r="A13" s="6" t="s">
        <v>310</v>
      </c>
      <c r="B13" s="88" t="s">
        <v>3</v>
      </c>
      <c r="C13" s="88"/>
      <c r="D13" s="88" t="s">
        <v>3</v>
      </c>
      <c r="E13" s="88" t="s">
        <v>2</v>
      </c>
      <c r="F13" s="88" t="s">
        <v>5</v>
      </c>
      <c r="G13" s="62" t="s">
        <v>5</v>
      </c>
      <c r="H13" s="83" t="s">
        <v>5</v>
      </c>
      <c r="I13" s="83" t="s">
        <v>5</v>
      </c>
      <c r="J13" s="33" t="s">
        <v>4</v>
      </c>
      <c r="K13" s="62" t="s">
        <v>2</v>
      </c>
      <c r="L13" s="62" t="s">
        <v>3</v>
      </c>
      <c r="M13" s="33"/>
      <c r="N13" s="33"/>
      <c r="O13" s="88" t="s">
        <v>3</v>
      </c>
      <c r="P13" s="88" t="s">
        <v>4</v>
      </c>
      <c r="Q13" s="33" t="s">
        <v>4</v>
      </c>
      <c r="R13" s="88" t="s">
        <v>4</v>
      </c>
      <c r="S13" s="88" t="s">
        <v>4</v>
      </c>
      <c r="T13" s="88"/>
      <c r="U13" s="88" t="s">
        <v>3</v>
      </c>
      <c r="V13" s="33" t="s">
        <v>2</v>
      </c>
      <c r="W13" s="33" t="s">
        <v>4</v>
      </c>
      <c r="X13" s="33" t="s">
        <v>2</v>
      </c>
      <c r="Y13" s="33" t="s">
        <v>2</v>
      </c>
      <c r="Z13" s="33" t="s">
        <v>2</v>
      </c>
      <c r="AA13" s="33" t="s">
        <v>2</v>
      </c>
      <c r="AB13" s="33" t="s">
        <v>2</v>
      </c>
      <c r="AC13" s="33" t="s">
        <v>2</v>
      </c>
      <c r="AD13" s="33" t="s">
        <v>4</v>
      </c>
      <c r="AE13" s="33" t="s">
        <v>4</v>
      </c>
      <c r="AF13" s="88"/>
      <c r="AG13" s="3">
        <f t="shared" si="7"/>
        <v>148</v>
      </c>
      <c r="AH13" s="3">
        <f t="shared" si="2"/>
        <v>5</v>
      </c>
      <c r="AI13" s="3">
        <f t="shared" si="3"/>
        <v>4</v>
      </c>
      <c r="AJ13" s="3">
        <f t="shared" si="4"/>
        <v>17</v>
      </c>
      <c r="AK13" s="3">
        <f t="shared" si="5"/>
        <v>5</v>
      </c>
      <c r="AL13" s="3">
        <f t="shared" si="6"/>
        <v>0</v>
      </c>
      <c r="AM13" s="3">
        <f t="array" ref="AM13">SUMPRODUCT(($B$4:$AF$4=6)*(B13:AF13="off"))</f>
        <v>2</v>
      </c>
    </row>
    <row r="14" spans="1:39" ht="21.5">
      <c r="A14" s="6" t="s">
        <v>311</v>
      </c>
      <c r="B14" s="33" t="s">
        <v>2</v>
      </c>
      <c r="C14" s="88" t="s">
        <v>4</v>
      </c>
      <c r="D14" s="88" t="s">
        <v>4</v>
      </c>
      <c r="E14" s="88" t="s">
        <v>3</v>
      </c>
      <c r="F14" s="88"/>
      <c r="G14" s="62" t="s">
        <v>4</v>
      </c>
      <c r="H14" s="83"/>
      <c r="I14" s="62" t="s">
        <v>4</v>
      </c>
      <c r="J14" s="62" t="s">
        <v>2</v>
      </c>
      <c r="K14" s="62" t="s">
        <v>3</v>
      </c>
      <c r="L14" s="62" t="s">
        <v>2</v>
      </c>
      <c r="M14" s="62" t="s">
        <v>2</v>
      </c>
      <c r="N14" s="33" t="s">
        <v>4</v>
      </c>
      <c r="O14" s="33" t="s">
        <v>2</v>
      </c>
      <c r="P14" s="33" t="s">
        <v>2</v>
      </c>
      <c r="Q14" s="88" t="s">
        <v>3</v>
      </c>
      <c r="R14" s="88"/>
      <c r="S14" s="88"/>
      <c r="T14" s="88" t="s">
        <v>4</v>
      </c>
      <c r="U14" s="88" t="s">
        <v>4</v>
      </c>
      <c r="V14" s="83" t="s">
        <v>5</v>
      </c>
      <c r="W14" s="83" t="s">
        <v>5</v>
      </c>
      <c r="X14" s="62" t="s">
        <v>5</v>
      </c>
      <c r="Y14" s="88" t="s">
        <v>5</v>
      </c>
      <c r="Z14" s="88" t="s">
        <v>2</v>
      </c>
      <c r="AA14" s="88" t="s">
        <v>4</v>
      </c>
      <c r="AB14" s="33" t="s">
        <v>324</v>
      </c>
      <c r="AC14" s="33" t="s">
        <v>2</v>
      </c>
      <c r="AD14" s="33" t="s">
        <v>4</v>
      </c>
      <c r="AE14" s="33" t="s">
        <v>2</v>
      </c>
      <c r="AF14" s="88"/>
      <c r="AG14" s="3">
        <f t="shared" si="7"/>
        <v>120</v>
      </c>
      <c r="AH14" s="3">
        <f t="shared" si="2"/>
        <v>3</v>
      </c>
      <c r="AI14" s="3">
        <f t="shared" si="3"/>
        <v>4</v>
      </c>
      <c r="AJ14" s="3">
        <f t="shared" si="4"/>
        <v>18</v>
      </c>
      <c r="AK14" s="3">
        <f t="shared" si="5"/>
        <v>4</v>
      </c>
      <c r="AL14" s="3">
        <f t="shared" si="6"/>
        <v>1</v>
      </c>
      <c r="AM14" s="3">
        <f t="array" ref="AM14">SUMPRODUCT(($B$4:$AF$4=6)*(B14:AF14="off"))</f>
        <v>2</v>
      </c>
    </row>
    <row r="15" spans="1:39" ht="21.5">
      <c r="A15" s="6" t="s">
        <v>312</v>
      </c>
      <c r="B15" s="33" t="s">
        <v>2</v>
      </c>
      <c r="C15" s="33" t="s">
        <v>2</v>
      </c>
      <c r="D15" s="33" t="s">
        <v>2</v>
      </c>
      <c r="E15" s="33" t="s">
        <v>2</v>
      </c>
      <c r="F15" s="88" t="s">
        <v>4</v>
      </c>
      <c r="G15" s="62" t="s">
        <v>3</v>
      </c>
      <c r="H15" s="62" t="s">
        <v>2</v>
      </c>
      <c r="I15" s="62" t="s">
        <v>4</v>
      </c>
      <c r="J15" s="62"/>
      <c r="K15" s="62"/>
      <c r="L15" s="62"/>
      <c r="M15" s="33" t="s">
        <v>2</v>
      </c>
      <c r="N15" s="62" t="s">
        <v>5</v>
      </c>
      <c r="O15" s="83" t="s">
        <v>5</v>
      </c>
      <c r="P15" s="83" t="s">
        <v>5</v>
      </c>
      <c r="Q15" s="88" t="s">
        <v>5</v>
      </c>
      <c r="R15" s="88" t="s">
        <v>2</v>
      </c>
      <c r="S15" s="88" t="s">
        <v>4</v>
      </c>
      <c r="T15" s="88" t="s">
        <v>3</v>
      </c>
      <c r="U15" s="33" t="s">
        <v>2</v>
      </c>
      <c r="V15" s="33" t="s">
        <v>2</v>
      </c>
      <c r="W15" s="33" t="s">
        <v>2</v>
      </c>
      <c r="X15" s="62" t="s">
        <v>4</v>
      </c>
      <c r="Y15" s="88" t="s">
        <v>4</v>
      </c>
      <c r="Z15" s="88" t="s">
        <v>3</v>
      </c>
      <c r="AA15" s="88" t="s">
        <v>4</v>
      </c>
      <c r="AB15" s="88"/>
      <c r="AC15" s="88"/>
      <c r="AD15" s="88" t="s">
        <v>2</v>
      </c>
      <c r="AE15" s="88"/>
      <c r="AF15" s="88"/>
      <c r="AG15" s="3">
        <f t="shared" si="7"/>
        <v>136</v>
      </c>
      <c r="AH15" s="3">
        <f t="shared" si="2"/>
        <v>3</v>
      </c>
      <c r="AI15" s="3">
        <f t="shared" si="3"/>
        <v>4</v>
      </c>
      <c r="AJ15" s="3">
        <f t="shared" si="4"/>
        <v>17</v>
      </c>
      <c r="AK15" s="3">
        <f t="shared" si="5"/>
        <v>6</v>
      </c>
      <c r="AL15" s="3">
        <f t="shared" si="6"/>
        <v>1</v>
      </c>
      <c r="AM15" s="3">
        <f t="array" ref="AM15">SUMPRODUCT(($B$4:$AF$4=6)*(B15:AF15="off"))</f>
        <v>2</v>
      </c>
    </row>
    <row r="16" spans="1:39" ht="21.5">
      <c r="A16" s="6" t="s">
        <v>277</v>
      </c>
      <c r="B16" s="197">
        <v>7</v>
      </c>
      <c r="C16" s="172">
        <v>5</v>
      </c>
      <c r="D16" s="172">
        <v>5</v>
      </c>
      <c r="E16" s="172">
        <v>5</v>
      </c>
      <c r="F16" s="172">
        <v>5</v>
      </c>
      <c r="G16" s="172">
        <v>5</v>
      </c>
      <c r="H16" s="172">
        <v>5</v>
      </c>
      <c r="I16" s="197">
        <v>7</v>
      </c>
      <c r="J16" s="172">
        <v>5</v>
      </c>
      <c r="K16" s="172">
        <v>5</v>
      </c>
      <c r="L16" s="172">
        <v>5</v>
      </c>
      <c r="M16" s="172">
        <v>5</v>
      </c>
      <c r="N16" s="172">
        <v>5</v>
      </c>
      <c r="O16" s="172">
        <v>5</v>
      </c>
      <c r="P16" s="197">
        <v>7</v>
      </c>
      <c r="Q16" s="172">
        <v>5</v>
      </c>
      <c r="R16" s="172">
        <v>5</v>
      </c>
      <c r="S16" s="172">
        <v>5</v>
      </c>
      <c r="T16" s="172">
        <v>5</v>
      </c>
      <c r="U16" s="172">
        <v>5</v>
      </c>
      <c r="V16" s="172">
        <v>5</v>
      </c>
      <c r="W16" s="197">
        <v>7</v>
      </c>
      <c r="X16" s="172">
        <v>5</v>
      </c>
      <c r="Y16" s="172">
        <v>5</v>
      </c>
      <c r="Z16" s="172">
        <v>5</v>
      </c>
      <c r="AA16" s="172">
        <v>5</v>
      </c>
      <c r="AB16" s="172">
        <v>5</v>
      </c>
      <c r="AC16" s="172">
        <v>5</v>
      </c>
      <c r="AD16" s="197">
        <v>7</v>
      </c>
      <c r="AE16" s="172">
        <v>5</v>
      </c>
      <c r="AF16" s="172" t="str">
        <f>IF(AF4="","",IF(AF$17="國",COUNTA($B$19:$B$29)-$J$21,IF(AF4="日",COUNTA($B$19:$B$29)-$J$21,IF(AF4=6,COUNTA($B$19:$B$29)-$J$19,IF(AF4&lt;6,COUNTA($B$19:$B$29)-$J$19)))))</f>
        <v/>
      </c>
      <c r="AG16" s="3"/>
      <c r="AH16" s="3"/>
      <c r="AI16" s="3"/>
      <c r="AJ16" s="3"/>
      <c r="AK16" s="3"/>
      <c r="AL16" s="3"/>
      <c r="AM16" s="174"/>
    </row>
    <row r="17" spans="1:39" ht="20.5">
      <c r="A17" s="6" t="s">
        <v>251</v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3"/>
      <c r="AH17" s="3"/>
      <c r="AI17" s="3"/>
      <c r="AJ17" s="3"/>
      <c r="AK17" s="3"/>
      <c r="AL17" s="3"/>
      <c r="AM17" s="174"/>
    </row>
    <row r="18" spans="1:39" ht="28" thickBot="1">
      <c r="A18" s="4"/>
      <c r="B18" s="436" t="s">
        <v>158</v>
      </c>
      <c r="C18" s="436"/>
      <c r="D18" s="91"/>
      <c r="E18" s="91"/>
      <c r="F18" s="91"/>
      <c r="G18" s="91"/>
      <c r="H18" s="4"/>
      <c r="I18" s="4"/>
      <c r="J18" s="12"/>
      <c r="K18" s="4"/>
      <c r="AB18" s="14"/>
    </row>
    <row r="19" spans="1:39" ht="32.5" thickBot="1">
      <c r="A19" s="4"/>
      <c r="B19" s="36">
        <v>1</v>
      </c>
      <c r="C19" s="423" t="s">
        <v>173</v>
      </c>
      <c r="D19" s="423"/>
      <c r="E19" s="425" t="s">
        <v>9</v>
      </c>
      <c r="F19" s="425"/>
      <c r="G19" s="14" t="s">
        <v>52</v>
      </c>
      <c r="J19" s="37">
        <f>J20+J21</f>
        <v>4</v>
      </c>
      <c r="K19" s="13" t="s">
        <v>53</v>
      </c>
      <c r="L19" s="13" t="s">
        <v>54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4"/>
      <c r="X19" s="14"/>
      <c r="Y19" s="14"/>
      <c r="Z19" s="14"/>
      <c r="AA19" s="14"/>
      <c r="AB19" s="14"/>
      <c r="AD19" t="s">
        <v>256</v>
      </c>
      <c r="AE19" s="133" t="s">
        <v>254</v>
      </c>
      <c r="AF19" s="174" t="s">
        <v>255</v>
      </c>
      <c r="AG19" s="105" t="s">
        <v>237</v>
      </c>
      <c r="AH19" t="s">
        <v>4</v>
      </c>
      <c r="AI19" s="38" t="s">
        <v>55</v>
      </c>
      <c r="AJ19" s="103" t="s">
        <v>56</v>
      </c>
      <c r="AK19" s="39" t="s">
        <v>9</v>
      </c>
      <c r="AL19" s="92" t="s">
        <v>57</v>
      </c>
    </row>
    <row r="20" spans="1:39" ht="32.5" thickBot="1">
      <c r="A20" s="4"/>
      <c r="B20" s="36">
        <v>2</v>
      </c>
      <c r="C20" s="423" t="s">
        <v>30</v>
      </c>
      <c r="D20" s="423"/>
      <c r="E20" s="425" t="s">
        <v>16</v>
      </c>
      <c r="F20" s="425"/>
      <c r="G20" s="42"/>
      <c r="H20" s="13" t="s">
        <v>59</v>
      </c>
      <c r="I20" s="13"/>
      <c r="J20" s="37">
        <v>2</v>
      </c>
      <c r="K20" s="4"/>
      <c r="L20" s="13" t="s">
        <v>60</v>
      </c>
      <c r="M20" s="13"/>
      <c r="N20" s="13"/>
      <c r="O20" s="13"/>
      <c r="P20" s="13"/>
      <c r="Q20" s="7"/>
      <c r="S20" s="43" t="str">
        <f>QUOTIENT((COUNTA(B3:AF3)-COUNTIF(AD3:AF3,"")),COUNTA(B19:B29))&amp;" ... "&amp;MOD((COUNTA(B3:AF3)-COUNTIF(AD3:AF3,"")),COUNTA(B19:B29))</f>
        <v>3 ... 3</v>
      </c>
      <c r="T20" s="44"/>
      <c r="U20" s="45"/>
      <c r="W20" s="13"/>
      <c r="X20" s="8" t="s">
        <v>20</v>
      </c>
      <c r="Y20" s="20" t="s">
        <v>3</v>
      </c>
      <c r="Z20" s="119">
        <v>3</v>
      </c>
      <c r="AA20" s="20" t="s">
        <v>5</v>
      </c>
      <c r="AB20" s="122">
        <v>3</v>
      </c>
      <c r="AC20" s="118"/>
      <c r="AD20" s="118"/>
      <c r="AE20" s="20"/>
      <c r="AF20" s="118">
        <v>17</v>
      </c>
      <c r="AG20" s="200">
        <v>2</v>
      </c>
      <c r="AH20" t="s">
        <v>3</v>
      </c>
      <c r="AI20" s="46" t="s">
        <v>61</v>
      </c>
      <c r="AJ20" s="104" t="s">
        <v>62</v>
      </c>
      <c r="AK20" s="92" t="s">
        <v>45</v>
      </c>
      <c r="AL20" s="92" t="s">
        <v>63</v>
      </c>
      <c r="AM20" t="s">
        <v>58</v>
      </c>
    </row>
    <row r="21" spans="1:39" ht="32.5" thickBot="1">
      <c r="A21" s="4"/>
      <c r="B21" s="36">
        <v>3</v>
      </c>
      <c r="C21" s="423" t="s">
        <v>31</v>
      </c>
      <c r="D21" s="423"/>
      <c r="E21" s="425" t="s">
        <v>17</v>
      </c>
      <c r="F21" s="425"/>
      <c r="G21" s="42"/>
      <c r="H21" s="13" t="s">
        <v>65</v>
      </c>
      <c r="J21" s="37">
        <v>2</v>
      </c>
      <c r="L21" s="13" t="s">
        <v>66</v>
      </c>
      <c r="M21" s="13"/>
      <c r="N21" s="13"/>
      <c r="O21" s="13"/>
      <c r="P21" s="13"/>
      <c r="Q21" s="7"/>
      <c r="S21" s="48" t="str">
        <f>QUOTIENT((COUNTA(B3:AF3)-COUNTIF(AD3:AF3,"")),COUNTA(B19:B29))&amp;" ... "&amp;MOD((COUNTA(B3:AF3)-COUNTIF(AD3:AF3,"")),COUNTA(B19:B29))</f>
        <v>3 ... 3</v>
      </c>
      <c r="T21" s="49"/>
      <c r="U21" s="45"/>
      <c r="X21" s="8" t="s">
        <v>21</v>
      </c>
      <c r="Y21" s="20" t="s">
        <v>3</v>
      </c>
      <c r="Z21" s="118">
        <v>3</v>
      </c>
      <c r="AA21" s="20" t="s">
        <v>5</v>
      </c>
      <c r="AB21" s="121">
        <v>3</v>
      </c>
      <c r="AC21" s="118"/>
      <c r="AD21" s="118"/>
      <c r="AE21" s="20"/>
      <c r="AF21" s="178">
        <v>18</v>
      </c>
      <c r="AG21" s="176">
        <v>2</v>
      </c>
      <c r="AH21" t="s">
        <v>5</v>
      </c>
      <c r="AI21" s="46" t="s">
        <v>67</v>
      </c>
      <c r="AJ21" s="104" t="s">
        <v>56</v>
      </c>
      <c r="AK21" s="92" t="s">
        <v>17</v>
      </c>
      <c r="AL21" s="92" t="s">
        <v>68</v>
      </c>
      <c r="AM21" t="s">
        <v>64</v>
      </c>
    </row>
    <row r="22" spans="1:39" ht="32.5" thickBot="1">
      <c r="A22" s="4"/>
      <c r="B22" s="36">
        <v>4</v>
      </c>
      <c r="C22" s="423" t="s">
        <v>30</v>
      </c>
      <c r="D22" s="423"/>
      <c r="E22" s="425" t="s">
        <v>14</v>
      </c>
      <c r="F22" s="425"/>
      <c r="L22" s="13" t="s">
        <v>70</v>
      </c>
      <c r="M22" s="13"/>
      <c r="N22" s="13"/>
      <c r="O22" s="13"/>
      <c r="P22" s="13"/>
      <c r="Q22" s="13"/>
      <c r="S22" s="50" t="str">
        <f>QUOTIENT(W23,COUNTA(B19:B29))&amp;" ... "&amp;MOD(W23,COUNTA(B19:B29))</f>
        <v>17 ... 7</v>
      </c>
      <c r="T22" s="51"/>
      <c r="U22" s="52"/>
      <c r="X22" s="8" t="s">
        <v>22</v>
      </c>
      <c r="Y22" s="20" t="s">
        <v>3</v>
      </c>
      <c r="Z22" s="119">
        <v>6</v>
      </c>
      <c r="AA22" s="82" t="s">
        <v>5</v>
      </c>
      <c r="AB22" s="179">
        <v>0</v>
      </c>
      <c r="AC22" s="119"/>
      <c r="AD22" s="118"/>
      <c r="AE22" s="20"/>
      <c r="AF22" s="118">
        <v>18</v>
      </c>
      <c r="AG22" s="177">
        <v>3</v>
      </c>
      <c r="AH22" t="s">
        <v>40</v>
      </c>
      <c r="AI22" s="46" t="s">
        <v>71</v>
      </c>
      <c r="AJ22" s="104" t="s">
        <v>72</v>
      </c>
      <c r="AK22" s="92" t="s">
        <v>46</v>
      </c>
      <c r="AL22" s="92" t="s">
        <v>73</v>
      </c>
      <c r="AM22" t="s">
        <v>69</v>
      </c>
    </row>
    <row r="23" spans="1:39" ht="32.5" thickBot="1">
      <c r="A23" s="4"/>
      <c r="B23" s="36">
        <v>5</v>
      </c>
      <c r="C23" s="423" t="s">
        <v>192</v>
      </c>
      <c r="D23" s="423"/>
      <c r="E23" s="425" t="s">
        <v>13</v>
      </c>
      <c r="F23" s="425"/>
      <c r="G23" s="42"/>
      <c r="H23" s="5"/>
      <c r="I23" s="5"/>
      <c r="J23" s="5"/>
      <c r="K23" s="5"/>
      <c r="L23" s="13" t="s">
        <v>75</v>
      </c>
      <c r="M23" s="13"/>
      <c r="N23" s="13" t="s">
        <v>76</v>
      </c>
      <c r="O23" s="37">
        <f>COUNTIF(B4:AF4,"日")*((COUNTA(B19:B29))-J21)</f>
        <v>35</v>
      </c>
      <c r="P23" s="13" t="s">
        <v>77</v>
      </c>
      <c r="Q23" s="13" t="s">
        <v>78</v>
      </c>
      <c r="R23" s="37">
        <f>COUNTIF(B4:AF4,"6")*((COUNTA(B19:B29))-J19)</f>
        <v>20</v>
      </c>
      <c r="S23" s="13" t="s">
        <v>79</v>
      </c>
      <c r="T23" s="53">
        <f>O23+R23</f>
        <v>55</v>
      </c>
      <c r="U23" s="13" t="s">
        <v>32</v>
      </c>
      <c r="V23" s="13"/>
      <c r="W23" s="54">
        <f>T23+T25</f>
        <v>160</v>
      </c>
      <c r="X23" s="8" t="s">
        <v>3</v>
      </c>
      <c r="Y23" s="20" t="s">
        <v>3</v>
      </c>
      <c r="Z23" s="119">
        <v>2</v>
      </c>
      <c r="AA23" s="20" t="s">
        <v>5</v>
      </c>
      <c r="AB23" s="122">
        <v>4</v>
      </c>
      <c r="AC23" s="119"/>
      <c r="AD23" s="118"/>
      <c r="AE23" s="20"/>
      <c r="AF23" s="118">
        <v>18</v>
      </c>
      <c r="AG23" s="176">
        <v>3</v>
      </c>
      <c r="AH23" t="s">
        <v>80</v>
      </c>
      <c r="AI23" s="46"/>
      <c r="AJ23" s="55"/>
      <c r="AK23" s="92" t="s">
        <v>12</v>
      </c>
      <c r="AL23" s="92" t="s">
        <v>81</v>
      </c>
      <c r="AM23" t="s">
        <v>74</v>
      </c>
    </row>
    <row r="24" spans="1:39" ht="34" thickBot="1">
      <c r="A24" s="4"/>
      <c r="B24" s="36"/>
      <c r="C24" s="423"/>
      <c r="D24" s="423"/>
      <c r="E24" s="425" t="s">
        <v>303</v>
      </c>
      <c r="F24" s="425"/>
      <c r="G24" s="42"/>
      <c r="H24" s="4"/>
      <c r="I24" s="4"/>
      <c r="J24" s="4"/>
      <c r="K24" s="4"/>
      <c r="N24" s="13" t="s">
        <v>82</v>
      </c>
      <c r="O24" s="13"/>
      <c r="Q24" s="101">
        <f>COUNTIF(B17:AF17,"*國*")</f>
        <v>0</v>
      </c>
      <c r="R24" s="102" t="s">
        <v>233</v>
      </c>
      <c r="S24" s="13"/>
      <c r="T24" s="37">
        <f>((COUNTA(B19:B29))-J21)*Q24</f>
        <v>0</v>
      </c>
      <c r="U24" s="13"/>
      <c r="V24" s="13"/>
      <c r="W24" s="13"/>
      <c r="X24" s="8" t="s">
        <v>23</v>
      </c>
      <c r="Y24" s="20" t="s">
        <v>3</v>
      </c>
      <c r="Z24" s="118">
        <v>2</v>
      </c>
      <c r="AA24" s="20" t="s">
        <v>5</v>
      </c>
      <c r="AB24" s="121">
        <v>4</v>
      </c>
      <c r="AC24" s="118"/>
      <c r="AD24" s="118"/>
      <c r="AE24" s="20"/>
      <c r="AF24" s="118">
        <v>18</v>
      </c>
      <c r="AG24" s="176">
        <v>3</v>
      </c>
      <c r="AH24" t="s">
        <v>85</v>
      </c>
      <c r="AI24" s="46" t="s">
        <v>83</v>
      </c>
      <c r="AJ24" s="104" t="s">
        <v>84</v>
      </c>
      <c r="AK24" s="92" t="s">
        <v>49</v>
      </c>
      <c r="AL24" s="92" t="s">
        <v>86</v>
      </c>
    </row>
    <row r="25" spans="1:39" ht="32.5" thickBot="1">
      <c r="A25" s="4"/>
      <c r="B25" s="36"/>
      <c r="C25" s="423"/>
      <c r="D25" s="423"/>
      <c r="E25" s="425" t="s">
        <v>269</v>
      </c>
      <c r="F25" s="425"/>
      <c r="G25" s="42"/>
      <c r="H25" s="183" t="s">
        <v>330</v>
      </c>
      <c r="N25" s="13"/>
      <c r="P25" s="13"/>
      <c r="T25" s="37">
        <f>(SUMPRODUCT(--(B3:AF3&lt;&gt;""))-COUNTIF(B4:AF4,"日")-COUNTIF(B4:AF4,"6")-Q24)*((COUNTA(B19:B29))-J19)</f>
        <v>105</v>
      </c>
      <c r="U25" s="13"/>
      <c r="V25" s="13"/>
      <c r="W25" s="13"/>
      <c r="X25" s="8" t="s">
        <v>24</v>
      </c>
      <c r="Y25" s="82" t="s">
        <v>5</v>
      </c>
      <c r="Z25" s="82"/>
      <c r="AA25" s="82" t="s">
        <v>5</v>
      </c>
      <c r="AB25" s="82"/>
      <c r="AC25" s="119"/>
      <c r="AD25" s="118"/>
      <c r="AE25" s="20"/>
      <c r="AF25" s="82" t="s">
        <v>5</v>
      </c>
      <c r="AG25" s="82" t="s">
        <v>5</v>
      </c>
      <c r="AH25" t="s">
        <v>205</v>
      </c>
      <c r="AI25" s="56" t="s">
        <v>89</v>
      </c>
      <c r="AJ25" s="104" t="s">
        <v>90</v>
      </c>
      <c r="AK25" s="92" t="s">
        <v>50</v>
      </c>
      <c r="AL25" s="92" t="s">
        <v>92</v>
      </c>
    </row>
    <row r="26" spans="1:39" ht="32.5" thickBot="1">
      <c r="B26" s="36">
        <v>6</v>
      </c>
      <c r="C26" s="423" t="s">
        <v>30</v>
      </c>
      <c r="D26" s="423"/>
      <c r="E26" s="425" t="s">
        <v>27</v>
      </c>
      <c r="F26" s="425"/>
      <c r="G26" s="42"/>
      <c r="H26" s="13"/>
      <c r="I26" s="13"/>
      <c r="J26" s="13"/>
      <c r="K26" s="13" t="s">
        <v>327</v>
      </c>
      <c r="L26" s="13"/>
      <c r="M26" s="13"/>
      <c r="O26" s="13"/>
      <c r="P26" s="4"/>
      <c r="Q26" s="57"/>
      <c r="R26" s="17"/>
      <c r="S26" s="21"/>
      <c r="T26" s="430" t="str">
        <f>QUOTIENT(R23,COUNTA(B19:B29))&amp;" ... "&amp;MOD(R23,COUNTA(B19:B29))</f>
        <v>2 ... 2</v>
      </c>
      <c r="U26" s="431"/>
      <c r="V26" s="432"/>
      <c r="X26" s="8" t="s">
        <v>25</v>
      </c>
      <c r="Y26" s="82" t="s">
        <v>5</v>
      </c>
      <c r="Z26" s="82"/>
      <c r="AA26" s="82" t="s">
        <v>5</v>
      </c>
      <c r="AB26" s="82"/>
      <c r="AC26" s="129"/>
      <c r="AD26" s="199"/>
      <c r="AE26" s="20"/>
      <c r="AF26" s="82" t="s">
        <v>5</v>
      </c>
      <c r="AG26" s="82" t="s">
        <v>5</v>
      </c>
      <c r="AH26" t="s">
        <v>211</v>
      </c>
      <c r="AI26" s="46" t="s">
        <v>94</v>
      </c>
      <c r="AJ26" s="104" t="s">
        <v>95</v>
      </c>
      <c r="AK26" s="92" t="s">
        <v>51</v>
      </c>
      <c r="AL26" s="92" t="s">
        <v>98</v>
      </c>
    </row>
    <row r="27" spans="1:39" ht="31">
      <c r="B27" s="36">
        <v>7</v>
      </c>
      <c r="C27" s="423" t="s">
        <v>30</v>
      </c>
      <c r="D27" s="423"/>
      <c r="E27" s="439" t="s">
        <v>304</v>
      </c>
      <c r="F27" s="439"/>
      <c r="K27" s="7" t="s">
        <v>328</v>
      </c>
      <c r="X27" s="8" t="s">
        <v>11</v>
      </c>
      <c r="Y27" s="20" t="s">
        <v>3</v>
      </c>
      <c r="Z27" s="119">
        <v>2</v>
      </c>
      <c r="AA27" s="118" t="s">
        <v>5</v>
      </c>
      <c r="AB27" s="119">
        <v>4</v>
      </c>
      <c r="AC27" s="119"/>
      <c r="AD27" s="118"/>
      <c r="AE27" s="20"/>
      <c r="AF27" s="118">
        <v>18</v>
      </c>
      <c r="AG27" s="200">
        <v>3</v>
      </c>
      <c r="AH27" t="s">
        <v>214</v>
      </c>
      <c r="AJ27" s="55" t="s">
        <v>307</v>
      </c>
      <c r="AK27" t="s">
        <v>310</v>
      </c>
    </row>
    <row r="28" spans="1:39" ht="31">
      <c r="B28" s="36">
        <v>8</v>
      </c>
      <c r="C28" s="423" t="s">
        <v>30</v>
      </c>
      <c r="D28" s="423"/>
      <c r="E28" s="439" t="s">
        <v>305</v>
      </c>
      <c r="F28" s="439"/>
      <c r="M28" s="109"/>
      <c r="N28" s="428" t="s">
        <v>234</v>
      </c>
      <c r="O28" s="428"/>
      <c r="P28" s="428"/>
      <c r="Q28" s="428"/>
      <c r="R28" s="428"/>
      <c r="X28" s="8" t="s">
        <v>307</v>
      </c>
      <c r="Y28" s="20" t="s">
        <v>3</v>
      </c>
      <c r="Z28" s="120">
        <v>4</v>
      </c>
      <c r="AA28" s="118" t="s">
        <v>5</v>
      </c>
      <c r="AB28" s="120">
        <v>4</v>
      </c>
      <c r="AC28" s="119"/>
      <c r="AD28" s="118"/>
      <c r="AF28" s="19">
        <v>18</v>
      </c>
      <c r="AG28" s="174">
        <v>3</v>
      </c>
      <c r="AH28" t="s">
        <v>215</v>
      </c>
      <c r="AJ28" s="55" t="s">
        <v>308</v>
      </c>
      <c r="AK28" s="181" t="s">
        <v>311</v>
      </c>
    </row>
    <row r="29" spans="1:39" ht="27.75" customHeight="1">
      <c r="B29" s="36">
        <v>9</v>
      </c>
      <c r="C29" s="423" t="s">
        <v>30</v>
      </c>
      <c r="D29" s="423"/>
      <c r="E29" s="439" t="s">
        <v>306</v>
      </c>
      <c r="F29" s="439"/>
      <c r="H29" s="59" t="s">
        <v>216</v>
      </c>
      <c r="I29" s="59"/>
      <c r="J29" s="60"/>
      <c r="K29" s="60"/>
      <c r="M29" s="110"/>
      <c r="N29" s="180" t="s">
        <v>253</v>
      </c>
      <c r="O29" s="180"/>
      <c r="P29" s="180"/>
      <c r="Q29" s="180"/>
      <c r="R29" s="180"/>
      <c r="X29" s="8" t="s">
        <v>308</v>
      </c>
      <c r="Y29" s="20" t="s">
        <v>3</v>
      </c>
      <c r="Z29" s="119">
        <v>4</v>
      </c>
      <c r="AA29" s="118" t="s">
        <v>5</v>
      </c>
      <c r="AB29" s="119">
        <v>4</v>
      </c>
      <c r="AC29" s="119"/>
      <c r="AD29" s="118"/>
      <c r="AF29" s="19">
        <v>18</v>
      </c>
      <c r="AG29" s="174">
        <v>3</v>
      </c>
      <c r="AH29" t="s">
        <v>102</v>
      </c>
      <c r="AJ29" s="55" t="s">
        <v>309</v>
      </c>
      <c r="AK29" s="181" t="s">
        <v>312</v>
      </c>
    </row>
    <row r="30" spans="1:39" ht="31">
      <c r="M30" s="135"/>
      <c r="N30" s="429" t="s">
        <v>257</v>
      </c>
      <c r="O30" s="429"/>
      <c r="P30" s="429"/>
      <c r="Q30" s="429"/>
      <c r="R30" s="429"/>
      <c r="X30" s="8" t="s">
        <v>309</v>
      </c>
      <c r="Y30" s="20" t="s">
        <v>3</v>
      </c>
      <c r="Z30" s="119">
        <v>4</v>
      </c>
      <c r="AA30" s="118" t="s">
        <v>5</v>
      </c>
      <c r="AB30" s="119">
        <v>4</v>
      </c>
      <c r="AC30" s="119"/>
      <c r="AD30" s="118"/>
      <c r="AF30" s="119">
        <v>17</v>
      </c>
      <c r="AG30" s="174">
        <v>3</v>
      </c>
    </row>
    <row r="31" spans="1:39">
      <c r="Z31">
        <f>SUM(Z20:Z27)</f>
        <v>18</v>
      </c>
      <c r="AB31">
        <f>SUM(AB20:AB27)</f>
        <v>18</v>
      </c>
      <c r="AC31">
        <f>SUM(AC20:AC27)</f>
        <v>0</v>
      </c>
      <c r="AD31">
        <f>SUM(AD20:AD27)</f>
        <v>0</v>
      </c>
    </row>
  </sheetData>
  <mergeCells count="28">
    <mergeCell ref="C26:D26"/>
    <mergeCell ref="E26:F26"/>
    <mergeCell ref="N28:R28"/>
    <mergeCell ref="N30:R30"/>
    <mergeCell ref="T26:V26"/>
    <mergeCell ref="C27:D27"/>
    <mergeCell ref="E27:F27"/>
    <mergeCell ref="C28:D28"/>
    <mergeCell ref="E28:F28"/>
    <mergeCell ref="C29:D29"/>
    <mergeCell ref="E29:F29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  <mergeCell ref="A1:B2"/>
    <mergeCell ref="AG4:AL4"/>
    <mergeCell ref="B18:C18"/>
    <mergeCell ref="C19:D19"/>
    <mergeCell ref="E19:F19"/>
  </mergeCells>
  <phoneticPr fontId="11" type="noConversion"/>
  <conditionalFormatting sqref="Z20:Z30">
    <cfRule type="expression" dxfId="1609" priority="451" stopIfTrue="1">
      <formula>COUNTIF($B5:$AF5,"D")&lt;&gt;$Z20</formula>
    </cfRule>
  </conditionalFormatting>
  <conditionalFormatting sqref="AB20:AB30">
    <cfRule type="expression" dxfId="1608" priority="450" stopIfTrue="1">
      <formula>COUNTIF($B5:$AF5,"N")&lt;&gt;$AB20</formula>
    </cfRule>
  </conditionalFormatting>
  <conditionalFormatting sqref="AB29">
    <cfRule type="expression" dxfId="1607" priority="3382" stopIfTrue="1">
      <formula>COUNTIF($B13:$AF13,"N")&lt;&gt;$AB29</formula>
    </cfRule>
  </conditionalFormatting>
  <conditionalFormatting sqref="AB30">
    <cfRule type="expression" dxfId="1606" priority="3388" stopIfTrue="1">
      <formula>COUNTIF($B13:$AF13,"N")&lt;&gt;$AB30</formula>
    </cfRule>
  </conditionalFormatting>
  <conditionalFormatting sqref="AG3">
    <cfRule type="expression" dxfId="1605" priority="199" stopIfTrue="1">
      <formula>WEEKDAY(AG$3)=7</formula>
    </cfRule>
    <cfRule type="expression" dxfId="1604" priority="200" stopIfTrue="1">
      <formula>WEEKDAY(AG$3)=1</formula>
    </cfRule>
    <cfRule type="expression" dxfId="1603" priority="201" stopIfTrue="1">
      <formula>WEEKDAY(AG$3)=7</formula>
    </cfRule>
    <cfRule type="expression" dxfId="1602" priority="202" stopIfTrue="1">
      <formula>WEEKDAY(AG$3)=1</formula>
    </cfRule>
  </conditionalFormatting>
  <conditionalFormatting sqref="B3:AF3 AE11:AF12 B13:O13 W13 AD13:AF13 AE14:AF14 Q15:U15 Q14:AB14 X15:AF15 B15:N15 Q13:U13 C14:M14">
    <cfRule type="expression" dxfId="1601" priority="197">
      <formula>WEEKDAY(B$3,2)=7</formula>
    </cfRule>
    <cfRule type="expression" dxfId="1600" priority="198">
      <formula>WEEKDAY(B$3,2)=6</formula>
    </cfRule>
  </conditionalFormatting>
  <conditionalFormatting sqref="B4:AF4 AE5:AF5 AF6 AE7:AF9">
    <cfRule type="expression" dxfId="1599" priority="195">
      <formula>WEEKDAY(B$3,2)=7</formula>
    </cfRule>
    <cfRule type="expression" dxfId="1598" priority="196">
      <formula>WEEKDAY(B$3,2)=6</formula>
    </cfRule>
  </conditionalFormatting>
  <conditionalFormatting sqref="AE5:AF5">
    <cfRule type="expression" dxfId="1597" priority="194">
      <formula>SEARCH("X", $A$5) &gt; 0</formula>
    </cfRule>
  </conditionalFormatting>
  <conditionalFormatting sqref="AF6">
    <cfRule type="expression" dxfId="1596" priority="193">
      <formula>SEARCH("X", $A$6) &gt; 0</formula>
    </cfRule>
  </conditionalFormatting>
  <conditionalFormatting sqref="AE7:AF7">
    <cfRule type="expression" dxfId="1595" priority="192">
      <formula>SEARCH("X", $A$7) &gt; 0</formula>
    </cfRule>
  </conditionalFormatting>
  <conditionalFormatting sqref="AE8:AF8">
    <cfRule type="expression" dxfId="1594" priority="191">
      <formula>SEARCH("X", $A$8) &gt; 0</formula>
    </cfRule>
  </conditionalFormatting>
  <conditionalFormatting sqref="AE9:AF9">
    <cfRule type="expression" dxfId="1593" priority="190">
      <formula>SEARCH("X", $A$9) &gt; 0</formula>
    </cfRule>
  </conditionalFormatting>
  <conditionalFormatting sqref="AE11:AF11">
    <cfRule type="expression" dxfId="1592" priority="189">
      <formula>SEARCH("X", $A$11) &gt; 0</formula>
    </cfRule>
  </conditionalFormatting>
  <conditionalFormatting sqref="AE12:AF12 B13:O13 W13 AD13:AF13 AE14:AF14 Q15:U15 Q14:AB14 X15:AF15 B15:N15 Q13:U13 C14:M14">
    <cfRule type="expression" dxfId="1591" priority="188">
      <formula>SEARCH("X", $A$12) &gt; 0</formula>
    </cfRule>
  </conditionalFormatting>
  <conditionalFormatting sqref="B16:AF16">
    <cfRule type="expression" dxfId="1590" priority="187" stopIfTrue="1">
      <formula>(COUNTIF(B$5:B$15,"off")+COUNTIF(B$5:B$15,"護"))&lt;&gt;B$16</formula>
    </cfRule>
  </conditionalFormatting>
  <conditionalFormatting sqref="AE6">
    <cfRule type="expression" dxfId="1589" priority="185">
      <formula>WEEKDAY(AE$3,2)=7</formula>
    </cfRule>
    <cfRule type="expression" dxfId="1588" priority="186">
      <formula>WEEKDAY(AE$3,2)=6</formula>
    </cfRule>
  </conditionalFormatting>
  <conditionalFormatting sqref="AE6">
    <cfRule type="expression" dxfId="1587" priority="184">
      <formula>SEARCH("X", $A$6) &gt; 0</formula>
    </cfRule>
  </conditionalFormatting>
  <conditionalFormatting sqref="AE10:AF10">
    <cfRule type="expression" dxfId="1586" priority="182">
      <formula>WEEKDAY(AE$3,2)=7</formula>
    </cfRule>
    <cfRule type="expression" dxfId="1585" priority="183">
      <formula>WEEKDAY(AE$3,2)=6</formula>
    </cfRule>
  </conditionalFormatting>
  <conditionalFormatting sqref="AE10:AF10">
    <cfRule type="expression" dxfId="1584" priority="181">
      <formula>SEARCH("X", $A$11) &gt; 0</formula>
    </cfRule>
  </conditionalFormatting>
  <conditionalFormatting sqref="B3:AF4 AE5:AF12 B13:O13 W13 AD13:AF13 AE14:AF14 Q15:U15 Q14:AB14 X15:AF15 B15:N15 Q13:U13 C14:M14">
    <cfRule type="expression" dxfId="1583" priority="180" stopIfTrue="1">
      <formula>SEARCH("國", B$17) &gt; 0</formula>
    </cfRule>
  </conditionalFormatting>
  <conditionalFormatting sqref="Y9:AB9 B11:AD12">
    <cfRule type="expression" dxfId="1582" priority="178">
      <formula>WEEKDAY(B$3,2)=7</formula>
    </cfRule>
    <cfRule type="expression" dxfId="1581" priority="179">
      <formula>WEEKDAY(B$3,2)=6</formula>
    </cfRule>
  </conditionalFormatting>
  <conditionalFormatting sqref="B5:N5 AC5:AD5 AC8:AD9 I6:J6 P6:Q6 W6:X6 AD6 AA6 B7:AD7 B9:X9 B6:E6 B8:N8">
    <cfRule type="expression" dxfId="1580" priority="176">
      <formula>WEEKDAY(B$3,2)=7</formula>
    </cfRule>
    <cfRule type="expression" dxfId="1579" priority="177">
      <formula>WEEKDAY(B$3,2)=6</formula>
    </cfRule>
  </conditionalFormatting>
  <conditionalFormatting sqref="B5:N5 AC5:AD5">
    <cfRule type="expression" dxfId="1578" priority="175">
      <formula>SEARCH("X", $A$5) &gt; 0</formula>
    </cfRule>
  </conditionalFormatting>
  <conditionalFormatting sqref="I6:J6 P6:Q6 W6:X6 AD6 AA6 B7 B6:E6">
    <cfRule type="expression" dxfId="1577" priority="174">
      <formula>SEARCH("X", $A$6) &gt; 0</formula>
    </cfRule>
  </conditionalFormatting>
  <conditionalFormatting sqref="B7:AD7">
    <cfRule type="expression" dxfId="1576" priority="173">
      <formula>SEARCH("X", $A$7) &gt; 0</formula>
    </cfRule>
  </conditionalFormatting>
  <conditionalFormatting sqref="AC8:AD8 B8:N8">
    <cfRule type="expression" dxfId="1575" priority="172">
      <formula>SEARCH("X", $A$8) &gt; 0</formula>
    </cfRule>
  </conditionalFormatting>
  <conditionalFormatting sqref="AC9:AD9 B9:X9">
    <cfRule type="expression" dxfId="1574" priority="171">
      <formula>SEARCH("X", $A$9) &gt; 0</formula>
    </cfRule>
  </conditionalFormatting>
  <conditionalFormatting sqref="B11:AD11">
    <cfRule type="expression" dxfId="1573" priority="170">
      <formula>SEARCH("X", $A$11) &gt; 0</formula>
    </cfRule>
  </conditionalFormatting>
  <conditionalFormatting sqref="B12:AD12">
    <cfRule type="expression" dxfId="1572" priority="169">
      <formula>SEARCH("X", $A$12) &gt; 0</formula>
    </cfRule>
  </conditionalFormatting>
  <conditionalFormatting sqref="O5 Q5:AB5">
    <cfRule type="expression" dxfId="1571" priority="167">
      <formula>WEEKDAY(O$3,2)=7</formula>
    </cfRule>
    <cfRule type="expression" dxfId="1570" priority="168">
      <formula>WEEKDAY(O$3,2)=6</formula>
    </cfRule>
  </conditionalFormatting>
  <conditionalFormatting sqref="O5 Q5:AB5">
    <cfRule type="expression" dxfId="1569" priority="166">
      <formula>SEARCH("X", $A$5) &gt; 0</formula>
    </cfRule>
  </conditionalFormatting>
  <conditionalFormatting sqref="O8:AB8">
    <cfRule type="expression" dxfId="1568" priority="164">
      <formula>WEEKDAY(O$3,2)=7</formula>
    </cfRule>
    <cfRule type="expression" dxfId="1567" priority="165">
      <formula>WEEKDAY(O$3,2)=6</formula>
    </cfRule>
  </conditionalFormatting>
  <conditionalFormatting sqref="O8:AB8">
    <cfRule type="expression" dxfId="1566" priority="163">
      <formula>SEARCH("X", $A$5) &gt; 0</formula>
    </cfRule>
  </conditionalFormatting>
  <conditionalFormatting sqref="P5:P6">
    <cfRule type="expression" dxfId="1565" priority="161">
      <formula>WEEKDAY(P$3,2)=7</formula>
    </cfRule>
    <cfRule type="expression" dxfId="1564" priority="162">
      <formula>WEEKDAY(P$3,2)=6</formula>
    </cfRule>
  </conditionalFormatting>
  <conditionalFormatting sqref="P5:P6">
    <cfRule type="expression" dxfId="1563" priority="160">
      <formula>SEARCH("X", $A$5) &gt; 0</formula>
    </cfRule>
  </conditionalFormatting>
  <conditionalFormatting sqref="H6">
    <cfRule type="expression" dxfId="1562" priority="158">
      <formula>WEEKDAY(H$3,2)=7</formula>
    </cfRule>
    <cfRule type="expression" dxfId="1561" priority="159">
      <formula>WEEKDAY(H$3,2)=6</formula>
    </cfRule>
  </conditionalFormatting>
  <conditionalFormatting sqref="H6">
    <cfRule type="expression" dxfId="1560" priority="157">
      <formula>SEARCH("X", $A$6) &gt; 0</formula>
    </cfRule>
  </conditionalFormatting>
  <conditionalFormatting sqref="O6">
    <cfRule type="expression" dxfId="1559" priority="155">
      <formula>WEEKDAY(O$3,2)=7</formula>
    </cfRule>
    <cfRule type="expression" dxfId="1558" priority="156">
      <formula>WEEKDAY(O$3,2)=6</formula>
    </cfRule>
  </conditionalFormatting>
  <conditionalFormatting sqref="O6">
    <cfRule type="expression" dxfId="1557" priority="154">
      <formula>SEARCH("X", $A$6) &gt; 0</formula>
    </cfRule>
  </conditionalFormatting>
  <conditionalFormatting sqref="V6">
    <cfRule type="expression" dxfId="1556" priority="152">
      <formula>WEEKDAY(V$3,2)=7</formula>
    </cfRule>
    <cfRule type="expression" dxfId="1555" priority="153">
      <formula>WEEKDAY(V$3,2)=6</formula>
    </cfRule>
  </conditionalFormatting>
  <conditionalFormatting sqref="V6">
    <cfRule type="expression" dxfId="1554" priority="151">
      <formula>SEARCH("X", $A$6) &gt; 0</formula>
    </cfRule>
  </conditionalFormatting>
  <conditionalFormatting sqref="AB6:AC6">
    <cfRule type="expression" dxfId="1553" priority="149">
      <formula>WEEKDAY(AB$3,2)=7</formula>
    </cfRule>
    <cfRule type="expression" dxfId="1552" priority="150">
      <formula>WEEKDAY(AB$3,2)=6</formula>
    </cfRule>
  </conditionalFormatting>
  <conditionalFormatting sqref="AB6:AC6">
    <cfRule type="expression" dxfId="1551" priority="148">
      <formula>SEARCH("X", $A$6) &gt; 0</formula>
    </cfRule>
  </conditionalFormatting>
  <conditionalFormatting sqref="D6:E6">
    <cfRule type="expression" dxfId="1550" priority="146">
      <formula>WEEKDAY(D$3,2)=7</formula>
    </cfRule>
    <cfRule type="expression" dxfId="1549" priority="147">
      <formula>WEEKDAY(D$3,2)=6</formula>
    </cfRule>
  </conditionalFormatting>
  <conditionalFormatting sqref="D6:E6">
    <cfRule type="expression" dxfId="1548" priority="145">
      <formula>SEARCH("X", $A$6) &gt; 0</formula>
    </cfRule>
  </conditionalFormatting>
  <conditionalFormatting sqref="K6:L6">
    <cfRule type="expression" dxfId="1547" priority="143">
      <formula>WEEKDAY(K$3,2)=7</formula>
    </cfRule>
    <cfRule type="expression" dxfId="1546" priority="144">
      <formula>WEEKDAY(K$3,2)=6</formula>
    </cfRule>
  </conditionalFormatting>
  <conditionalFormatting sqref="K6:L6">
    <cfRule type="expression" dxfId="1545" priority="142">
      <formula>SEARCH("X", $A$6) &gt; 0</formula>
    </cfRule>
  </conditionalFormatting>
  <conditionalFormatting sqref="R6:S6">
    <cfRule type="expression" dxfId="1544" priority="140">
      <formula>WEEKDAY(R$3,2)=7</formula>
    </cfRule>
    <cfRule type="expression" dxfId="1543" priority="141">
      <formula>WEEKDAY(R$3,2)=6</formula>
    </cfRule>
  </conditionalFormatting>
  <conditionalFormatting sqref="R6:S6">
    <cfRule type="expression" dxfId="1542" priority="139">
      <formula>SEARCH("X", $A$6) &gt; 0</formula>
    </cfRule>
  </conditionalFormatting>
  <conditionalFormatting sqref="Y6:Z6">
    <cfRule type="expression" dxfId="1541" priority="137">
      <formula>WEEKDAY(Y$3,2)=7</formula>
    </cfRule>
    <cfRule type="expression" dxfId="1540" priority="138">
      <formula>WEEKDAY(Y$3,2)=6</formula>
    </cfRule>
  </conditionalFormatting>
  <conditionalFormatting sqref="Y6:Z6">
    <cfRule type="expression" dxfId="1539" priority="136">
      <formula>SEARCH("X", $A$6) &gt; 0</formula>
    </cfRule>
  </conditionalFormatting>
  <conditionalFormatting sqref="F6:G6">
    <cfRule type="expression" dxfId="1538" priority="134">
      <formula>WEEKDAY(F$3,2)=7</formula>
    </cfRule>
    <cfRule type="expression" dxfId="1537" priority="135">
      <formula>WEEKDAY(F$3,2)=6</formula>
    </cfRule>
  </conditionalFormatting>
  <conditionalFormatting sqref="F6:G6">
    <cfRule type="expression" dxfId="1536" priority="133">
      <formula>SEARCH("X", $A$6) &gt; 0</formula>
    </cfRule>
  </conditionalFormatting>
  <conditionalFormatting sqref="M6:N6">
    <cfRule type="expression" dxfId="1535" priority="131">
      <formula>WEEKDAY(M$3,2)=7</formula>
    </cfRule>
    <cfRule type="expression" dxfId="1534" priority="132">
      <formula>WEEKDAY(M$3,2)=6</formula>
    </cfRule>
  </conditionalFormatting>
  <conditionalFormatting sqref="M6:N6">
    <cfRule type="expression" dxfId="1533" priority="130">
      <formula>SEARCH("X", $A$6) &gt; 0</formula>
    </cfRule>
  </conditionalFormatting>
  <conditionalFormatting sqref="T6:U6">
    <cfRule type="expression" dxfId="1532" priority="128">
      <formula>WEEKDAY(T$3,2)=7</formula>
    </cfRule>
    <cfRule type="expression" dxfId="1531" priority="129">
      <formula>WEEKDAY(T$3,2)=6</formula>
    </cfRule>
  </conditionalFormatting>
  <conditionalFormatting sqref="T6:U6">
    <cfRule type="expression" dxfId="1530" priority="127">
      <formula>SEARCH("X", $A$6) &gt; 0</formula>
    </cfRule>
  </conditionalFormatting>
  <conditionalFormatting sqref="B10:AD10">
    <cfRule type="expression" dxfId="1529" priority="125">
      <formula>WEEKDAY(B$3,2)=7</formula>
    </cfRule>
    <cfRule type="expression" dxfId="1528" priority="126">
      <formula>WEEKDAY(B$3,2)=6</formula>
    </cfRule>
  </conditionalFormatting>
  <conditionalFormatting sqref="B10:AD10">
    <cfRule type="expression" dxfId="1527" priority="124">
      <formula>SEARCH("X", $A$11) &gt; 0</formula>
    </cfRule>
  </conditionalFormatting>
  <conditionalFormatting sqref="B5:AD12">
    <cfRule type="expression" dxfId="1526" priority="123" stopIfTrue="1">
      <formula>SEARCH("國", B$14) &gt; 0</formula>
    </cfRule>
  </conditionalFormatting>
  <conditionalFormatting sqref="C7">
    <cfRule type="expression" dxfId="1525" priority="122">
      <formula>SEARCH("X", $A$6) &gt; 0</formula>
    </cfRule>
  </conditionalFormatting>
  <conditionalFormatting sqref="D8">
    <cfRule type="expression" dxfId="1524" priority="121">
      <formula>SEARCH("X", $A$6) &gt; 0</formula>
    </cfRule>
  </conditionalFormatting>
  <conditionalFormatting sqref="C8:F8">
    <cfRule type="expression" dxfId="1523" priority="120">
      <formula>SEARCH("X", $A$6) &gt; 0</formula>
    </cfRule>
  </conditionalFormatting>
  <conditionalFormatting sqref="D9:E9">
    <cfRule type="expression" dxfId="1522" priority="119">
      <formula>SEARCH("X", $A$6) &gt; 0</formula>
    </cfRule>
  </conditionalFormatting>
  <conditionalFormatting sqref="C9">
    <cfRule type="expression" dxfId="1521" priority="118">
      <formula>SEARCH("X", $A$6) &gt; 0</formula>
    </cfRule>
  </conditionalFormatting>
  <conditionalFormatting sqref="V13">
    <cfRule type="expression" dxfId="1520" priority="116">
      <formula>WEEKDAY(V$3,2)=7</formula>
    </cfRule>
    <cfRule type="expression" dxfId="1519" priority="117">
      <formula>WEEKDAY(V$3,2)=6</formula>
    </cfRule>
  </conditionalFormatting>
  <conditionalFormatting sqref="V13">
    <cfRule type="expression" dxfId="1518" priority="115">
      <formula>SEARCH("X", $A$6) &gt; 0</formula>
    </cfRule>
  </conditionalFormatting>
  <conditionalFormatting sqref="V13">
    <cfRule type="expression" dxfId="1517" priority="114" stopIfTrue="1">
      <formula>SEARCH("國", V$14) &gt; 0</formula>
    </cfRule>
  </conditionalFormatting>
  <conditionalFormatting sqref="X13">
    <cfRule type="expression" dxfId="1516" priority="112">
      <formula>WEEKDAY(X$3,2)=7</formula>
    </cfRule>
    <cfRule type="expression" dxfId="1515" priority="113">
      <formula>WEEKDAY(X$3,2)=6</formula>
    </cfRule>
  </conditionalFormatting>
  <conditionalFormatting sqref="X13">
    <cfRule type="expression" dxfId="1514" priority="111">
      <formula>SEARCH("X", $A$5) &gt; 0</formula>
    </cfRule>
  </conditionalFormatting>
  <conditionalFormatting sqref="X13">
    <cfRule type="expression" dxfId="1513" priority="110" stopIfTrue="1">
      <formula>SEARCH("國", X$14) &gt; 0</formula>
    </cfRule>
  </conditionalFormatting>
  <conditionalFormatting sqref="Y13">
    <cfRule type="expression" dxfId="1512" priority="108">
      <formula>WEEKDAY(Y$3,2)=7</formula>
    </cfRule>
    <cfRule type="expression" dxfId="1511" priority="109">
      <formula>WEEKDAY(Y$3,2)=6</formula>
    </cfRule>
  </conditionalFormatting>
  <conditionalFormatting sqref="Y13">
    <cfRule type="expression" dxfId="1510" priority="107">
      <formula>SEARCH("X", $A$5) &gt; 0</formula>
    </cfRule>
  </conditionalFormatting>
  <conditionalFormatting sqref="Y13">
    <cfRule type="expression" dxfId="1509" priority="106" stopIfTrue="1">
      <formula>SEARCH("國", Y$14) &gt; 0</formula>
    </cfRule>
  </conditionalFormatting>
  <conditionalFormatting sqref="Z13">
    <cfRule type="expression" dxfId="1508" priority="104">
      <formula>WEEKDAY(Z$3,2)=7</formula>
    </cfRule>
    <cfRule type="expression" dxfId="1507" priority="105">
      <formula>WEEKDAY(Z$3,2)=6</formula>
    </cfRule>
  </conditionalFormatting>
  <conditionalFormatting sqref="Z13">
    <cfRule type="expression" dxfId="1506" priority="103">
      <formula>SEARCH("X", $A$5) &gt; 0</formula>
    </cfRule>
  </conditionalFormatting>
  <conditionalFormatting sqref="Z13">
    <cfRule type="expression" dxfId="1505" priority="102" stopIfTrue="1">
      <formula>SEARCH("國", Z$14) &gt; 0</formula>
    </cfRule>
  </conditionalFormatting>
  <conditionalFormatting sqref="AA13">
    <cfRule type="expression" dxfId="1504" priority="100">
      <formula>WEEKDAY(AA$3,2)=7</formula>
    </cfRule>
    <cfRule type="expression" dxfId="1503" priority="101">
      <formula>WEEKDAY(AA$3,2)=6</formula>
    </cfRule>
  </conditionalFormatting>
  <conditionalFormatting sqref="AA13">
    <cfRule type="expression" dxfId="1502" priority="99">
      <formula>SEARCH("X", $A$5) &gt; 0</formula>
    </cfRule>
  </conditionalFormatting>
  <conditionalFormatting sqref="AA13">
    <cfRule type="expression" dxfId="1501" priority="98" stopIfTrue="1">
      <formula>SEARCH("國", AA$14) &gt; 0</formula>
    </cfRule>
  </conditionalFormatting>
  <conditionalFormatting sqref="AB13">
    <cfRule type="expression" dxfId="1500" priority="96">
      <formula>WEEKDAY(AB$3,2)=7</formula>
    </cfRule>
    <cfRule type="expression" dxfId="1499" priority="97">
      <formula>WEEKDAY(AB$3,2)=6</formula>
    </cfRule>
  </conditionalFormatting>
  <conditionalFormatting sqref="AB13">
    <cfRule type="expression" dxfId="1498" priority="95">
      <formula>SEARCH("X", $A$5) &gt; 0</formula>
    </cfRule>
  </conditionalFormatting>
  <conditionalFormatting sqref="AB13">
    <cfRule type="expression" dxfId="1497" priority="94" stopIfTrue="1">
      <formula>SEARCH("國", AB$14) &gt; 0</formula>
    </cfRule>
  </conditionalFormatting>
  <conditionalFormatting sqref="AC13">
    <cfRule type="expression" dxfId="1496" priority="92">
      <formula>WEEKDAY(AC$3,2)=7</formula>
    </cfRule>
    <cfRule type="expression" dxfId="1495" priority="93">
      <formula>WEEKDAY(AC$3,2)=6</formula>
    </cfRule>
  </conditionalFormatting>
  <conditionalFormatting sqref="AC13">
    <cfRule type="expression" dxfId="1494" priority="91">
      <formula>SEARCH("X", $A$5) &gt; 0</formula>
    </cfRule>
  </conditionalFormatting>
  <conditionalFormatting sqref="AC13">
    <cfRule type="expression" dxfId="1493" priority="90" stopIfTrue="1">
      <formula>SEARCH("國", AC$14) &gt; 0</formula>
    </cfRule>
  </conditionalFormatting>
  <conditionalFormatting sqref="AD14">
    <cfRule type="expression" dxfId="1492" priority="88">
      <formula>WEEKDAY(AD$3,2)=7</formula>
    </cfRule>
    <cfRule type="expression" dxfId="1491" priority="89">
      <formula>WEEKDAY(AD$3,2)=6</formula>
    </cfRule>
  </conditionalFormatting>
  <conditionalFormatting sqref="AD14">
    <cfRule type="expression" dxfId="1490" priority="87">
      <formula>SEARCH("X", $A$12) &gt; 0</formula>
    </cfRule>
  </conditionalFormatting>
  <conditionalFormatting sqref="AD14">
    <cfRule type="expression" dxfId="1489" priority="86" stopIfTrue="1">
      <formula>SEARCH("國", AD$17) &gt; 0</formula>
    </cfRule>
  </conditionalFormatting>
  <conditionalFormatting sqref="B14">
    <cfRule type="expression" dxfId="1488" priority="84">
      <formula>WEEKDAY(B$3,2)=7</formula>
    </cfRule>
    <cfRule type="expression" dxfId="1487" priority="85">
      <formula>WEEKDAY(B$3,2)=6</formula>
    </cfRule>
  </conditionalFormatting>
  <conditionalFormatting sqref="B14">
    <cfRule type="expression" dxfId="1486" priority="83">
      <formula>SEARCH("X", $A$8) &gt; 0</formula>
    </cfRule>
  </conditionalFormatting>
  <conditionalFormatting sqref="B14">
    <cfRule type="expression" dxfId="1485" priority="82" stopIfTrue="1">
      <formula>SEARCH("國", B$14) &gt; 0</formula>
    </cfRule>
  </conditionalFormatting>
  <conditionalFormatting sqref="AC14">
    <cfRule type="expression" dxfId="1484" priority="80">
      <formula>WEEKDAY(AC$3,2)=7</formula>
    </cfRule>
    <cfRule type="expression" dxfId="1483" priority="81">
      <formula>WEEKDAY(AC$3,2)=6</formula>
    </cfRule>
  </conditionalFormatting>
  <conditionalFormatting sqref="AC14">
    <cfRule type="expression" dxfId="1482" priority="79">
      <formula>SEARCH("X", $A$5) &gt; 0</formula>
    </cfRule>
  </conditionalFormatting>
  <conditionalFormatting sqref="AC14">
    <cfRule type="expression" dxfId="1481" priority="78" stopIfTrue="1">
      <formula>SEARCH("國", AC$14) &gt; 0</formula>
    </cfRule>
  </conditionalFormatting>
  <conditionalFormatting sqref="N14">
    <cfRule type="expression" dxfId="1480" priority="76">
      <formula>WEEKDAY(N$3,2)=7</formula>
    </cfRule>
    <cfRule type="expression" dxfId="1479" priority="77">
      <formula>WEEKDAY(N$3,2)=6</formula>
    </cfRule>
  </conditionalFormatting>
  <conditionalFormatting sqref="N14">
    <cfRule type="expression" dxfId="1478" priority="75">
      <formula>SEARCH("X", $A$12) &gt; 0</formula>
    </cfRule>
  </conditionalFormatting>
  <conditionalFormatting sqref="N14">
    <cfRule type="expression" dxfId="1477" priority="74" stopIfTrue="1">
      <formula>SEARCH("國", N$14) &gt; 0</formula>
    </cfRule>
  </conditionalFormatting>
  <conditionalFormatting sqref="O15">
    <cfRule type="expression" dxfId="1476" priority="72">
      <formula>WEEKDAY(O$3,2)=7</formula>
    </cfRule>
    <cfRule type="expression" dxfId="1475" priority="73">
      <formula>WEEKDAY(O$3,2)=6</formula>
    </cfRule>
  </conditionalFormatting>
  <conditionalFormatting sqref="O15">
    <cfRule type="expression" dxfId="1474" priority="71">
      <formula>SEARCH("X", $A$12) &gt; 0</formula>
    </cfRule>
  </conditionalFormatting>
  <conditionalFormatting sqref="O15">
    <cfRule type="expression" dxfId="1473" priority="70" stopIfTrue="1">
      <formula>SEARCH("國", O$14) &gt; 0</formula>
    </cfRule>
  </conditionalFormatting>
  <conditionalFormatting sqref="P15">
    <cfRule type="expression" dxfId="1472" priority="68">
      <formula>WEEKDAY(P$3,2)=7</formula>
    </cfRule>
    <cfRule type="expression" dxfId="1471" priority="69">
      <formula>WEEKDAY(P$3,2)=6</formula>
    </cfRule>
  </conditionalFormatting>
  <conditionalFormatting sqref="P15">
    <cfRule type="expression" dxfId="1470" priority="67">
      <formula>SEARCH("X", $A$12) &gt; 0</formula>
    </cfRule>
  </conditionalFormatting>
  <conditionalFormatting sqref="P15">
    <cfRule type="expression" dxfId="1469" priority="66" stopIfTrue="1">
      <formula>SEARCH("國", P$14) &gt; 0</formula>
    </cfRule>
  </conditionalFormatting>
  <conditionalFormatting sqref="V15:W15">
    <cfRule type="expression" dxfId="1468" priority="64">
      <formula>WEEKDAY(V$3,2)=7</formula>
    </cfRule>
    <cfRule type="expression" dxfId="1467" priority="65">
      <formula>WEEKDAY(V$3,2)=6</formula>
    </cfRule>
  </conditionalFormatting>
  <conditionalFormatting sqref="V15:W15">
    <cfRule type="expression" dxfId="1466" priority="63">
      <formula>SEARCH("X", $A$7) &gt; 0</formula>
    </cfRule>
  </conditionalFormatting>
  <conditionalFormatting sqref="V15:W15">
    <cfRule type="expression" dxfId="1465" priority="62" stopIfTrue="1">
      <formula>SEARCH("國", V$14) &gt; 0</formula>
    </cfRule>
  </conditionalFormatting>
  <conditionalFormatting sqref="O14:P14">
    <cfRule type="expression" dxfId="1464" priority="60">
      <formula>WEEKDAY(O$3,2)=7</formula>
    </cfRule>
    <cfRule type="expression" dxfId="1463" priority="61">
      <formula>WEEKDAY(O$3,2)=6</formula>
    </cfRule>
  </conditionalFormatting>
  <conditionalFormatting sqref="O14:P14">
    <cfRule type="expression" dxfId="1462" priority="59">
      <formula>SEARCH("X", $A$7) &gt; 0</formula>
    </cfRule>
  </conditionalFormatting>
  <conditionalFormatting sqref="O14:P14">
    <cfRule type="expression" dxfId="1461" priority="58" stopIfTrue="1">
      <formula>SEARCH("國", O$14) &gt; 0</formula>
    </cfRule>
  </conditionalFormatting>
  <conditionalFormatting sqref="V5:W5">
    <cfRule type="expression" dxfId="1460" priority="56">
      <formula>WEEKDAY(V$3,2)=7</formula>
    </cfRule>
    <cfRule type="expression" dxfId="1459" priority="57">
      <formula>WEEKDAY(V$3,2)=6</formula>
    </cfRule>
  </conditionalFormatting>
  <conditionalFormatting sqref="V5:W5">
    <cfRule type="expression" dxfId="1458" priority="55">
      <formula>SEARCH("X", $A$7) &gt; 0</formula>
    </cfRule>
  </conditionalFormatting>
  <conditionalFormatting sqref="P8">
    <cfRule type="expression" dxfId="1457" priority="53">
      <formula>WEEKDAY(P$3,2)=7</formula>
    </cfRule>
    <cfRule type="expression" dxfId="1456" priority="54">
      <formula>WEEKDAY(P$3,2)=6</formula>
    </cfRule>
  </conditionalFormatting>
  <conditionalFormatting sqref="P8">
    <cfRule type="expression" dxfId="1455" priority="52">
      <formula>SEARCH("X", $A$7) &gt; 0</formula>
    </cfRule>
  </conditionalFormatting>
  <conditionalFormatting sqref="P9">
    <cfRule type="expression" dxfId="1454" priority="51">
      <formula>SEARCH("X", $A$7) &gt; 0</formula>
    </cfRule>
  </conditionalFormatting>
  <conditionalFormatting sqref="AD7">
    <cfRule type="expression" dxfId="1453" priority="50">
      <formula>SEARCH("X", $A$9) &gt; 0</formula>
    </cfRule>
  </conditionalFormatting>
  <conditionalFormatting sqref="P9">
    <cfRule type="expression" dxfId="1452" priority="48">
      <formula>WEEKDAY(P$3,2)=7</formula>
    </cfRule>
    <cfRule type="expression" dxfId="1451" priority="49">
      <formula>WEEKDAY(P$3,2)=6</formula>
    </cfRule>
  </conditionalFormatting>
  <conditionalFormatting sqref="P9">
    <cfRule type="expression" dxfId="1450" priority="47">
      <formula>SEARCH("X", $A$5) &gt; 0</formula>
    </cfRule>
  </conditionalFormatting>
  <conditionalFormatting sqref="P9">
    <cfRule type="expression" dxfId="1449" priority="45">
      <formula>WEEKDAY(P$3,2)=7</formula>
    </cfRule>
    <cfRule type="expression" dxfId="1448" priority="46">
      <formula>WEEKDAY(P$3,2)=6</formula>
    </cfRule>
  </conditionalFormatting>
  <conditionalFormatting sqref="P9">
    <cfRule type="expression" dxfId="1447" priority="44">
      <formula>SEARCH("X", $A$7) &gt; 0</formula>
    </cfRule>
  </conditionalFormatting>
  <conditionalFormatting sqref="P13">
    <cfRule type="expression" dxfId="1446" priority="42">
      <formula>WEEKDAY(P$3,2)=7</formula>
    </cfRule>
    <cfRule type="expression" dxfId="1445" priority="43">
      <formula>WEEKDAY(P$3,2)=6</formula>
    </cfRule>
  </conditionalFormatting>
  <conditionalFormatting sqref="P13">
    <cfRule type="expression" dxfId="1444" priority="41">
      <formula>SEARCH("X", $A$5) &gt; 0</formula>
    </cfRule>
  </conditionalFormatting>
  <conditionalFormatting sqref="P13">
    <cfRule type="expression" dxfId="1443" priority="40" stopIfTrue="1">
      <formula>SEARCH("國", P$14) &gt; 0</formula>
    </cfRule>
  </conditionalFormatting>
  <conditionalFormatting sqref="P13">
    <cfRule type="expression" dxfId="1442" priority="38">
      <formula>WEEKDAY(P$3,2)=7</formula>
    </cfRule>
    <cfRule type="expression" dxfId="1441" priority="39">
      <formula>WEEKDAY(P$3,2)=6</formula>
    </cfRule>
  </conditionalFormatting>
  <conditionalFormatting sqref="P13">
    <cfRule type="expression" dxfId="1440" priority="37">
      <formula>SEARCH("X", $A$7) &gt; 0</formula>
    </cfRule>
  </conditionalFormatting>
  <conditionalFormatting sqref="W6">
    <cfRule type="expression" dxfId="1439" priority="35">
      <formula>WEEKDAY(W$3,2)=7</formula>
    </cfRule>
    <cfRule type="expression" dxfId="1438" priority="36">
      <formula>WEEKDAY(W$3,2)=6</formula>
    </cfRule>
  </conditionalFormatting>
  <conditionalFormatting sqref="W6">
    <cfRule type="expression" dxfId="1437" priority="34">
      <formula>SEARCH("X", $A$5) &gt; 0</formula>
    </cfRule>
  </conditionalFormatting>
  <conditionalFormatting sqref="W6">
    <cfRule type="expression" dxfId="1436" priority="32">
      <formula>WEEKDAY(W$3,2)=7</formula>
    </cfRule>
    <cfRule type="expression" dxfId="1435" priority="33">
      <formula>WEEKDAY(W$3,2)=6</formula>
    </cfRule>
  </conditionalFormatting>
  <conditionalFormatting sqref="W6">
    <cfRule type="expression" dxfId="1434" priority="31">
      <formula>SEARCH("X", $A$7) &gt; 0</formula>
    </cfRule>
  </conditionalFormatting>
  <conditionalFormatting sqref="W9">
    <cfRule type="expression" dxfId="1433" priority="29">
      <formula>WEEKDAY(W$3,2)=7</formula>
    </cfRule>
    <cfRule type="expression" dxfId="1432" priority="30">
      <formula>WEEKDAY(W$3,2)=6</formula>
    </cfRule>
  </conditionalFormatting>
  <conditionalFormatting sqref="W9">
    <cfRule type="expression" dxfId="1431" priority="28">
      <formula>SEARCH("X", $A$5) &gt; 0</formula>
    </cfRule>
  </conditionalFormatting>
  <conditionalFormatting sqref="W9">
    <cfRule type="expression" dxfId="1430" priority="26">
      <formula>WEEKDAY(W$3,2)=7</formula>
    </cfRule>
    <cfRule type="expression" dxfId="1429" priority="27">
      <formula>WEEKDAY(W$3,2)=6</formula>
    </cfRule>
  </conditionalFormatting>
  <conditionalFormatting sqref="W9">
    <cfRule type="expression" dxfId="1428" priority="25">
      <formula>SEARCH("X", $A$7) &gt; 0</formula>
    </cfRule>
  </conditionalFormatting>
  <conditionalFormatting sqref="W12">
    <cfRule type="expression" dxfId="1427" priority="23">
      <formula>WEEKDAY(W$3,2)=7</formula>
    </cfRule>
    <cfRule type="expression" dxfId="1426" priority="24">
      <formula>WEEKDAY(W$3,2)=6</formula>
    </cfRule>
  </conditionalFormatting>
  <conditionalFormatting sqref="W12">
    <cfRule type="expression" dxfId="1425" priority="22">
      <formula>SEARCH("X", $A$5) &gt; 0</formula>
    </cfRule>
  </conditionalFormatting>
  <conditionalFormatting sqref="W12">
    <cfRule type="expression" dxfId="1424" priority="20">
      <formula>WEEKDAY(W$3,2)=7</formula>
    </cfRule>
    <cfRule type="expression" dxfId="1423" priority="21">
      <formula>WEEKDAY(W$3,2)=6</formula>
    </cfRule>
  </conditionalFormatting>
  <conditionalFormatting sqref="W12">
    <cfRule type="expression" dxfId="1422" priority="19">
      <formula>SEARCH("X", $A$7) &gt; 0</formula>
    </cfRule>
  </conditionalFormatting>
  <conditionalFormatting sqref="AD8">
    <cfRule type="expression" dxfId="1421" priority="17">
      <formula>WEEKDAY(AD$3,2)=7</formula>
    </cfRule>
    <cfRule type="expression" dxfId="1420" priority="18">
      <formula>WEEKDAY(AD$3,2)=6</formula>
    </cfRule>
  </conditionalFormatting>
  <conditionalFormatting sqref="AD8">
    <cfRule type="expression" dxfId="1419" priority="16">
      <formula>SEARCH("X", $A$5) &gt; 0</formula>
    </cfRule>
  </conditionalFormatting>
  <conditionalFormatting sqref="AD8">
    <cfRule type="expression" dxfId="1418" priority="14">
      <formula>WEEKDAY(AD$3,2)=7</formula>
    </cfRule>
    <cfRule type="expression" dxfId="1417" priority="15">
      <formula>WEEKDAY(AD$3,2)=6</formula>
    </cfRule>
  </conditionalFormatting>
  <conditionalFormatting sqref="AD8">
    <cfRule type="expression" dxfId="1416" priority="13">
      <formula>SEARCH("X", $A$7) &gt; 0</formula>
    </cfRule>
  </conditionalFormatting>
  <conditionalFormatting sqref="AD7">
    <cfRule type="expression" dxfId="1415" priority="11">
      <formula>WEEKDAY(AD$3,2)=7</formula>
    </cfRule>
    <cfRule type="expression" dxfId="1414" priority="12">
      <formula>WEEKDAY(AD$3,2)=6</formula>
    </cfRule>
  </conditionalFormatting>
  <conditionalFormatting sqref="AD7">
    <cfRule type="expression" dxfId="1413" priority="10">
      <formula>SEARCH("X", $A$5) &gt; 0</formula>
    </cfRule>
  </conditionalFormatting>
  <conditionalFormatting sqref="AD7">
    <cfRule type="expression" dxfId="1412" priority="8">
      <formula>WEEKDAY(AD$3,2)=7</formula>
    </cfRule>
    <cfRule type="expression" dxfId="1411" priority="9">
      <formula>WEEKDAY(AD$3,2)=6</formula>
    </cfRule>
  </conditionalFormatting>
  <conditionalFormatting sqref="AD7">
    <cfRule type="expression" dxfId="1410" priority="7">
      <formula>SEARCH("X", $A$7) &gt; 0</formula>
    </cfRule>
  </conditionalFormatting>
  <conditionalFormatting sqref="AD12">
    <cfRule type="expression" dxfId="1409" priority="5">
      <formula>WEEKDAY(AD$3,2)=7</formula>
    </cfRule>
    <cfRule type="expression" dxfId="1408" priority="6">
      <formula>WEEKDAY(AD$3,2)=6</formula>
    </cfRule>
  </conditionalFormatting>
  <conditionalFormatting sqref="AD12">
    <cfRule type="expression" dxfId="1407" priority="4">
      <formula>SEARCH("X", $A$5) &gt; 0</formula>
    </cfRule>
  </conditionalFormatting>
  <conditionalFormatting sqref="AD12">
    <cfRule type="expression" dxfId="1406" priority="2">
      <formula>WEEKDAY(AD$3,2)=7</formula>
    </cfRule>
    <cfRule type="expression" dxfId="1405" priority="3">
      <formula>WEEKDAY(AD$3,2)=6</formula>
    </cfRule>
  </conditionalFormatting>
  <conditionalFormatting sqref="AD12">
    <cfRule type="expression" dxfId="1404" priority="1">
      <formula>SEARCH("X", $A$7) &gt; 0</formula>
    </cfRule>
  </conditionalFormatting>
  <dataValidations count="12">
    <dataValidation type="list" allowBlank="1" showInputMessage="1" showErrorMessage="1" sqref="E19:F26" xr:uid="{7FBF4627-4789-42A1-A5FF-3A57C5BC7777}">
      <formula1>$A$5:$A$12</formula1>
    </dataValidation>
    <dataValidation type="list" allowBlank="1" showInputMessage="1" sqref="A16:A17" xr:uid="{ED495862-13D6-4C72-B885-15FCF367DE70}">
      <formula1>$AI$26:$AJ$26</formula1>
    </dataValidation>
    <dataValidation type="list" allowBlank="1" showInputMessage="1" showErrorMessage="1" sqref="C19:D29" xr:uid="{8AC99F15-3166-476C-8D6B-D01C35F7D348}">
      <formula1>$AM$20:$AM$23</formula1>
    </dataValidation>
    <dataValidation type="list" allowBlank="1" showInputMessage="1" showErrorMessage="1" sqref="A10" xr:uid="{9E7BB408-6201-4EA1-A2D3-E721C3992D16}">
      <formula1>$AK$24:$AL$24</formula1>
    </dataValidation>
    <dataValidation type="list" allowBlank="1" showInputMessage="1" showErrorMessage="1" sqref="A9" xr:uid="{1FF9BFA0-093D-4D2D-B72F-8FEB3DBEF02E}">
      <formula1>$AK$23:$AL$23</formula1>
    </dataValidation>
    <dataValidation type="list" allowBlank="1" showInputMessage="1" showErrorMessage="1" sqref="A6" xr:uid="{B0F27AAB-45EE-4593-8CA1-B318F2DBD136}">
      <formula1>$AI$20:$AJ$20</formula1>
    </dataValidation>
    <dataValidation type="list" allowBlank="1" showInputMessage="1" showErrorMessage="1" sqref="A8" xr:uid="{6E1B8811-8546-4403-A6FA-FCB9AF1DCFD5}">
      <formula1>$AK$22:$AL$22</formula1>
    </dataValidation>
    <dataValidation type="list" allowBlank="1" showInputMessage="1" showErrorMessage="1" sqref="A7" xr:uid="{54066EF2-ABE5-45A7-BCAC-B9F636F58DE1}">
      <formula1>$AI$21:$AJ$21</formula1>
    </dataValidation>
    <dataValidation type="list" allowBlank="1" showInputMessage="1" showErrorMessage="1" sqref="A5" xr:uid="{BA8BF692-EA7C-425E-A3B5-DEB7B5A663CE}">
      <formula1>$AK$19:$AL$19</formula1>
    </dataValidation>
    <dataValidation type="list" allowBlank="1" showInputMessage="1" showErrorMessage="1" sqref="A11" xr:uid="{8807ECDF-7CF0-45E0-9560-796187B642E6}">
      <formula1>$AK$25:$AL$25</formula1>
    </dataValidation>
    <dataValidation type="list" allowBlank="1" showInputMessage="1" showErrorMessage="1" sqref="A12" xr:uid="{E1650BFD-57E3-4CEA-BEE2-16E791CBCCE1}">
      <formula1>$AI$26:$AJ$26</formula1>
    </dataValidation>
    <dataValidation type="list" allowBlank="1" showInputMessage="1" showErrorMessage="1" sqref="B5:AF15" xr:uid="{F460E470-10C4-4BF2-8469-B13F47C9FD45}">
      <formula1>$AH$19:$AH$29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5" name="Button 20">
              <controlPr defaultSize="0" print="0" autoFill="0" autoPict="0" macro="[3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C7330-8D9F-4E46-8675-84E68A1EC7E2}">
  <sheetPr codeName="工作表14">
    <pageSetUpPr fitToPage="1"/>
  </sheetPr>
  <dimension ref="A1:AO32"/>
  <sheetViews>
    <sheetView zoomScale="54" zoomScaleNormal="54" workbookViewId="0">
      <selection activeCell="AF24" sqref="AF24"/>
    </sheetView>
  </sheetViews>
  <sheetFormatPr defaultRowHeight="17"/>
  <cols>
    <col min="2" max="2" width="12.5" bestFit="1" customWidth="1"/>
    <col min="3" max="39" width="7.58203125" customWidth="1"/>
  </cols>
  <sheetData>
    <row r="1" spans="1:40" ht="33.5">
      <c r="B1" s="2"/>
      <c r="C1" s="22"/>
      <c r="D1" s="2"/>
      <c r="E1" s="22"/>
      <c r="F1" s="22"/>
      <c r="G1" s="22"/>
      <c r="H1" s="22"/>
      <c r="I1" s="22"/>
      <c r="J1" s="22"/>
      <c r="L1" s="23"/>
      <c r="M1" s="24"/>
      <c r="N1" s="1"/>
      <c r="O1" s="25"/>
      <c r="P1" s="248"/>
      <c r="Q1" s="25"/>
      <c r="R1" s="25"/>
      <c r="S1" s="25"/>
      <c r="T1" s="248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48"/>
      <c r="AH1" s="25"/>
    </row>
    <row r="2" spans="1:40" ht="33.5">
      <c r="B2" s="1"/>
      <c r="C2" s="1"/>
      <c r="D2" s="1"/>
      <c r="E2" s="1"/>
      <c r="G2" s="1"/>
      <c r="H2" s="27">
        <v>2025</v>
      </c>
      <c r="I2" s="27" t="str">
        <f>"("&amp;YEAR(C3)-1911&amp;" 年 "&amp;")"</f>
        <v>(114 年 )</v>
      </c>
      <c r="J2" s="22"/>
      <c r="K2" s="23">
        <v>7</v>
      </c>
      <c r="L2" s="23" t="s">
        <v>33</v>
      </c>
      <c r="M2" s="29"/>
      <c r="N2" s="99"/>
      <c r="O2" s="25"/>
      <c r="P2" s="25"/>
      <c r="Q2" s="100"/>
      <c r="R2" s="25"/>
      <c r="S2" s="25"/>
      <c r="T2" s="15"/>
      <c r="U2" s="16"/>
      <c r="V2" s="15"/>
      <c r="W2" s="1"/>
      <c r="X2" s="11"/>
      <c r="Y2" s="11"/>
      <c r="Z2" s="11"/>
      <c r="AA2" s="11"/>
      <c r="AB2" s="11"/>
      <c r="AC2" s="11"/>
      <c r="AD2" s="11"/>
      <c r="AE2" s="11"/>
      <c r="AG2" s="175"/>
    </row>
    <row r="3" spans="1:40" ht="27.5">
      <c r="B3" s="19" t="s">
        <v>1</v>
      </c>
      <c r="C3" s="30">
        <f>DATE($H$2,$K$2,1)</f>
        <v>45839</v>
      </c>
      <c r="D3" s="30">
        <f>C3+1</f>
        <v>45840</v>
      </c>
      <c r="E3" s="30">
        <f t="shared" ref="E3:AC3" si="0">D3+1</f>
        <v>45841</v>
      </c>
      <c r="F3" s="30">
        <f t="shared" si="0"/>
        <v>45842</v>
      </c>
      <c r="G3" s="167">
        <f t="shared" si="0"/>
        <v>45843</v>
      </c>
      <c r="H3" s="167">
        <f t="shared" si="0"/>
        <v>45844</v>
      </c>
      <c r="I3" s="30">
        <f t="shared" si="0"/>
        <v>45845</v>
      </c>
      <c r="J3" s="30">
        <f t="shared" si="0"/>
        <v>45846</v>
      </c>
      <c r="K3" s="30">
        <f t="shared" si="0"/>
        <v>45847</v>
      </c>
      <c r="L3" s="30">
        <f t="shared" si="0"/>
        <v>45848</v>
      </c>
      <c r="M3" s="30">
        <f t="shared" si="0"/>
        <v>45849</v>
      </c>
      <c r="N3" s="167">
        <f t="shared" si="0"/>
        <v>45850</v>
      </c>
      <c r="O3" s="167">
        <f t="shared" si="0"/>
        <v>45851</v>
      </c>
      <c r="P3" s="30">
        <f t="shared" si="0"/>
        <v>45852</v>
      </c>
      <c r="Q3" s="30">
        <f t="shared" si="0"/>
        <v>45853</v>
      </c>
      <c r="R3" s="30">
        <f t="shared" si="0"/>
        <v>45854</v>
      </c>
      <c r="S3" s="30">
        <f t="shared" si="0"/>
        <v>45855</v>
      </c>
      <c r="T3" s="30">
        <f t="shared" si="0"/>
        <v>45856</v>
      </c>
      <c r="U3" s="167">
        <f t="shared" si="0"/>
        <v>45857</v>
      </c>
      <c r="V3" s="167">
        <f t="shared" si="0"/>
        <v>45858</v>
      </c>
      <c r="W3" s="30">
        <f t="shared" si="0"/>
        <v>45859</v>
      </c>
      <c r="X3" s="30">
        <f t="shared" si="0"/>
        <v>45860</v>
      </c>
      <c r="Y3" s="30">
        <f t="shared" si="0"/>
        <v>45861</v>
      </c>
      <c r="Z3" s="30">
        <f t="shared" si="0"/>
        <v>45862</v>
      </c>
      <c r="AA3" s="30">
        <f t="shared" si="0"/>
        <v>45863</v>
      </c>
      <c r="AB3" s="167">
        <f t="shared" si="0"/>
        <v>45864</v>
      </c>
      <c r="AC3" s="167">
        <f t="shared" si="0"/>
        <v>45865</v>
      </c>
      <c r="AD3" s="30">
        <f>IFERROR(IF(MONTH(AC3+1)=$K$2,AC3+1,""),"")</f>
        <v>45866</v>
      </c>
      <c r="AE3" s="30">
        <f>IFERROR(IF(MONTH(AD3+1)=$K$2,AD3+1,""),"")</f>
        <v>45867</v>
      </c>
      <c r="AF3" s="30">
        <f>IFERROR(IF(MONTH(AE3+1)=$K$2,AE3+1,""),"")</f>
        <v>45868</v>
      </c>
      <c r="AG3" s="30">
        <f>IFERROR(IF(MONTH(AF3+1)=$K$2,AF3+1,""),"")</f>
        <v>45869</v>
      </c>
      <c r="AH3" s="3" t="s">
        <v>35</v>
      </c>
      <c r="AI3" s="3" t="s">
        <v>3</v>
      </c>
      <c r="AJ3" s="3" t="s">
        <v>5</v>
      </c>
      <c r="AK3" s="3" t="s">
        <v>4</v>
      </c>
      <c r="AL3" s="3" t="s">
        <v>252</v>
      </c>
      <c r="AM3" s="3"/>
    </row>
    <row r="4" spans="1:40" ht="27.5">
      <c r="B4" s="19" t="s">
        <v>41</v>
      </c>
      <c r="C4" s="31">
        <f t="shared" ref="C4:AG4" si="1">IFERROR(IF(WEEKDAY(C3,2)=7,"日",WEEKDAY(C3,2)),"")</f>
        <v>2</v>
      </c>
      <c r="D4" s="31">
        <f>IFERROR(IF(WEEKDAY(D3,2)=7,"日",WEEKDAY(D3,2)),"")</f>
        <v>3</v>
      </c>
      <c r="E4" s="31">
        <f t="shared" si="1"/>
        <v>4</v>
      </c>
      <c r="F4" s="31">
        <f t="shared" si="1"/>
        <v>5</v>
      </c>
      <c r="G4" s="168">
        <f t="shared" si="1"/>
        <v>6</v>
      </c>
      <c r="H4" s="168" t="str">
        <f t="shared" si="1"/>
        <v>日</v>
      </c>
      <c r="I4" s="31">
        <f t="shared" si="1"/>
        <v>1</v>
      </c>
      <c r="J4" s="31">
        <f t="shared" si="1"/>
        <v>2</v>
      </c>
      <c r="K4" s="31">
        <f t="shared" si="1"/>
        <v>3</v>
      </c>
      <c r="L4" s="31">
        <f t="shared" si="1"/>
        <v>4</v>
      </c>
      <c r="M4" s="31">
        <f t="shared" si="1"/>
        <v>5</v>
      </c>
      <c r="N4" s="168">
        <f t="shared" si="1"/>
        <v>6</v>
      </c>
      <c r="O4" s="168" t="str">
        <f t="shared" si="1"/>
        <v>日</v>
      </c>
      <c r="P4" s="31">
        <f t="shared" si="1"/>
        <v>1</v>
      </c>
      <c r="Q4" s="31">
        <f t="shared" si="1"/>
        <v>2</v>
      </c>
      <c r="R4" s="31">
        <f t="shared" si="1"/>
        <v>3</v>
      </c>
      <c r="S4" s="31">
        <f t="shared" si="1"/>
        <v>4</v>
      </c>
      <c r="T4" s="31">
        <f t="shared" si="1"/>
        <v>5</v>
      </c>
      <c r="U4" s="168">
        <f t="shared" si="1"/>
        <v>6</v>
      </c>
      <c r="V4" s="168" t="str">
        <f t="shared" si="1"/>
        <v>日</v>
      </c>
      <c r="W4" s="31">
        <f t="shared" si="1"/>
        <v>1</v>
      </c>
      <c r="X4" s="31">
        <f t="shared" si="1"/>
        <v>2</v>
      </c>
      <c r="Y4" s="31">
        <f t="shared" si="1"/>
        <v>3</v>
      </c>
      <c r="Z4" s="31">
        <f t="shared" si="1"/>
        <v>4</v>
      </c>
      <c r="AA4" s="31">
        <f t="shared" si="1"/>
        <v>5</v>
      </c>
      <c r="AB4" s="168">
        <f t="shared" si="1"/>
        <v>6</v>
      </c>
      <c r="AC4" s="168" t="str">
        <f t="shared" si="1"/>
        <v>日</v>
      </c>
      <c r="AD4" s="31">
        <f t="shared" si="1"/>
        <v>1</v>
      </c>
      <c r="AE4" s="31">
        <f t="shared" si="1"/>
        <v>2</v>
      </c>
      <c r="AF4" s="31">
        <f t="shared" si="1"/>
        <v>3</v>
      </c>
      <c r="AG4" s="31">
        <f t="shared" si="1"/>
        <v>4</v>
      </c>
      <c r="AH4" s="3"/>
      <c r="AI4" s="3"/>
      <c r="AJ4" s="3"/>
      <c r="AK4" s="3"/>
      <c r="AL4" s="174"/>
      <c r="AM4" s="3"/>
    </row>
    <row r="5" spans="1:40" ht="21.5">
      <c r="A5" t="s">
        <v>336</v>
      </c>
      <c r="B5" s="6" t="s">
        <v>9</v>
      </c>
      <c r="C5" s="33" t="s">
        <v>2</v>
      </c>
      <c r="D5" s="33" t="s">
        <v>2</v>
      </c>
      <c r="E5" s="88"/>
      <c r="F5" s="88" t="s">
        <v>3</v>
      </c>
      <c r="G5" s="153"/>
      <c r="H5" s="153" t="s">
        <v>4</v>
      </c>
      <c r="I5" s="88"/>
      <c r="J5" s="83" t="s">
        <v>5</v>
      </c>
      <c r="K5" s="83" t="s">
        <v>5</v>
      </c>
      <c r="L5" s="62" t="s">
        <v>5</v>
      </c>
      <c r="M5" s="62" t="s">
        <v>5</v>
      </c>
      <c r="N5" s="153" t="s">
        <v>4</v>
      </c>
      <c r="O5" s="166" t="s">
        <v>4</v>
      </c>
      <c r="P5" s="83"/>
      <c r="Q5" s="83"/>
      <c r="R5" s="83" t="s">
        <v>3</v>
      </c>
      <c r="S5" s="33"/>
      <c r="T5" s="33"/>
      <c r="U5" s="153" t="s">
        <v>3</v>
      </c>
      <c r="V5" s="166" t="s">
        <v>4</v>
      </c>
      <c r="W5" s="83"/>
      <c r="X5" s="83"/>
      <c r="Y5" s="83" t="s">
        <v>3</v>
      </c>
      <c r="Z5" s="83"/>
      <c r="AA5" s="33" t="s">
        <v>2</v>
      </c>
      <c r="AB5" s="208" t="s">
        <v>2</v>
      </c>
      <c r="AC5" s="208" t="s">
        <v>2</v>
      </c>
      <c r="AD5" s="33" t="s">
        <v>2</v>
      </c>
      <c r="AE5" s="33" t="s">
        <v>2</v>
      </c>
      <c r="AF5" s="33" t="s">
        <v>2</v>
      </c>
      <c r="AG5" s="33" t="s">
        <v>2</v>
      </c>
      <c r="AH5" s="3"/>
      <c r="AI5" s="3">
        <f t="shared" ref="AI5:AI15" si="2">COUNTIF(C5:AG5,"D")</f>
        <v>4</v>
      </c>
      <c r="AJ5" s="3">
        <f t="shared" ref="AJ5:AJ15" si="3">COUNTIF(C5:AG5,"N")</f>
        <v>4</v>
      </c>
      <c r="AK5" s="3">
        <f t="shared" ref="AK5:AK15" si="4">COUNTIF(C5:AG5,"OFF")+COUNTIF(C5:AG5,"上課")</f>
        <v>13</v>
      </c>
      <c r="AL5" s="3">
        <f t="array" ref="AL5">SUMPRODUCT(($C$4:$AG$4=6)*(C5:AG5="off"))</f>
        <v>2</v>
      </c>
      <c r="AM5" s="3"/>
    </row>
    <row r="6" spans="1:40" ht="21.5">
      <c r="A6" t="s">
        <v>337</v>
      </c>
      <c r="B6" s="6" t="s">
        <v>45</v>
      </c>
      <c r="C6" s="88" t="s">
        <v>5</v>
      </c>
      <c r="D6" s="88" t="s">
        <v>5</v>
      </c>
      <c r="E6" s="83" t="s">
        <v>4</v>
      </c>
      <c r="F6" s="83"/>
      <c r="G6" s="153" t="s">
        <v>331</v>
      </c>
      <c r="H6" s="153" t="s">
        <v>331</v>
      </c>
      <c r="I6" s="83" t="s">
        <v>4</v>
      </c>
      <c r="J6" s="33"/>
      <c r="K6" s="88" t="s">
        <v>4</v>
      </c>
      <c r="L6" s="83" t="s">
        <v>4</v>
      </c>
      <c r="M6" s="33"/>
      <c r="N6" s="166" t="s">
        <v>3</v>
      </c>
      <c r="O6" s="166" t="s">
        <v>4</v>
      </c>
      <c r="P6" s="33"/>
      <c r="Q6" s="88" t="s">
        <v>3</v>
      </c>
      <c r="R6" s="88"/>
      <c r="S6" s="83" t="s">
        <v>4</v>
      </c>
      <c r="T6" s="83" t="s">
        <v>4</v>
      </c>
      <c r="U6" s="238" t="s">
        <v>4</v>
      </c>
      <c r="V6" s="166" t="s">
        <v>4</v>
      </c>
      <c r="W6" s="83" t="s">
        <v>4</v>
      </c>
      <c r="X6" s="88"/>
      <c r="Y6" s="88" t="s">
        <v>4</v>
      </c>
      <c r="Z6" s="83" t="s">
        <v>4</v>
      </c>
      <c r="AA6" s="83" t="s">
        <v>3</v>
      </c>
      <c r="AB6" s="153"/>
      <c r="AC6" s="166" t="s">
        <v>4</v>
      </c>
      <c r="AD6" s="33"/>
      <c r="AE6" s="88"/>
      <c r="AF6" s="62" t="s">
        <v>3</v>
      </c>
      <c r="AG6" s="88"/>
      <c r="AH6" s="3"/>
      <c r="AI6" s="3">
        <f t="shared" si="2"/>
        <v>4</v>
      </c>
      <c r="AJ6" s="3">
        <f t="shared" si="3"/>
        <v>4</v>
      </c>
      <c r="AK6" s="3">
        <f t="shared" si="4"/>
        <v>13</v>
      </c>
      <c r="AL6" s="3">
        <f t="array" ref="AL6">SUMPRODUCT(($C$4:$AG$4=6)*(C6:AG6="off"))</f>
        <v>1</v>
      </c>
      <c r="AM6" s="3"/>
    </row>
    <row r="7" spans="1:40" ht="21.5">
      <c r="A7" t="s">
        <v>338</v>
      </c>
      <c r="B7" s="6" t="s">
        <v>17</v>
      </c>
      <c r="C7" s="203" t="s">
        <v>3</v>
      </c>
      <c r="D7" s="203"/>
      <c r="E7" s="203"/>
      <c r="F7" s="203"/>
      <c r="G7" s="203"/>
      <c r="H7" s="203"/>
      <c r="I7" s="203"/>
      <c r="J7" s="203" t="s">
        <v>3</v>
      </c>
      <c r="K7" s="203"/>
      <c r="L7" s="203" t="s">
        <v>3</v>
      </c>
      <c r="M7" s="203"/>
      <c r="N7" s="203"/>
      <c r="O7" s="203"/>
      <c r="P7" s="244" t="s">
        <v>3</v>
      </c>
      <c r="Q7" s="203"/>
      <c r="R7" s="203"/>
      <c r="S7" s="88" t="s">
        <v>3</v>
      </c>
      <c r="T7" s="88"/>
      <c r="U7" s="208" t="s">
        <v>2</v>
      </c>
      <c r="V7" s="208" t="s">
        <v>2</v>
      </c>
      <c r="W7" s="33" t="s">
        <v>2</v>
      </c>
      <c r="X7" s="33" t="s">
        <v>2</v>
      </c>
      <c r="Y7" s="33"/>
      <c r="Z7" s="88" t="s">
        <v>3</v>
      </c>
      <c r="AA7" s="33"/>
      <c r="AB7" s="208" t="s">
        <v>3</v>
      </c>
      <c r="AC7" s="166" t="s">
        <v>4</v>
      </c>
      <c r="AD7" s="88" t="s">
        <v>3</v>
      </c>
      <c r="AE7" s="88"/>
      <c r="AF7" s="33"/>
      <c r="AG7" s="83" t="s">
        <v>4</v>
      </c>
      <c r="AH7" s="3"/>
      <c r="AI7" s="3">
        <f t="shared" si="2"/>
        <v>8</v>
      </c>
      <c r="AJ7" s="3">
        <f t="shared" si="3"/>
        <v>0</v>
      </c>
      <c r="AK7" s="3">
        <f t="shared" si="4"/>
        <v>6</v>
      </c>
      <c r="AL7" s="3">
        <f t="array" ref="AL7">SUMPRODUCT(($C$4:$AG$4=6)*(C7:AG7="off"))</f>
        <v>1</v>
      </c>
      <c r="AM7" s="3"/>
    </row>
    <row r="8" spans="1:40" ht="21.5">
      <c r="A8" t="s">
        <v>339</v>
      </c>
      <c r="B8" s="6" t="s">
        <v>46</v>
      </c>
      <c r="C8" s="33" t="s">
        <v>2</v>
      </c>
      <c r="D8" s="33" t="s">
        <v>2</v>
      </c>
      <c r="E8" s="88" t="s">
        <v>3</v>
      </c>
      <c r="F8" s="88" t="s">
        <v>4</v>
      </c>
      <c r="G8" s="208" t="s">
        <v>3</v>
      </c>
      <c r="H8" s="153" t="s">
        <v>4</v>
      </c>
      <c r="I8" s="88" t="s">
        <v>3</v>
      </c>
      <c r="J8" s="88"/>
      <c r="K8" s="88" t="s">
        <v>3</v>
      </c>
      <c r="L8" s="88" t="s">
        <v>4</v>
      </c>
      <c r="M8" s="33" t="s">
        <v>2</v>
      </c>
      <c r="N8" s="166" t="s">
        <v>5</v>
      </c>
      <c r="O8" s="153" t="s">
        <v>5</v>
      </c>
      <c r="P8" s="83" t="s">
        <v>5</v>
      </c>
      <c r="Q8" s="83" t="s">
        <v>5</v>
      </c>
      <c r="R8" s="83" t="s">
        <v>4</v>
      </c>
      <c r="S8" s="204"/>
      <c r="T8" s="204"/>
      <c r="U8" s="204"/>
      <c r="V8" s="204"/>
      <c r="W8" s="204"/>
      <c r="X8" s="204"/>
      <c r="Y8" s="204"/>
      <c r="Z8" s="204"/>
      <c r="AA8" s="204"/>
      <c r="AB8" s="205"/>
      <c r="AC8" s="204"/>
      <c r="AD8" s="203"/>
      <c r="AE8" s="203"/>
      <c r="AF8" s="203"/>
      <c r="AG8" s="203"/>
      <c r="AH8" s="3"/>
      <c r="AI8" s="3">
        <f t="shared" si="2"/>
        <v>4</v>
      </c>
      <c r="AJ8" s="3">
        <f t="shared" si="3"/>
        <v>4</v>
      </c>
      <c r="AK8" s="3">
        <f t="shared" si="4"/>
        <v>7</v>
      </c>
      <c r="AL8" s="3">
        <f t="array" ref="AL8">SUMPRODUCT(($C$4:$AG$4=6)*(C8:AG8="off"))</f>
        <v>0</v>
      </c>
      <c r="AM8" s="3"/>
    </row>
    <row r="9" spans="1:40" ht="21.5">
      <c r="A9" t="s">
        <v>340</v>
      </c>
      <c r="B9" s="6" t="s">
        <v>12</v>
      </c>
      <c r="C9" s="88"/>
      <c r="D9" s="33"/>
      <c r="E9" s="88"/>
      <c r="F9" s="88"/>
      <c r="G9" s="238" t="s">
        <v>4</v>
      </c>
      <c r="H9" s="153" t="s">
        <v>4</v>
      </c>
      <c r="I9" s="33"/>
      <c r="J9" s="33"/>
      <c r="K9" s="33"/>
      <c r="L9" s="83"/>
      <c r="M9" s="33" t="s">
        <v>2</v>
      </c>
      <c r="N9" s="208" t="s">
        <v>2</v>
      </c>
      <c r="O9" s="208" t="s">
        <v>2</v>
      </c>
      <c r="Q9" s="83" t="s">
        <v>10</v>
      </c>
      <c r="R9" s="83"/>
      <c r="S9" s="33" t="s">
        <v>2</v>
      </c>
      <c r="T9" s="33" t="s">
        <v>2</v>
      </c>
      <c r="U9" s="153"/>
      <c r="V9" s="153" t="s">
        <v>4</v>
      </c>
      <c r="W9" s="88" t="s">
        <v>3</v>
      </c>
      <c r="X9" s="88"/>
      <c r="Y9" s="88" t="s">
        <v>4</v>
      </c>
      <c r="Z9" s="88" t="s">
        <v>4</v>
      </c>
      <c r="AA9" s="88" t="s">
        <v>5</v>
      </c>
      <c r="AB9" s="153" t="s">
        <v>5</v>
      </c>
      <c r="AC9" s="153" t="s">
        <v>5</v>
      </c>
      <c r="AD9" s="88" t="s">
        <v>5</v>
      </c>
      <c r="AE9" s="88" t="s">
        <v>4</v>
      </c>
      <c r="AF9" s="88"/>
      <c r="AG9" s="88" t="s">
        <v>3</v>
      </c>
      <c r="AH9" s="3"/>
      <c r="AI9" s="3">
        <f t="shared" si="2"/>
        <v>2</v>
      </c>
      <c r="AJ9" s="3">
        <f t="shared" si="3"/>
        <v>4</v>
      </c>
      <c r="AK9" s="3">
        <f t="shared" si="4"/>
        <v>12</v>
      </c>
      <c r="AL9" s="3">
        <f t="array" ref="AL9">SUMPRODUCT(($C$4:$AG$4=6)*(C9:AG9="off"))</f>
        <v>2</v>
      </c>
      <c r="AM9" s="3"/>
    </row>
    <row r="10" spans="1:40" ht="21.5" hidden="1">
      <c r="B10" s="6" t="s">
        <v>303</v>
      </c>
      <c r="C10" s="88"/>
      <c r="D10" s="88"/>
      <c r="E10" s="88"/>
      <c r="F10" s="88"/>
      <c r="G10" s="153"/>
      <c r="H10" s="153"/>
      <c r="I10" s="88"/>
      <c r="J10" s="33"/>
      <c r="K10" s="33"/>
      <c r="L10" s="88"/>
      <c r="M10" s="88"/>
      <c r="N10" s="153"/>
      <c r="O10" s="153"/>
      <c r="P10" s="88"/>
      <c r="Q10" s="88"/>
      <c r="R10" s="88"/>
      <c r="S10" s="88"/>
      <c r="T10" s="88"/>
      <c r="U10" s="153" t="s">
        <v>5</v>
      </c>
      <c r="V10" s="153" t="s">
        <v>5</v>
      </c>
      <c r="W10" s="88"/>
      <c r="X10" s="88"/>
      <c r="Y10" s="88"/>
      <c r="Z10" s="88"/>
      <c r="AA10" s="88"/>
      <c r="AB10" s="153"/>
      <c r="AC10" s="153"/>
      <c r="AD10" s="88"/>
      <c r="AE10" s="88"/>
      <c r="AF10" s="88"/>
      <c r="AG10" s="88"/>
      <c r="AH10" s="3"/>
      <c r="AI10" s="3">
        <f t="shared" si="2"/>
        <v>0</v>
      </c>
      <c r="AJ10" s="3">
        <f t="shared" si="3"/>
        <v>2</v>
      </c>
      <c r="AK10" s="3">
        <f t="shared" si="4"/>
        <v>0</v>
      </c>
      <c r="AL10" s="3">
        <f t="array" ref="AL10">SUMPRODUCT(($C$4:$AG$4=6)*(C10:AG10="off"))</f>
        <v>0</v>
      </c>
      <c r="AM10" s="3"/>
    </row>
    <row r="11" spans="1:40" ht="21.5" hidden="1">
      <c r="B11" s="6" t="s">
        <v>269</v>
      </c>
      <c r="C11" s="88"/>
      <c r="D11" s="88"/>
      <c r="E11" s="88"/>
      <c r="F11" s="88"/>
      <c r="G11" s="153"/>
      <c r="H11" s="153"/>
      <c r="I11" s="88"/>
      <c r="J11" s="33"/>
      <c r="K11" s="33"/>
      <c r="L11" s="88"/>
      <c r="M11" s="88"/>
      <c r="N11" s="153"/>
      <c r="O11" s="153"/>
      <c r="P11" s="88"/>
      <c r="Q11" s="88"/>
      <c r="R11" s="88"/>
      <c r="S11" s="88"/>
      <c r="T11" s="88"/>
      <c r="U11" s="153" t="s">
        <v>5</v>
      </c>
      <c r="V11" s="153" t="s">
        <v>5</v>
      </c>
      <c r="W11" s="88"/>
      <c r="X11" s="88"/>
      <c r="Y11" s="88"/>
      <c r="Z11" s="88"/>
      <c r="AA11" s="88"/>
      <c r="AB11" s="153"/>
      <c r="AC11" s="153"/>
      <c r="AD11" s="88"/>
      <c r="AE11" s="88"/>
      <c r="AF11" s="88"/>
      <c r="AG11" s="88"/>
      <c r="AH11" s="3"/>
      <c r="AI11" s="3">
        <f t="shared" si="2"/>
        <v>0</v>
      </c>
      <c r="AJ11" s="3">
        <f t="shared" si="3"/>
        <v>2</v>
      </c>
      <c r="AK11" s="3">
        <f t="shared" si="4"/>
        <v>0</v>
      </c>
      <c r="AL11" s="3">
        <f t="array" ref="AL11">SUMPRODUCT(($C$4:$AG$4=6)*(C11:AG11="off"))</f>
        <v>0</v>
      </c>
      <c r="AM11" s="3"/>
    </row>
    <row r="12" spans="1:40" ht="21.5">
      <c r="A12" t="s">
        <v>341</v>
      </c>
      <c r="B12" s="6" t="s">
        <v>51</v>
      </c>
      <c r="C12" s="33" t="s">
        <v>335</v>
      </c>
      <c r="D12" s="88" t="s">
        <v>3</v>
      </c>
      <c r="E12" s="88"/>
      <c r="F12" s="88" t="s">
        <v>4</v>
      </c>
      <c r="G12" s="153"/>
      <c r="H12" s="153" t="s">
        <v>3</v>
      </c>
      <c r="I12" s="33" t="s">
        <v>10</v>
      </c>
      <c r="J12" s="33" t="s">
        <v>10</v>
      </c>
      <c r="K12" s="83"/>
      <c r="L12" s="88"/>
      <c r="M12" s="88"/>
      <c r="N12" s="208"/>
      <c r="O12" s="208" t="s">
        <v>2</v>
      </c>
      <c r="P12" s="33" t="s">
        <v>4</v>
      </c>
      <c r="Q12" s="33" t="s">
        <v>4</v>
      </c>
      <c r="R12" s="33" t="s">
        <v>4</v>
      </c>
      <c r="S12" s="88"/>
      <c r="T12" s="88"/>
      <c r="U12" s="153" t="s">
        <v>5</v>
      </c>
      <c r="V12" s="153" t="s">
        <v>5</v>
      </c>
      <c r="W12" s="33" t="s">
        <v>10</v>
      </c>
      <c r="X12" s="33" t="s">
        <v>10</v>
      </c>
      <c r="Y12" s="83"/>
      <c r="Z12" s="88"/>
      <c r="AA12" s="33" t="s">
        <v>4</v>
      </c>
      <c r="AB12" s="208" t="s">
        <v>4</v>
      </c>
      <c r="AC12" s="208" t="s">
        <v>4</v>
      </c>
      <c r="AD12" s="33" t="s">
        <v>2</v>
      </c>
      <c r="AE12" s="33" t="s">
        <v>2</v>
      </c>
      <c r="AF12" s="83" t="s">
        <v>5</v>
      </c>
      <c r="AG12" s="83" t="s">
        <v>5</v>
      </c>
      <c r="AH12" s="3"/>
      <c r="AI12" s="3">
        <f t="shared" si="2"/>
        <v>2</v>
      </c>
      <c r="AJ12" s="3">
        <f t="shared" si="3"/>
        <v>4</v>
      </c>
      <c r="AK12" s="3">
        <f t="shared" si="4"/>
        <v>14</v>
      </c>
      <c r="AL12" s="3">
        <f t="array" ref="AL12">SUMPRODUCT(($C$4:$AG$4=6)*(C12:AG12="off"))</f>
        <v>1</v>
      </c>
      <c r="AM12" s="3"/>
    </row>
    <row r="13" spans="1:40" ht="21.5">
      <c r="A13" t="s">
        <v>342</v>
      </c>
      <c r="B13" s="6" t="s">
        <v>310</v>
      </c>
      <c r="C13" s="88"/>
      <c r="D13" s="88"/>
      <c r="E13" s="88" t="s">
        <v>5</v>
      </c>
      <c r="F13" s="88" t="s">
        <v>5</v>
      </c>
      <c r="G13" s="153" t="s">
        <v>4</v>
      </c>
      <c r="H13" s="238" t="s">
        <v>4</v>
      </c>
      <c r="I13" s="33" t="s">
        <v>332</v>
      </c>
      <c r="J13" s="33"/>
      <c r="K13" s="247" t="s">
        <v>4</v>
      </c>
      <c r="L13" s="33" t="s">
        <v>332</v>
      </c>
      <c r="M13" s="83"/>
      <c r="N13" s="208" t="s">
        <v>2</v>
      </c>
      <c r="O13" s="166" t="s">
        <v>4</v>
      </c>
      <c r="P13" s="83" t="s">
        <v>4</v>
      </c>
      <c r="Q13" s="62" t="s">
        <v>4</v>
      </c>
      <c r="R13" s="62" t="s">
        <v>4</v>
      </c>
      <c r="S13" s="88" t="s">
        <v>4</v>
      </c>
      <c r="T13" s="88" t="s">
        <v>4</v>
      </c>
      <c r="U13" s="153"/>
      <c r="V13" s="153" t="s">
        <v>4</v>
      </c>
      <c r="W13" s="33" t="s">
        <v>332</v>
      </c>
      <c r="X13" s="83" t="s">
        <v>5</v>
      </c>
      <c r="Y13" s="83" t="s">
        <v>5</v>
      </c>
      <c r="Z13" s="246" t="s">
        <v>4</v>
      </c>
      <c r="AA13" s="88"/>
      <c r="AB13" s="153"/>
      <c r="AC13" s="153" t="s">
        <v>3</v>
      </c>
      <c r="AD13" s="33" t="s">
        <v>332</v>
      </c>
      <c r="AE13" s="88" t="s">
        <v>3</v>
      </c>
      <c r="AF13" s="88" t="s">
        <v>4</v>
      </c>
      <c r="AG13" s="88"/>
      <c r="AH13" s="3"/>
      <c r="AI13" s="3">
        <f t="shared" si="2"/>
        <v>2</v>
      </c>
      <c r="AJ13" s="3">
        <f t="shared" si="3"/>
        <v>4</v>
      </c>
      <c r="AK13" s="3">
        <f t="shared" si="4"/>
        <v>13</v>
      </c>
      <c r="AL13" s="3">
        <f t="array" ref="AL13">SUMPRODUCT(($C$4:$AG$4=6)*(C13:AG13="off"))</f>
        <v>2</v>
      </c>
      <c r="AM13" s="3"/>
    </row>
    <row r="14" spans="1:40" ht="21.5">
      <c r="A14" t="s">
        <v>343</v>
      </c>
      <c r="B14" s="6" t="s">
        <v>311</v>
      </c>
      <c r="C14" s="33" t="s">
        <v>4</v>
      </c>
      <c r="D14" s="33" t="s">
        <v>4</v>
      </c>
      <c r="E14" s="33" t="s">
        <v>4</v>
      </c>
      <c r="F14" s="33" t="s">
        <v>4</v>
      </c>
      <c r="G14" s="208" t="s">
        <v>4</v>
      </c>
      <c r="H14" s="208" t="s">
        <v>4</v>
      </c>
      <c r="I14" s="83" t="s">
        <v>5</v>
      </c>
      <c r="J14" s="83" t="s">
        <v>4</v>
      </c>
      <c r="K14" s="33" t="s">
        <v>333</v>
      </c>
      <c r="L14" s="62"/>
      <c r="M14" s="83" t="s">
        <v>3</v>
      </c>
      <c r="N14" s="208"/>
      <c r="O14" s="166" t="s">
        <v>3</v>
      </c>
      <c r="P14" s="88" t="s">
        <v>4</v>
      </c>
      <c r="R14" s="33" t="s">
        <v>333</v>
      </c>
      <c r="S14" s="88"/>
      <c r="T14" s="88" t="s">
        <v>3</v>
      </c>
      <c r="U14" s="153"/>
      <c r="V14" s="153" t="s">
        <v>4</v>
      </c>
      <c r="W14" s="62" t="s">
        <v>5</v>
      </c>
      <c r="X14" s="33" t="s">
        <v>4</v>
      </c>
      <c r="Y14" s="33" t="s">
        <v>333</v>
      </c>
      <c r="Z14" s="88" t="s">
        <v>5</v>
      </c>
      <c r="AA14" s="88" t="s">
        <v>4</v>
      </c>
      <c r="AB14" s="153"/>
      <c r="AC14" s="153" t="s">
        <v>4</v>
      </c>
      <c r="AD14" s="88"/>
      <c r="AE14" s="88" t="s">
        <v>5</v>
      </c>
      <c r="AF14" s="83" t="s">
        <v>4</v>
      </c>
      <c r="AG14" s="33" t="s">
        <v>333</v>
      </c>
      <c r="AH14" s="3"/>
      <c r="AI14" s="3">
        <f t="shared" si="2"/>
        <v>3</v>
      </c>
      <c r="AJ14" s="3">
        <f t="shared" si="3"/>
        <v>4</v>
      </c>
      <c r="AK14" s="3">
        <f t="shared" si="4"/>
        <v>13</v>
      </c>
      <c r="AL14" s="3">
        <f t="array" ref="AL14">SUMPRODUCT(($C$4:$AG$4=6)*(C14:AG14="off"))</f>
        <v>1</v>
      </c>
      <c r="AM14" s="3"/>
    </row>
    <row r="15" spans="1:40" ht="21.5">
      <c r="A15" t="s">
        <v>342</v>
      </c>
      <c r="B15" s="6" t="s">
        <v>312</v>
      </c>
      <c r="C15" s="88"/>
      <c r="D15" s="88"/>
      <c r="E15" s="88" t="s">
        <v>4</v>
      </c>
      <c r="F15" s="88"/>
      <c r="G15" s="153"/>
      <c r="H15" s="238" t="s">
        <v>4</v>
      </c>
      <c r="I15" s="33" t="s">
        <v>2</v>
      </c>
      <c r="J15" s="33" t="s">
        <v>2</v>
      </c>
      <c r="K15" s="33" t="s">
        <v>2</v>
      </c>
      <c r="L15" s="33" t="s">
        <v>2</v>
      </c>
      <c r="M15" s="83" t="s">
        <v>4</v>
      </c>
      <c r="N15" s="208"/>
      <c r="O15" s="238" t="s">
        <v>10</v>
      </c>
      <c r="P15" s="88"/>
      <c r="Q15" s="88"/>
      <c r="R15" s="83" t="s">
        <v>5</v>
      </c>
      <c r="S15" s="88" t="s">
        <v>5</v>
      </c>
      <c r="T15" s="88" t="s">
        <v>5</v>
      </c>
      <c r="U15" s="153" t="s">
        <v>4</v>
      </c>
      <c r="V15" s="166" t="s">
        <v>3</v>
      </c>
      <c r="W15" s="88"/>
      <c r="X15" s="83" t="s">
        <v>3</v>
      </c>
      <c r="Y15" s="83" t="s">
        <v>4</v>
      </c>
      <c r="Z15" s="88"/>
      <c r="AA15" s="33" t="s">
        <v>316</v>
      </c>
      <c r="AB15" s="208" t="s">
        <v>2</v>
      </c>
      <c r="AC15" s="208" t="s">
        <v>2</v>
      </c>
      <c r="AD15" s="33" t="s">
        <v>2</v>
      </c>
      <c r="AE15" s="88"/>
      <c r="AF15" s="88"/>
      <c r="AG15" s="88" t="s">
        <v>4</v>
      </c>
      <c r="AH15" s="3"/>
      <c r="AI15" s="3">
        <f t="shared" si="2"/>
        <v>2</v>
      </c>
      <c r="AJ15" s="3">
        <f t="shared" si="3"/>
        <v>3</v>
      </c>
      <c r="AK15" s="3">
        <f t="shared" si="4"/>
        <v>14</v>
      </c>
      <c r="AL15" s="3">
        <f t="array" ref="AL15">SUMPRODUCT(($C$4:$AG$4=6)*(C15:AG15="off"))</f>
        <v>2</v>
      </c>
      <c r="AM15" s="3"/>
    </row>
    <row r="16" spans="1:40" s="239" customFormat="1" ht="21.5">
      <c r="B16" s="240" t="s">
        <v>277</v>
      </c>
      <c r="C16" s="206">
        <v>3</v>
      </c>
      <c r="D16" s="206">
        <v>3</v>
      </c>
      <c r="E16" s="206">
        <v>3</v>
      </c>
      <c r="F16" s="206">
        <v>3</v>
      </c>
      <c r="G16" s="206">
        <v>3</v>
      </c>
      <c r="H16" s="206">
        <v>6</v>
      </c>
      <c r="I16" s="206">
        <v>3</v>
      </c>
      <c r="J16" s="206">
        <v>3</v>
      </c>
      <c r="K16" s="206">
        <v>3</v>
      </c>
      <c r="L16" s="206">
        <v>3</v>
      </c>
      <c r="M16" s="206">
        <v>3</v>
      </c>
      <c r="N16" s="206">
        <v>3</v>
      </c>
      <c r="O16" s="206">
        <v>6</v>
      </c>
      <c r="P16" s="206">
        <v>3</v>
      </c>
      <c r="Q16" s="206">
        <v>3</v>
      </c>
      <c r="R16" s="206">
        <v>3</v>
      </c>
      <c r="S16" s="206">
        <f>SUM(C16:R16)</f>
        <v>54</v>
      </c>
      <c r="T16" s="206"/>
      <c r="U16" s="206"/>
      <c r="V16" s="241"/>
      <c r="W16" s="206"/>
      <c r="X16" s="206"/>
      <c r="Y16" s="206"/>
      <c r="Z16" s="206"/>
      <c r="AA16" s="206"/>
      <c r="AB16" s="206"/>
      <c r="AC16" s="206"/>
      <c r="AD16" s="206"/>
      <c r="AE16" s="206"/>
      <c r="AF16" s="206"/>
      <c r="AG16" s="206"/>
      <c r="AH16" s="242"/>
      <c r="AI16" s="242"/>
      <c r="AJ16" s="242"/>
      <c r="AK16" s="242">
        <f>SUM(AK5:AK15)</f>
        <v>105</v>
      </c>
      <c r="AL16" s="242">
        <f>SUM(AL5:AL15)</f>
        <v>12</v>
      </c>
      <c r="AM16" s="242"/>
      <c r="AN16" s="243"/>
    </row>
    <row r="17" spans="2:41" ht="21.5">
      <c r="B17" s="6"/>
      <c r="C17" s="173"/>
      <c r="D17" s="173"/>
      <c r="E17" s="173"/>
      <c r="F17" s="173"/>
      <c r="G17" s="207"/>
      <c r="H17" s="207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2">
        <v>3</v>
      </c>
      <c r="T17" s="172">
        <v>3</v>
      </c>
      <c r="U17" s="209">
        <v>3</v>
      </c>
      <c r="V17" s="209">
        <v>6</v>
      </c>
      <c r="W17" s="172">
        <v>3</v>
      </c>
      <c r="X17" s="172">
        <v>3</v>
      </c>
      <c r="Y17" s="172">
        <v>3</v>
      </c>
      <c r="Z17" s="172">
        <v>3</v>
      </c>
      <c r="AA17" s="172">
        <v>3</v>
      </c>
      <c r="AB17" s="209">
        <v>3</v>
      </c>
      <c r="AC17" s="209">
        <v>6</v>
      </c>
      <c r="AD17" s="172">
        <v>3</v>
      </c>
      <c r="AE17" s="172">
        <v>3</v>
      </c>
      <c r="AF17" s="172">
        <v>3</v>
      </c>
      <c r="AG17" s="172">
        <v>3</v>
      </c>
      <c r="AH17" s="3">
        <f>SUM(S17:AG17)</f>
        <v>51</v>
      </c>
      <c r="AI17" s="3"/>
      <c r="AJ17" s="3"/>
      <c r="AK17" s="3"/>
      <c r="AL17" s="3"/>
      <c r="AM17" s="3"/>
      <c r="AN17" s="174"/>
    </row>
    <row r="18" spans="2:41" ht="25.5" customHeight="1">
      <c r="B18" s="93"/>
      <c r="C18" s="4"/>
      <c r="D18" s="91"/>
      <c r="E18" s="91"/>
      <c r="F18" s="4"/>
      <c r="G18" s="91"/>
      <c r="H18" s="91"/>
      <c r="I18" s="4"/>
      <c r="J18" s="4"/>
      <c r="K18" s="12"/>
      <c r="L18" s="4"/>
      <c r="AH18" s="12"/>
      <c r="AI18" s="12"/>
      <c r="AJ18" s="12"/>
      <c r="AK18" s="12"/>
      <c r="AL18" s="12"/>
      <c r="AM18" s="12"/>
    </row>
    <row r="19" spans="2:41" ht="22" thickBot="1">
      <c r="B19" s="4"/>
      <c r="C19" s="4"/>
      <c r="D19" s="91"/>
      <c r="E19" s="91"/>
      <c r="F19" s="4"/>
      <c r="G19" s="91"/>
      <c r="H19" s="91"/>
      <c r="I19" s="4"/>
      <c r="J19" s="4"/>
      <c r="K19" s="12"/>
      <c r="L19" s="4"/>
      <c r="AH19" s="245"/>
    </row>
    <row r="20" spans="2:41" ht="22" thickBot="1">
      <c r="B20" s="4"/>
      <c r="C20" s="36">
        <v>1</v>
      </c>
      <c r="D20" s="423" t="s">
        <v>173</v>
      </c>
      <c r="E20" s="423"/>
      <c r="F20" s="440" t="s">
        <v>9</v>
      </c>
      <c r="G20" s="441"/>
      <c r="H20" s="210" t="s">
        <v>52</v>
      </c>
      <c r="I20" s="211"/>
      <c r="J20" s="211"/>
      <c r="K20" s="212">
        <f>K21+K22</f>
        <v>4</v>
      </c>
      <c r="L20" s="210" t="s">
        <v>53</v>
      </c>
      <c r="M20" s="210" t="s">
        <v>54</v>
      </c>
      <c r="N20" s="210"/>
      <c r="O20" s="210"/>
      <c r="P20" s="210"/>
      <c r="Q20" s="210"/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  <c r="AD20" s="211"/>
      <c r="AE20" s="214" t="s">
        <v>255</v>
      </c>
      <c r="AF20" s="215" t="s">
        <v>353</v>
      </c>
      <c r="AG20" t="s">
        <v>354</v>
      </c>
      <c r="AK20" s="211" t="s">
        <v>4</v>
      </c>
      <c r="AL20" s="216" t="s">
        <v>55</v>
      </c>
      <c r="AM20" s="217" t="s">
        <v>56</v>
      </c>
      <c r="AN20" s="39" t="s">
        <v>9</v>
      </c>
      <c r="AO20" s="92" t="s">
        <v>57</v>
      </c>
    </row>
    <row r="21" spans="2:41" ht="22" thickBot="1">
      <c r="B21" s="4"/>
      <c r="C21" s="36">
        <v>2</v>
      </c>
      <c r="D21" s="423" t="s">
        <v>30</v>
      </c>
      <c r="E21" s="423"/>
      <c r="F21" s="440" t="s">
        <v>45</v>
      </c>
      <c r="G21" s="441"/>
      <c r="H21" s="218"/>
      <c r="I21" s="210" t="s">
        <v>59</v>
      </c>
      <c r="J21" s="210"/>
      <c r="K21" s="212">
        <v>2</v>
      </c>
      <c r="L21" s="211"/>
      <c r="M21" s="210" t="s">
        <v>60</v>
      </c>
      <c r="N21" s="210"/>
      <c r="O21" s="210"/>
      <c r="P21" s="210"/>
      <c r="Q21" s="210"/>
      <c r="R21" s="226" t="s">
        <v>347</v>
      </c>
      <c r="S21" s="211"/>
      <c r="T21" s="213"/>
      <c r="U21" s="213"/>
      <c r="V21" s="213"/>
      <c r="W21" s="211"/>
      <c r="X21" s="6" t="s">
        <v>9</v>
      </c>
      <c r="Y21" s="78" t="s">
        <v>20</v>
      </c>
      <c r="Z21" s="78" t="s">
        <v>3</v>
      </c>
      <c r="AA21" s="219">
        <v>4</v>
      </c>
      <c r="AB21" s="78" t="s">
        <v>5</v>
      </c>
      <c r="AC21" s="219">
        <v>4</v>
      </c>
      <c r="AD21" s="236" t="s">
        <v>351</v>
      </c>
      <c r="AE21" s="176">
        <v>13</v>
      </c>
      <c r="AF21" s="177">
        <v>2</v>
      </c>
      <c r="AG21" s="91">
        <v>2</v>
      </c>
      <c r="AJ21" s="211" t="s">
        <v>3</v>
      </c>
      <c r="AK21" s="220" t="s">
        <v>61</v>
      </c>
      <c r="AL21" s="221" t="s">
        <v>62</v>
      </c>
      <c r="AM21" s="92" t="s">
        <v>45</v>
      </c>
      <c r="AN21" s="92" t="s">
        <v>63</v>
      </c>
      <c r="AO21" t="s">
        <v>58</v>
      </c>
    </row>
    <row r="22" spans="2:41" ht="22" thickBot="1">
      <c r="B22" s="4"/>
      <c r="C22" s="36">
        <v>3</v>
      </c>
      <c r="D22" s="423" t="s">
        <v>31</v>
      </c>
      <c r="E22" s="423"/>
      <c r="F22" s="440" t="s">
        <v>17</v>
      </c>
      <c r="G22" s="441"/>
      <c r="H22" s="218"/>
      <c r="I22" s="210" t="s">
        <v>65</v>
      </c>
      <c r="J22" s="211"/>
      <c r="K22" s="212">
        <v>2</v>
      </c>
      <c r="L22" s="211"/>
      <c r="M22" s="210" t="s">
        <v>66</v>
      </c>
      <c r="N22" s="210"/>
      <c r="O22" s="210"/>
      <c r="P22" s="210"/>
      <c r="Q22" s="210"/>
      <c r="R22" s="210" t="s">
        <v>346</v>
      </c>
      <c r="S22" s="211"/>
      <c r="T22" s="213"/>
      <c r="U22" s="213"/>
      <c r="V22" s="213"/>
      <c r="W22" s="211"/>
      <c r="X22" s="6" t="s">
        <v>45</v>
      </c>
      <c r="Y22" s="78" t="s">
        <v>21</v>
      </c>
      <c r="Z22" s="78" t="s">
        <v>3</v>
      </c>
      <c r="AA22" s="176">
        <v>4</v>
      </c>
      <c r="AB22" s="78" t="s">
        <v>5</v>
      </c>
      <c r="AC22" s="176">
        <v>4</v>
      </c>
      <c r="AD22" s="78"/>
      <c r="AE22" s="200">
        <v>13</v>
      </c>
      <c r="AF22" s="176">
        <v>2</v>
      </c>
      <c r="AG22" s="78">
        <v>1</v>
      </c>
      <c r="AJ22" s="211" t="s">
        <v>5</v>
      </c>
      <c r="AK22" s="220" t="s">
        <v>67</v>
      </c>
      <c r="AL22" s="221" t="s">
        <v>56</v>
      </c>
      <c r="AM22" s="92" t="s">
        <v>17</v>
      </c>
      <c r="AN22" s="92" t="s">
        <v>68</v>
      </c>
      <c r="AO22" t="s">
        <v>64</v>
      </c>
    </row>
    <row r="23" spans="2:41" ht="21.5">
      <c r="B23" s="4"/>
      <c r="C23" s="36">
        <v>4</v>
      </c>
      <c r="D23" s="423" t="s">
        <v>30</v>
      </c>
      <c r="E23" s="423"/>
      <c r="F23" s="440" t="s">
        <v>46</v>
      </c>
      <c r="G23" s="441"/>
      <c r="H23" s="211"/>
      <c r="I23" s="211"/>
      <c r="J23" s="211"/>
      <c r="K23" s="211"/>
      <c r="L23" s="211"/>
      <c r="M23" s="210" t="s">
        <v>70</v>
      </c>
      <c r="N23" s="210"/>
      <c r="O23" s="210"/>
      <c r="P23" s="210"/>
      <c r="Q23" s="210"/>
      <c r="R23" s="210"/>
      <c r="S23" s="211"/>
      <c r="T23" s="213"/>
      <c r="U23" s="213"/>
      <c r="V23" s="213"/>
      <c r="W23" s="211"/>
      <c r="X23" s="6" t="s">
        <v>17</v>
      </c>
      <c r="Y23" s="78" t="s">
        <v>22</v>
      </c>
      <c r="Z23" s="78" t="s">
        <v>3</v>
      </c>
      <c r="AA23" s="200">
        <v>8</v>
      </c>
      <c r="AB23" s="232" t="s">
        <v>5</v>
      </c>
      <c r="AC23" s="233">
        <v>0</v>
      </c>
      <c r="AD23" s="78"/>
      <c r="AE23" s="176">
        <v>6</v>
      </c>
      <c r="AF23" s="176">
        <v>2</v>
      </c>
      <c r="AG23" s="78">
        <v>1</v>
      </c>
      <c r="AJ23" s="211" t="s">
        <v>40</v>
      </c>
      <c r="AK23" s="220" t="s">
        <v>71</v>
      </c>
      <c r="AL23" s="221" t="s">
        <v>72</v>
      </c>
      <c r="AM23" s="92" t="s">
        <v>46</v>
      </c>
      <c r="AN23" s="92" t="s">
        <v>73</v>
      </c>
      <c r="AO23" t="s">
        <v>69</v>
      </c>
    </row>
    <row r="24" spans="2:41" ht="21.5">
      <c r="B24" s="4"/>
      <c r="C24" s="36">
        <v>5</v>
      </c>
      <c r="D24" s="423" t="s">
        <v>192</v>
      </c>
      <c r="E24" s="423"/>
      <c r="F24" s="440" t="s">
        <v>12</v>
      </c>
      <c r="G24" s="441"/>
      <c r="H24" s="218"/>
      <c r="I24" s="223"/>
      <c r="J24" s="223"/>
      <c r="K24" s="223"/>
      <c r="L24" s="223" t="s">
        <v>344</v>
      </c>
      <c r="M24" s="210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6" t="s">
        <v>46</v>
      </c>
      <c r="Y24" s="78" t="s">
        <v>3</v>
      </c>
      <c r="Z24" s="78" t="s">
        <v>3</v>
      </c>
      <c r="AA24" s="200">
        <v>4</v>
      </c>
      <c r="AB24" s="78" t="s">
        <v>5</v>
      </c>
      <c r="AC24" s="200">
        <v>4</v>
      </c>
      <c r="AD24" s="78"/>
      <c r="AE24" s="176">
        <v>7</v>
      </c>
      <c r="AF24" s="176">
        <v>1</v>
      </c>
      <c r="AG24" s="78">
        <v>0</v>
      </c>
      <c r="AJ24" s="211" t="s">
        <v>80</v>
      </c>
      <c r="AK24" s="220"/>
      <c r="AL24" s="224"/>
      <c r="AM24" s="92" t="s">
        <v>12</v>
      </c>
      <c r="AN24" s="92" t="s">
        <v>81</v>
      </c>
      <c r="AO24" t="s">
        <v>74</v>
      </c>
    </row>
    <row r="25" spans="2:41" ht="21.5">
      <c r="B25" s="4"/>
      <c r="C25" s="36"/>
      <c r="D25" s="423"/>
      <c r="E25" s="423"/>
      <c r="F25" s="213"/>
      <c r="G25" s="249"/>
      <c r="H25" s="218"/>
      <c r="I25" s="211"/>
      <c r="J25" s="211"/>
      <c r="K25" s="211"/>
      <c r="L25" s="211" t="s">
        <v>345</v>
      </c>
      <c r="M25" s="211"/>
      <c r="N25" s="213"/>
      <c r="O25" s="213"/>
      <c r="P25" s="213"/>
      <c r="Q25" s="213"/>
      <c r="R25" s="213"/>
      <c r="S25" s="213"/>
      <c r="T25" s="213"/>
      <c r="U25" s="213" t="s">
        <v>349</v>
      </c>
      <c r="V25" s="213" t="s">
        <v>348</v>
      </c>
      <c r="W25" s="213"/>
      <c r="X25" s="6" t="s">
        <v>12</v>
      </c>
      <c r="Y25" s="78" t="s">
        <v>23</v>
      </c>
      <c r="Z25" s="78" t="s">
        <v>3</v>
      </c>
      <c r="AA25" s="176">
        <v>2</v>
      </c>
      <c r="AB25" s="78" t="s">
        <v>5</v>
      </c>
      <c r="AC25" s="176">
        <v>4</v>
      </c>
      <c r="AD25" s="78"/>
      <c r="AE25" s="176">
        <v>13</v>
      </c>
      <c r="AF25" s="176">
        <v>1</v>
      </c>
      <c r="AG25" s="78">
        <v>2</v>
      </c>
      <c r="AH25" t="s">
        <v>352</v>
      </c>
      <c r="AJ25" s="211" t="s">
        <v>85</v>
      </c>
      <c r="AK25" s="220" t="s">
        <v>83</v>
      </c>
      <c r="AL25" s="221" t="s">
        <v>84</v>
      </c>
      <c r="AM25" s="92" t="s">
        <v>49</v>
      </c>
      <c r="AN25" s="92" t="s">
        <v>86</v>
      </c>
    </row>
    <row r="26" spans="2:41" ht="21.5">
      <c r="B26" s="4"/>
      <c r="C26" s="36"/>
      <c r="D26" s="423"/>
      <c r="E26" s="423"/>
      <c r="F26" s="213"/>
      <c r="G26" s="249"/>
      <c r="H26" s="218"/>
      <c r="I26" s="211"/>
      <c r="J26" s="211"/>
      <c r="K26" s="211"/>
      <c r="L26" s="211"/>
      <c r="M26" s="211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6" t="s">
        <v>303</v>
      </c>
      <c r="Y26" s="78" t="s">
        <v>24</v>
      </c>
      <c r="Z26" s="222"/>
      <c r="AA26" s="222"/>
      <c r="AB26" s="222"/>
      <c r="AC26" s="234"/>
      <c r="AD26" s="78"/>
      <c r="AE26" s="222"/>
      <c r="AF26" s="222"/>
      <c r="AJ26" s="211" t="s">
        <v>205</v>
      </c>
      <c r="AK26" s="213" t="s">
        <v>89</v>
      </c>
      <c r="AL26" s="221" t="s">
        <v>90</v>
      </c>
      <c r="AM26" s="92" t="s">
        <v>50</v>
      </c>
      <c r="AN26" s="92" t="s">
        <v>92</v>
      </c>
    </row>
    <row r="27" spans="2:41" ht="21.5">
      <c r="C27" s="36">
        <v>6</v>
      </c>
      <c r="D27" s="423" t="s">
        <v>30</v>
      </c>
      <c r="E27" s="423"/>
      <c r="F27" s="440" t="s">
        <v>51</v>
      </c>
      <c r="G27" s="441"/>
      <c r="H27" s="218"/>
      <c r="I27" s="210"/>
      <c r="J27" s="210"/>
      <c r="K27" s="210"/>
      <c r="L27" s="210"/>
      <c r="M27" s="210" t="s">
        <v>93</v>
      </c>
      <c r="N27" s="210"/>
      <c r="O27" s="211"/>
      <c r="P27" s="210" t="s">
        <v>350</v>
      </c>
      <c r="Q27" s="211"/>
      <c r="R27" s="225"/>
      <c r="S27" s="211"/>
      <c r="T27" s="226"/>
      <c r="U27" s="213"/>
      <c r="V27" s="213"/>
      <c r="W27" s="213"/>
      <c r="X27" s="6" t="s">
        <v>269</v>
      </c>
      <c r="Y27" s="78" t="s">
        <v>25</v>
      </c>
      <c r="Z27" s="222"/>
      <c r="AA27" s="222"/>
      <c r="AB27" s="222"/>
      <c r="AC27" s="234"/>
      <c r="AD27" s="78"/>
      <c r="AE27" s="222"/>
      <c r="AF27" s="222"/>
      <c r="AJ27" s="211" t="s">
        <v>211</v>
      </c>
      <c r="AK27" s="220" t="s">
        <v>94</v>
      </c>
      <c r="AL27" s="221" t="s">
        <v>95</v>
      </c>
      <c r="AM27" s="92" t="s">
        <v>51</v>
      </c>
      <c r="AN27" s="92" t="s">
        <v>98</v>
      </c>
    </row>
    <row r="28" spans="2:41" ht="21.5">
      <c r="C28" s="36">
        <v>7</v>
      </c>
      <c r="D28" s="423" t="s">
        <v>30</v>
      </c>
      <c r="E28" s="423"/>
      <c r="F28" s="440" t="s">
        <v>310</v>
      </c>
      <c r="G28" s="44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6" t="s">
        <v>51</v>
      </c>
      <c r="Y28" s="78" t="s">
        <v>11</v>
      </c>
      <c r="Z28" s="176" t="s">
        <v>3</v>
      </c>
      <c r="AA28" s="200">
        <v>2</v>
      </c>
      <c r="AB28" s="176" t="s">
        <v>5</v>
      </c>
      <c r="AC28" s="200">
        <v>4</v>
      </c>
      <c r="AD28" s="78"/>
      <c r="AE28" s="235">
        <v>13</v>
      </c>
      <c r="AF28" s="200">
        <v>1</v>
      </c>
      <c r="AG28" s="78">
        <v>1</v>
      </c>
      <c r="AJ28" s="211" t="s">
        <v>214</v>
      </c>
      <c r="AK28" s="211"/>
      <c r="AL28" s="224" t="s">
        <v>307</v>
      </c>
      <c r="AM28" t="s">
        <v>310</v>
      </c>
    </row>
    <row r="29" spans="2:41" ht="21.5">
      <c r="C29" s="36">
        <v>8</v>
      </c>
      <c r="D29" s="423" t="s">
        <v>30</v>
      </c>
      <c r="E29" s="423"/>
      <c r="F29" s="440" t="s">
        <v>311</v>
      </c>
      <c r="G29" s="441"/>
      <c r="H29" s="211"/>
      <c r="I29" s="211"/>
      <c r="J29" s="211"/>
      <c r="K29" s="211"/>
      <c r="L29" s="211"/>
      <c r="M29" s="211"/>
      <c r="N29" s="228"/>
      <c r="O29" s="443" t="s">
        <v>234</v>
      </c>
      <c r="P29" s="443"/>
      <c r="Q29" s="443"/>
      <c r="R29" s="443"/>
      <c r="S29" s="443"/>
      <c r="T29" s="211"/>
      <c r="U29" s="211"/>
      <c r="V29" s="211"/>
      <c r="W29" s="211"/>
      <c r="X29" s="6" t="s">
        <v>310</v>
      </c>
      <c r="Y29" s="78" t="s">
        <v>307</v>
      </c>
      <c r="Z29" s="176" t="s">
        <v>3</v>
      </c>
      <c r="AA29" s="200">
        <v>2</v>
      </c>
      <c r="AB29" s="176" t="s">
        <v>5</v>
      </c>
      <c r="AC29" s="200">
        <v>4</v>
      </c>
      <c r="AD29" s="211"/>
      <c r="AE29" s="235">
        <v>13</v>
      </c>
      <c r="AF29" s="227">
        <v>1</v>
      </c>
      <c r="AG29" s="78">
        <v>2</v>
      </c>
      <c r="AJ29" s="211" t="s">
        <v>215</v>
      </c>
      <c r="AK29" s="211"/>
      <c r="AL29" s="224" t="s">
        <v>308</v>
      </c>
      <c r="AM29" s="181" t="s">
        <v>311</v>
      </c>
    </row>
    <row r="30" spans="2:41" ht="27.75" customHeight="1">
      <c r="C30" s="36">
        <v>9</v>
      </c>
      <c r="D30" s="423" t="s">
        <v>30</v>
      </c>
      <c r="E30" s="423"/>
      <c r="F30" s="440" t="s">
        <v>312</v>
      </c>
      <c r="G30" s="441"/>
      <c r="H30" s="211"/>
      <c r="I30" s="211"/>
      <c r="J30" s="211"/>
      <c r="K30" s="211"/>
      <c r="L30" s="211"/>
      <c r="M30" s="211"/>
      <c r="N30" s="229"/>
      <c r="O30" s="230" t="s">
        <v>253</v>
      </c>
      <c r="P30" s="230"/>
      <c r="Q30" s="230"/>
      <c r="R30" s="230"/>
      <c r="S30" s="230"/>
      <c r="T30" s="211"/>
      <c r="U30" s="211"/>
      <c r="V30" s="211"/>
      <c r="W30" s="211"/>
      <c r="X30" s="6" t="s">
        <v>311</v>
      </c>
      <c r="Y30" s="78" t="s">
        <v>308</v>
      </c>
      <c r="Z30" s="176" t="s">
        <v>3</v>
      </c>
      <c r="AA30" s="200">
        <v>2</v>
      </c>
      <c r="AB30" s="176" t="s">
        <v>5</v>
      </c>
      <c r="AC30" s="200">
        <v>4</v>
      </c>
      <c r="AD30" s="211"/>
      <c r="AE30" s="235">
        <v>13</v>
      </c>
      <c r="AF30" s="227">
        <v>1</v>
      </c>
      <c r="AG30" s="78">
        <v>1</v>
      </c>
      <c r="AJ30" s="211" t="s">
        <v>102</v>
      </c>
      <c r="AK30" s="211"/>
      <c r="AL30" s="224" t="s">
        <v>309</v>
      </c>
      <c r="AM30" s="181" t="s">
        <v>312</v>
      </c>
    </row>
    <row r="31" spans="2:41" ht="21.5"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31"/>
      <c r="O31" s="442" t="s">
        <v>257</v>
      </c>
      <c r="P31" s="442"/>
      <c r="Q31" s="442"/>
      <c r="R31" s="442"/>
      <c r="S31" s="442"/>
      <c r="T31" s="211"/>
      <c r="U31" s="211"/>
      <c r="V31" s="211"/>
      <c r="W31" s="211"/>
      <c r="X31" s="6" t="s">
        <v>312</v>
      </c>
      <c r="Y31" s="78" t="s">
        <v>309</v>
      </c>
      <c r="Z31" s="176" t="s">
        <v>3</v>
      </c>
      <c r="AA31" s="200">
        <v>3</v>
      </c>
      <c r="AB31" s="176" t="s">
        <v>5</v>
      </c>
      <c r="AC31" s="200">
        <v>3</v>
      </c>
      <c r="AD31" s="211"/>
      <c r="AE31" s="237">
        <v>14</v>
      </c>
      <c r="AF31" s="227">
        <v>1</v>
      </c>
      <c r="AG31" s="78">
        <v>2</v>
      </c>
      <c r="AJ31" s="211"/>
      <c r="AK31" s="211"/>
      <c r="AL31" s="211"/>
    </row>
    <row r="32" spans="2:41">
      <c r="AA32">
        <f>SUM(AA21:AA31)</f>
        <v>31</v>
      </c>
      <c r="AC32">
        <f>SUM(AC21:AC31)</f>
        <v>31</v>
      </c>
      <c r="AD32">
        <f>SUM(AD21:AD28)</f>
        <v>0</v>
      </c>
      <c r="AE32">
        <f>SUM(AE21:AE31)</f>
        <v>105</v>
      </c>
      <c r="AF32">
        <f>SUM(AF21:AF31)</f>
        <v>12</v>
      </c>
      <c r="AG32">
        <f>SUM(AG21:AG31)</f>
        <v>12</v>
      </c>
    </row>
  </sheetData>
  <mergeCells count="22">
    <mergeCell ref="D30:E30"/>
    <mergeCell ref="F30:G30"/>
    <mergeCell ref="O31:S31"/>
    <mergeCell ref="D28:E28"/>
    <mergeCell ref="F28:G28"/>
    <mergeCell ref="D29:E29"/>
    <mergeCell ref="F29:G29"/>
    <mergeCell ref="O29:S29"/>
    <mergeCell ref="F23:G23"/>
    <mergeCell ref="D25:E25"/>
    <mergeCell ref="D26:E26"/>
    <mergeCell ref="D27:E27"/>
    <mergeCell ref="D22:E22"/>
    <mergeCell ref="D23:E23"/>
    <mergeCell ref="D24:E24"/>
    <mergeCell ref="F24:G24"/>
    <mergeCell ref="F27:G27"/>
    <mergeCell ref="D20:E20"/>
    <mergeCell ref="F20:G20"/>
    <mergeCell ref="D21:E21"/>
    <mergeCell ref="F21:G21"/>
    <mergeCell ref="F22:G22"/>
  </mergeCells>
  <phoneticPr fontId="11" type="noConversion"/>
  <dataValidations count="12">
    <dataValidation type="list" allowBlank="1" showInputMessage="1" showErrorMessage="1" sqref="B12 X28 F27" xr:uid="{8D791551-BED8-484E-9152-4F9E68F3C566}">
      <formula1>$AK$27:$AL$27</formula1>
    </dataValidation>
    <dataValidation type="list" allowBlank="1" showInputMessage="1" showErrorMessage="1" sqref="B11 X27 G26" xr:uid="{914D135F-67C6-4EC6-9342-C5FC8A6BA599}">
      <formula1>$AM$26:$AN$26</formula1>
    </dataValidation>
    <dataValidation type="list" allowBlank="1" showInputMessage="1" showErrorMessage="1" sqref="B5 X21 F20" xr:uid="{077A5E96-86A1-4915-BD51-5C3641861041}">
      <formula1>$AN$20:$AO$20</formula1>
    </dataValidation>
    <dataValidation type="list" allowBlank="1" showInputMessage="1" showErrorMessage="1" sqref="B7 X23 F22" xr:uid="{BEED713D-003D-4E51-908F-E2A64C5F423F}">
      <formula1>$AK$22:$AL$22</formula1>
    </dataValidation>
    <dataValidation type="list" allowBlank="1" showInputMessage="1" showErrorMessage="1" sqref="B8 X24 F23" xr:uid="{60EC366F-1C16-4B0F-8C43-A01B00033E02}">
      <formula1>$AM$23:$AN$23</formula1>
    </dataValidation>
    <dataValidation type="list" allowBlank="1" showInputMessage="1" showErrorMessage="1" sqref="B6 X22 F21" xr:uid="{E2A14273-7D32-4109-8815-E1D6A9E1C8B2}">
      <formula1>$AK$21:$AL$21</formula1>
    </dataValidation>
    <dataValidation type="list" allowBlank="1" showInputMessage="1" showErrorMessage="1" sqref="B9 X25 F24" xr:uid="{6214E7EE-92DE-4AFB-9314-BE70CF49C989}">
      <formula1>$AM$24:$AN$24</formula1>
    </dataValidation>
    <dataValidation type="list" allowBlank="1" showInputMessage="1" showErrorMessage="1" sqref="B10 X26 G25" xr:uid="{3AED9D85-CB6B-4456-94F7-4317EF46D551}">
      <formula1>$AM$25:$AN$25</formula1>
    </dataValidation>
    <dataValidation type="list" allowBlank="1" showInputMessage="1" showErrorMessage="1" sqref="D20:E30" xr:uid="{232EF416-954E-4EB4-AF7D-0E8A9E2F4267}">
      <formula1>$AO$21:$AO$24</formula1>
    </dataValidation>
    <dataValidation type="list" allowBlank="1" showInputMessage="1" sqref="B16:B18" xr:uid="{28DCD38C-C994-40F4-946F-05F274C66319}">
      <formula1>$AK$27:$AL$27</formula1>
    </dataValidation>
    <dataValidation type="list" allowBlank="1" showInputMessage="1" sqref="G8:G12 AF5:AG5 W5:AD5 AC8:AC9 V7:V12 H7:H12 Z10:AC12 W14:X14 AD6:AD12 Z6:AB9 AE5:AE12 W6:Y12 I5:N12 O7:O12 C5:F12 P14 P5:U8 P10:U12 Q9:U9" xr:uid="{34A4B0ED-1A3F-43D6-B3CD-52880173A9C6}">
      <formula1>$AI$14:$AI$25</formula1>
    </dataValidation>
    <dataValidation type="list" allowBlank="1" showInputMessage="1" sqref="AF6:AG15 W15:X15 G5:H6 G7 V5:V6 O5:O6 AA13:AE13 V13:V16 AC6:AC7 Y12:Z12 Y14:AE15 W13:Y13 C13:J13 L13:U13 Q9 C15:U15 C14:P14 R14:U14" xr:uid="{8EBD40A9-B2EB-4DAB-AA52-AC8EFFA29AED}">
      <formula1>$AI$17:$AI$28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複製並重命名工作表">
                <anchor moveWithCells="1" sizeWithCells="1">
                  <from>
                    <xdr:col>40</xdr:col>
                    <xdr:colOff>146050</xdr:colOff>
                    <xdr:row>2</xdr:row>
                    <xdr:rowOff>76200</xdr:rowOff>
                  </from>
                  <to>
                    <xdr:col>43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F1C2-56B9-43DD-B5B0-970983F6B89B}">
  <sheetPr codeName="工作表17">
    <pageSetUpPr fitToPage="1"/>
  </sheetPr>
  <dimension ref="A1:IV32"/>
  <sheetViews>
    <sheetView zoomScale="40" zoomScaleNormal="40" workbookViewId="0">
      <selection activeCell="AG31" sqref="AG31"/>
    </sheetView>
  </sheetViews>
  <sheetFormatPr defaultRowHeight="17"/>
  <cols>
    <col min="1" max="1" width="12.5" bestFit="1" customWidth="1"/>
    <col min="2" max="38" width="7.58203125" customWidth="1"/>
  </cols>
  <sheetData>
    <row r="1" spans="1:256" ht="27.5">
      <c r="A1" s="380" t="s">
        <v>0</v>
      </c>
      <c r="B1" s="380"/>
      <c r="C1" s="2"/>
      <c r="D1" s="22"/>
      <c r="E1" s="22"/>
      <c r="F1" s="22"/>
      <c r="G1" s="290" t="s">
        <v>375</v>
      </c>
      <c r="H1" s="22"/>
      <c r="I1" s="22"/>
      <c r="K1" s="292" t="s">
        <v>377</v>
      </c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93" t="s">
        <v>378</v>
      </c>
      <c r="Z1" s="25"/>
      <c r="AA1" s="25"/>
      <c r="AB1" s="25"/>
      <c r="AC1" s="25"/>
      <c r="AD1" s="25"/>
      <c r="AE1" s="25"/>
      <c r="AF1" s="25"/>
      <c r="AG1" s="25"/>
    </row>
    <row r="2" spans="1:256" ht="33.5">
      <c r="A2" s="380"/>
      <c r="B2" s="380"/>
      <c r="C2" s="1"/>
      <c r="D2" s="1"/>
      <c r="F2" s="1"/>
      <c r="G2" s="27">
        <v>2025</v>
      </c>
      <c r="H2" s="27" t="str">
        <f>"("&amp;YEAR(B3)-1911&amp;" 年 "&amp;")"</f>
        <v>(114 年 )</v>
      </c>
      <c r="I2" s="22"/>
      <c r="J2" s="23">
        <v>10</v>
      </c>
      <c r="K2" s="23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F2" s="175"/>
    </row>
    <row r="3" spans="1:256" ht="27.5">
      <c r="A3" s="19" t="s">
        <v>1</v>
      </c>
      <c r="B3" s="30">
        <f>DATE($G$2,$J$2,1)</f>
        <v>45931</v>
      </c>
      <c r="C3" s="30">
        <f>B3+1</f>
        <v>45932</v>
      </c>
      <c r="D3" s="162">
        <f t="shared" ref="D3:AB3" si="0">C3+1</f>
        <v>45933</v>
      </c>
      <c r="E3" s="30">
        <f t="shared" si="0"/>
        <v>45934</v>
      </c>
      <c r="F3" s="30">
        <f t="shared" si="0"/>
        <v>45935</v>
      </c>
      <c r="G3" s="30">
        <f t="shared" si="0"/>
        <v>45936</v>
      </c>
      <c r="H3" s="30">
        <f t="shared" si="0"/>
        <v>45937</v>
      </c>
      <c r="I3" s="30">
        <f t="shared" si="0"/>
        <v>45938</v>
      </c>
      <c r="J3" s="30">
        <f t="shared" si="0"/>
        <v>45939</v>
      </c>
      <c r="K3" s="30">
        <f t="shared" si="0"/>
        <v>45940</v>
      </c>
      <c r="L3" s="30">
        <f t="shared" si="0"/>
        <v>45941</v>
      </c>
      <c r="M3" s="30">
        <f t="shared" si="0"/>
        <v>45942</v>
      </c>
      <c r="N3" s="30">
        <f t="shared" si="0"/>
        <v>45943</v>
      </c>
      <c r="O3" s="30">
        <f t="shared" si="0"/>
        <v>45944</v>
      </c>
      <c r="P3" s="30">
        <f t="shared" si="0"/>
        <v>45945</v>
      </c>
      <c r="Q3" s="30">
        <f t="shared" si="0"/>
        <v>45946</v>
      </c>
      <c r="R3" s="30">
        <f t="shared" si="0"/>
        <v>45947</v>
      </c>
      <c r="S3" s="30">
        <f t="shared" si="0"/>
        <v>45948</v>
      </c>
      <c r="T3" s="30">
        <f t="shared" si="0"/>
        <v>45949</v>
      </c>
      <c r="U3" s="30">
        <f t="shared" si="0"/>
        <v>45950</v>
      </c>
      <c r="V3" s="30">
        <f t="shared" si="0"/>
        <v>45951</v>
      </c>
      <c r="W3" s="30">
        <f t="shared" si="0"/>
        <v>45952</v>
      </c>
      <c r="X3" s="30">
        <f t="shared" si="0"/>
        <v>45953</v>
      </c>
      <c r="Y3" s="30">
        <f t="shared" si="0"/>
        <v>45954</v>
      </c>
      <c r="Z3" s="30">
        <f t="shared" si="0"/>
        <v>45955</v>
      </c>
      <c r="AA3" s="30">
        <f t="shared" si="0"/>
        <v>45956</v>
      </c>
      <c r="AB3" s="30">
        <f t="shared" si="0"/>
        <v>45957</v>
      </c>
      <c r="AC3" s="30">
        <f>IFERROR(IF(MONTH(AB3+1)=$J$2,AB3+1,""),"")</f>
        <v>45958</v>
      </c>
      <c r="AD3" s="30">
        <f>IFERROR(IF(MONTH(AC3+1)=$J$2,AC3+1,""),"")</f>
        <v>45959</v>
      </c>
      <c r="AE3" s="30">
        <f>IFERROR(IF(MONTH(AD3+1)=$J$2,AD3+1,""),"")</f>
        <v>45960</v>
      </c>
      <c r="AF3" s="30">
        <f>IFERROR(IF(MONTH(AE3+1)=$J$2,AE3+1,""),"")</f>
        <v>45961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3" t="s">
        <v>252</v>
      </c>
    </row>
    <row r="4" spans="1:256" ht="27.5">
      <c r="A4" s="19" t="s">
        <v>41</v>
      </c>
      <c r="B4" s="31">
        <f t="shared" ref="B4:AF4" si="1">IFERROR(IF(WEEKDAY(B3,2)=7,"日",WEEKDAY(B3,2)),"")</f>
        <v>3</v>
      </c>
      <c r="C4" s="31">
        <f>IFERROR(IF(WEEKDAY(C3,2)=7,"日",WEEKDAY(C3,2)),"")</f>
        <v>4</v>
      </c>
      <c r="D4" s="31">
        <f t="shared" si="1"/>
        <v>5</v>
      </c>
      <c r="E4" s="31">
        <f t="shared" si="1"/>
        <v>6</v>
      </c>
      <c r="F4" s="31" t="str">
        <f t="shared" si="1"/>
        <v>日</v>
      </c>
      <c r="G4" s="31">
        <f t="shared" si="1"/>
        <v>1</v>
      </c>
      <c r="H4" s="31">
        <f t="shared" si="1"/>
        <v>2</v>
      </c>
      <c r="I4" s="31">
        <f t="shared" si="1"/>
        <v>3</v>
      </c>
      <c r="J4" s="31">
        <f t="shared" si="1"/>
        <v>4</v>
      </c>
      <c r="K4" s="31">
        <f t="shared" si="1"/>
        <v>5</v>
      </c>
      <c r="L4" s="31">
        <f t="shared" si="1"/>
        <v>6</v>
      </c>
      <c r="M4" s="31" t="str">
        <f t="shared" si="1"/>
        <v>日</v>
      </c>
      <c r="N4" s="31">
        <f t="shared" si="1"/>
        <v>1</v>
      </c>
      <c r="O4" s="31">
        <f t="shared" si="1"/>
        <v>2</v>
      </c>
      <c r="P4" s="31">
        <f t="shared" si="1"/>
        <v>3</v>
      </c>
      <c r="Q4" s="31">
        <f t="shared" si="1"/>
        <v>4</v>
      </c>
      <c r="R4" s="31">
        <f t="shared" si="1"/>
        <v>5</v>
      </c>
      <c r="S4" s="31">
        <f t="shared" si="1"/>
        <v>6</v>
      </c>
      <c r="T4" s="31" t="str">
        <f t="shared" si="1"/>
        <v>日</v>
      </c>
      <c r="U4" s="31">
        <f t="shared" si="1"/>
        <v>1</v>
      </c>
      <c r="V4" s="31">
        <f t="shared" si="1"/>
        <v>2</v>
      </c>
      <c r="W4" s="31">
        <f t="shared" si="1"/>
        <v>3</v>
      </c>
      <c r="X4" s="31">
        <f t="shared" si="1"/>
        <v>4</v>
      </c>
      <c r="Y4" s="31">
        <f t="shared" si="1"/>
        <v>5</v>
      </c>
      <c r="Z4" s="31">
        <f t="shared" si="1"/>
        <v>6</v>
      </c>
      <c r="AA4" s="31" t="str">
        <f t="shared" si="1"/>
        <v>日</v>
      </c>
      <c r="AB4" s="31">
        <f t="shared" si="1"/>
        <v>1</v>
      </c>
      <c r="AC4" s="31">
        <f t="shared" si="1"/>
        <v>2</v>
      </c>
      <c r="AD4" s="31">
        <f t="shared" si="1"/>
        <v>3</v>
      </c>
      <c r="AE4" s="31">
        <f t="shared" si="1"/>
        <v>4</v>
      </c>
      <c r="AF4" s="31">
        <f t="shared" si="1"/>
        <v>5</v>
      </c>
      <c r="AG4" s="377" t="s">
        <v>42</v>
      </c>
      <c r="AH4" s="377"/>
      <c r="AI4" s="377"/>
      <c r="AJ4" s="377"/>
      <c r="AK4" s="377"/>
      <c r="AL4" s="377"/>
      <c r="AM4" s="174"/>
    </row>
    <row r="5" spans="1:256" ht="21.5">
      <c r="A5" s="6" t="s">
        <v>12</v>
      </c>
      <c r="B5" s="90" t="s">
        <v>5</v>
      </c>
      <c r="C5" s="90" t="s">
        <v>4</v>
      </c>
      <c r="D5" s="195" t="s">
        <v>2</v>
      </c>
      <c r="E5" s="88" t="s">
        <v>40</v>
      </c>
      <c r="F5" s="88" t="s">
        <v>4</v>
      </c>
      <c r="G5" s="33" t="s">
        <v>3</v>
      </c>
      <c r="H5" s="88" t="s">
        <v>370</v>
      </c>
      <c r="I5" s="88" t="s">
        <v>4</v>
      </c>
      <c r="J5" s="195" t="s">
        <v>2</v>
      </c>
      <c r="K5" s="195" t="s">
        <v>2</v>
      </c>
      <c r="L5" s="33" t="s">
        <v>2</v>
      </c>
      <c r="M5" s="33" t="s">
        <v>3</v>
      </c>
      <c r="N5" s="308" t="s">
        <v>5</v>
      </c>
      <c r="O5" s="88" t="s">
        <v>4</v>
      </c>
      <c r="P5" s="308" t="s">
        <v>370</v>
      </c>
      <c r="Q5" s="308" t="s">
        <v>370</v>
      </c>
      <c r="R5" s="88" t="s">
        <v>3</v>
      </c>
      <c r="S5" s="88" t="s">
        <v>40</v>
      </c>
      <c r="T5" s="88" t="s">
        <v>4</v>
      </c>
      <c r="U5" s="308" t="s">
        <v>370</v>
      </c>
      <c r="V5" s="195" t="s">
        <v>2</v>
      </c>
      <c r="W5" s="88" t="s">
        <v>370</v>
      </c>
      <c r="X5" s="88" t="s">
        <v>370</v>
      </c>
      <c r="Y5" s="113" t="s">
        <v>3</v>
      </c>
      <c r="Z5" s="195" t="s">
        <v>2</v>
      </c>
      <c r="AA5" s="88" t="s">
        <v>4</v>
      </c>
      <c r="AB5" s="195" t="s">
        <v>4</v>
      </c>
      <c r="AC5" s="195" t="s">
        <v>4</v>
      </c>
      <c r="AD5" s="88" t="s">
        <v>370</v>
      </c>
      <c r="AE5" s="88" t="s">
        <v>5</v>
      </c>
      <c r="AF5" s="88" t="s">
        <v>2</v>
      </c>
      <c r="AG5" s="3">
        <f t="shared" ref="AG5:AG10" si="2">(AH5*12)+(AI5*12)+(AK5*8)+(AL5*4)</f>
        <v>92</v>
      </c>
      <c r="AH5" s="3">
        <f t="shared" ref="AH5:AH10" si="3">COUNTIF(B5:AF5,"D")</f>
        <v>4</v>
      </c>
      <c r="AI5" s="3">
        <f t="shared" ref="AI5:AI10" si="4">COUNTIF(B5:AF5,"N")</f>
        <v>3</v>
      </c>
      <c r="AJ5" s="3">
        <f t="shared" ref="AJ5:AJ10" si="5">COUNTIF(B5:AF5,"OFF")+COUNTIF(B5:AF5,"上課")</f>
        <v>15</v>
      </c>
      <c r="AK5" s="3">
        <f t="shared" ref="AK5:AK10" si="6">COUNTIF(B5:AF5,"")-AL5+COUNTIF(B5:AF5,"h3")</f>
        <v>0</v>
      </c>
      <c r="AL5" s="3">
        <f t="shared" ref="AL5:AL10" si="7">COUNTIFS($B$4:$AF$4,"6",B5:AF5,"")+COUNTIF(B5:AF5,"h3")</f>
        <v>2</v>
      </c>
      <c r="AM5" s="3">
        <f t="array" ref="AM5">SUMPRODUCT(($B$4:$AF$4=6)*(B5:AF5="off"))</f>
        <v>2</v>
      </c>
    </row>
    <row r="6" spans="1:256" ht="21.5" hidden="1">
      <c r="A6" s="6" t="s">
        <v>303</v>
      </c>
      <c r="B6" s="88"/>
      <c r="C6" s="88"/>
      <c r="D6" s="88"/>
      <c r="E6" s="88"/>
      <c r="F6" s="88"/>
      <c r="G6" s="88"/>
      <c r="H6" s="88"/>
      <c r="I6" s="33"/>
      <c r="J6" s="33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3">
        <f t="shared" si="2"/>
        <v>232</v>
      </c>
      <c r="AH6" s="3">
        <f t="shared" si="3"/>
        <v>0</v>
      </c>
      <c r="AI6" s="3">
        <f t="shared" si="4"/>
        <v>0</v>
      </c>
      <c r="AJ6" s="3">
        <f t="shared" si="5"/>
        <v>0</v>
      </c>
      <c r="AK6" s="3">
        <f t="shared" si="6"/>
        <v>27</v>
      </c>
      <c r="AL6" s="3">
        <f t="shared" si="7"/>
        <v>4</v>
      </c>
      <c r="AM6" s="3">
        <f t="array" ref="AM6">SUMPRODUCT(($B$4:$AF$4=6)*(B6:AF6="off"))</f>
        <v>0</v>
      </c>
    </row>
    <row r="7" spans="1:256" ht="21.5" hidden="1">
      <c r="A7" s="6" t="s">
        <v>269</v>
      </c>
      <c r="B7" s="88"/>
      <c r="C7" s="88"/>
      <c r="D7" s="88"/>
      <c r="E7" s="88"/>
      <c r="F7" s="88"/>
      <c r="G7" s="88"/>
      <c r="H7" s="88"/>
      <c r="I7" s="33"/>
      <c r="J7" s="33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3">
        <f t="shared" si="2"/>
        <v>232</v>
      </c>
      <c r="AH7" s="3">
        <f t="shared" si="3"/>
        <v>0</v>
      </c>
      <c r="AI7" s="3">
        <f t="shared" si="4"/>
        <v>0</v>
      </c>
      <c r="AJ7" s="3">
        <f t="shared" si="5"/>
        <v>0</v>
      </c>
      <c r="AK7" s="3">
        <f t="shared" si="6"/>
        <v>27</v>
      </c>
      <c r="AL7" s="3">
        <f t="shared" si="7"/>
        <v>4</v>
      </c>
      <c r="AM7" s="3">
        <f t="array" ref="AM7">SUMPRODUCT(($B$4:$AF$4=6)*(B7:AF7="off"))</f>
        <v>0</v>
      </c>
    </row>
    <row r="8" spans="1:256" ht="21.5">
      <c r="A8" s="6" t="s">
        <v>51</v>
      </c>
      <c r="B8" s="88" t="s">
        <v>370</v>
      </c>
      <c r="C8" s="195" t="s">
        <v>2</v>
      </c>
      <c r="D8" s="195" t="s">
        <v>2</v>
      </c>
      <c r="E8" s="195" t="s">
        <v>2</v>
      </c>
      <c r="F8" s="88" t="s">
        <v>4</v>
      </c>
      <c r="G8" s="88" t="s">
        <v>4</v>
      </c>
      <c r="H8" s="88" t="s">
        <v>370</v>
      </c>
      <c r="I8" s="88" t="s">
        <v>370</v>
      </c>
      <c r="J8" s="88" t="s">
        <v>370</v>
      </c>
      <c r="K8" s="33" t="s">
        <v>3</v>
      </c>
      <c r="L8" s="33" t="s">
        <v>3</v>
      </c>
      <c r="M8" s="88" t="s">
        <v>4</v>
      </c>
      <c r="N8" s="88" t="s">
        <v>4</v>
      </c>
      <c r="O8" s="308" t="s">
        <v>370</v>
      </c>
      <c r="P8" s="36" t="s">
        <v>5</v>
      </c>
      <c r="Q8" s="36" t="s">
        <v>5</v>
      </c>
      <c r="R8" s="36" t="s">
        <v>5</v>
      </c>
      <c r="S8" s="88" t="s">
        <v>4</v>
      </c>
      <c r="T8" s="33" t="s">
        <v>3</v>
      </c>
      <c r="U8" s="308" t="s">
        <v>370</v>
      </c>
      <c r="V8" s="88" t="s">
        <v>370</v>
      </c>
      <c r="W8" s="88" t="s">
        <v>370</v>
      </c>
      <c r="X8" s="88" t="s">
        <v>4</v>
      </c>
      <c r="Y8" s="139" t="s">
        <v>4</v>
      </c>
      <c r="Z8" s="195" t="s">
        <v>2</v>
      </c>
      <c r="AA8" s="88" t="s">
        <v>4</v>
      </c>
      <c r="AB8" s="33" t="s">
        <v>4</v>
      </c>
      <c r="AC8" s="88" t="s">
        <v>370</v>
      </c>
      <c r="AD8" s="88" t="s">
        <v>3</v>
      </c>
      <c r="AE8" s="88" t="s">
        <v>370</v>
      </c>
      <c r="AF8" s="88" t="s">
        <v>5</v>
      </c>
      <c r="AG8" s="3">
        <f t="shared" si="2"/>
        <v>96</v>
      </c>
      <c r="AH8" s="3">
        <f t="shared" si="3"/>
        <v>4</v>
      </c>
      <c r="AI8" s="3">
        <f t="shared" si="4"/>
        <v>4</v>
      </c>
      <c r="AJ8" s="3">
        <f t="shared" si="5"/>
        <v>13</v>
      </c>
      <c r="AK8" s="3">
        <f t="shared" si="6"/>
        <v>0</v>
      </c>
      <c r="AL8" s="3">
        <f t="shared" si="7"/>
        <v>0</v>
      </c>
      <c r="AM8" s="3">
        <f t="array" ref="AM8">SUMPRODUCT(($B$4:$AF$4=6)*(B8:AF8="off"))</f>
        <v>3</v>
      </c>
    </row>
    <row r="9" spans="1:256" ht="21.5">
      <c r="A9" s="6" t="s">
        <v>310</v>
      </c>
      <c r="B9" s="88" t="s">
        <v>4</v>
      </c>
      <c r="C9" s="88" t="s">
        <v>370</v>
      </c>
      <c r="D9" s="88" t="s">
        <v>370</v>
      </c>
      <c r="E9" s="33" t="s">
        <v>3</v>
      </c>
      <c r="F9" s="33" t="s">
        <v>3</v>
      </c>
      <c r="G9" s="88" t="s">
        <v>4</v>
      </c>
      <c r="H9" s="88" t="s">
        <v>4</v>
      </c>
      <c r="I9" s="88" t="s">
        <v>370</v>
      </c>
      <c r="J9" s="88" t="s">
        <v>370</v>
      </c>
      <c r="K9" s="33" t="s">
        <v>4</v>
      </c>
      <c r="L9" s="33" t="s">
        <v>2</v>
      </c>
      <c r="M9" s="88" t="s">
        <v>4</v>
      </c>
      <c r="N9" s="88" t="s">
        <v>370</v>
      </c>
      <c r="O9" s="308" t="s">
        <v>3</v>
      </c>
      <c r="P9" s="308" t="s">
        <v>370</v>
      </c>
      <c r="Q9" s="308" t="s">
        <v>370</v>
      </c>
      <c r="R9" s="308" t="s">
        <v>370</v>
      </c>
      <c r="S9" s="195" t="s">
        <v>4</v>
      </c>
      <c r="T9" s="88" t="s">
        <v>4</v>
      </c>
      <c r="U9" s="88" t="s">
        <v>4</v>
      </c>
      <c r="V9" s="88" t="s">
        <v>4</v>
      </c>
      <c r="W9" s="88" t="s">
        <v>4</v>
      </c>
      <c r="X9" s="88" t="s">
        <v>370</v>
      </c>
      <c r="Y9" s="33" t="s">
        <v>5</v>
      </c>
      <c r="Z9" s="195" t="s">
        <v>5</v>
      </c>
      <c r="AA9" s="88" t="s">
        <v>5</v>
      </c>
      <c r="AB9" s="62" t="s">
        <v>5</v>
      </c>
      <c r="AC9" s="88" t="s">
        <v>4</v>
      </c>
      <c r="AD9" s="88" t="s">
        <v>4</v>
      </c>
      <c r="AE9" s="88" t="s">
        <v>370</v>
      </c>
      <c r="AF9" s="88" t="s">
        <v>3</v>
      </c>
      <c r="AG9" s="3">
        <f t="shared" si="2"/>
        <v>96</v>
      </c>
      <c r="AH9" s="3">
        <f t="shared" si="3"/>
        <v>4</v>
      </c>
      <c r="AI9" s="3">
        <f t="shared" si="4"/>
        <v>4</v>
      </c>
      <c r="AJ9" s="3">
        <f t="shared" si="5"/>
        <v>13</v>
      </c>
      <c r="AK9" s="3">
        <f t="shared" si="6"/>
        <v>0</v>
      </c>
      <c r="AL9" s="3">
        <f t="shared" si="7"/>
        <v>0</v>
      </c>
      <c r="AM9" s="3">
        <f t="array" ref="AM9">SUMPRODUCT(($B$4:$AF$4=6)*(B9:AF9="off"))</f>
        <v>2</v>
      </c>
    </row>
    <row r="10" spans="1:256" ht="21.5">
      <c r="A10" s="6" t="s">
        <v>379</v>
      </c>
      <c r="B10" s="88" t="s">
        <v>3</v>
      </c>
      <c r="C10" s="88" t="s">
        <v>370</v>
      </c>
      <c r="D10" s="195" t="s">
        <v>2</v>
      </c>
      <c r="E10" s="195" t="s">
        <v>2</v>
      </c>
      <c r="F10" s="195" t="s">
        <v>2</v>
      </c>
      <c r="G10" s="195" t="s">
        <v>2</v>
      </c>
      <c r="H10" s="62" t="s">
        <v>5</v>
      </c>
      <c r="I10" s="62" t="s">
        <v>5</v>
      </c>
      <c r="J10" s="62" t="s">
        <v>5</v>
      </c>
      <c r="K10" s="33" t="s">
        <v>4</v>
      </c>
      <c r="L10" s="62" t="s">
        <v>40</v>
      </c>
      <c r="M10" s="88" t="s">
        <v>4</v>
      </c>
      <c r="N10" s="88" t="s">
        <v>370</v>
      </c>
      <c r="O10" s="308" t="s">
        <v>5</v>
      </c>
      <c r="P10" s="88" t="s">
        <v>4</v>
      </c>
      <c r="Q10" s="88" t="s">
        <v>4</v>
      </c>
      <c r="R10" s="88" t="s">
        <v>4</v>
      </c>
      <c r="S10" s="33" t="s">
        <v>3</v>
      </c>
      <c r="T10" s="88" t="s">
        <v>4</v>
      </c>
      <c r="U10" s="88" t="s">
        <v>372</v>
      </c>
      <c r="V10" s="88" t="s">
        <v>3</v>
      </c>
      <c r="W10" s="88" t="s">
        <v>372</v>
      </c>
      <c r="X10" s="88" t="s">
        <v>372</v>
      </c>
      <c r="Y10" s="195" t="s">
        <v>2</v>
      </c>
      <c r="Z10" s="195" t="s">
        <v>2</v>
      </c>
      <c r="AA10" s="88" t="s">
        <v>4</v>
      </c>
      <c r="AB10" s="88" t="s">
        <v>370</v>
      </c>
      <c r="AC10" s="88" t="s">
        <v>370</v>
      </c>
      <c r="AD10" s="88" t="s">
        <v>372</v>
      </c>
      <c r="AE10" s="88" t="s">
        <v>372</v>
      </c>
      <c r="AF10" s="88" t="s">
        <v>370</v>
      </c>
      <c r="AG10" s="3">
        <f t="shared" si="2"/>
        <v>88</v>
      </c>
      <c r="AH10" s="3">
        <f t="shared" si="3"/>
        <v>3</v>
      </c>
      <c r="AI10" s="3">
        <f t="shared" si="4"/>
        <v>4</v>
      </c>
      <c r="AJ10" s="3">
        <f t="shared" si="5"/>
        <v>13</v>
      </c>
      <c r="AK10" s="3">
        <f t="shared" si="6"/>
        <v>0</v>
      </c>
      <c r="AL10" s="3">
        <f t="shared" si="7"/>
        <v>1</v>
      </c>
      <c r="AM10" s="3">
        <f t="array" ref="AM10">SUMPRODUCT(($B$4:$AF$4=6)*(B10:AF10="off"))</f>
        <v>2</v>
      </c>
    </row>
    <row r="12" spans="1:256" ht="21.5">
      <c r="A12" s="6" t="s">
        <v>277</v>
      </c>
      <c r="B12" s="172">
        <f t="shared" ref="B12:AF12" si="8">IF(B4="","",IF(B$13="國",COUNTA($B$20:$B$30)-$J$22,IF(B4="日",COUNTA($B$20:$B$30)-$J$22,IF(B4=6,COUNTA($B$20:$B$30)-$J$20,IF(B4&lt;6,COUNTA($B$20:$B$30)-$J$20)))))</f>
        <v>2</v>
      </c>
      <c r="C12" s="172">
        <f t="shared" si="8"/>
        <v>2</v>
      </c>
      <c r="D12" s="172">
        <f t="shared" si="8"/>
        <v>2</v>
      </c>
      <c r="E12" s="172">
        <f t="shared" si="8"/>
        <v>2</v>
      </c>
      <c r="F12" s="172">
        <f t="shared" si="8"/>
        <v>5</v>
      </c>
      <c r="G12" s="172">
        <f t="shared" si="8"/>
        <v>5</v>
      </c>
      <c r="H12" s="172">
        <f t="shared" si="8"/>
        <v>2</v>
      </c>
      <c r="I12" s="172">
        <f t="shared" si="8"/>
        <v>2</v>
      </c>
      <c r="J12" s="172">
        <f t="shared" si="8"/>
        <v>2</v>
      </c>
      <c r="K12" s="172">
        <f t="shared" si="8"/>
        <v>5</v>
      </c>
      <c r="L12" s="172">
        <f t="shared" si="8"/>
        <v>2</v>
      </c>
      <c r="M12" s="172">
        <f t="shared" si="8"/>
        <v>5</v>
      </c>
      <c r="N12" s="172">
        <f t="shared" si="8"/>
        <v>2</v>
      </c>
      <c r="O12" s="172">
        <f t="shared" si="8"/>
        <v>2</v>
      </c>
      <c r="P12" s="172">
        <f t="shared" si="8"/>
        <v>2</v>
      </c>
      <c r="Q12" s="172">
        <f t="shared" si="8"/>
        <v>2</v>
      </c>
      <c r="R12" s="172">
        <f t="shared" si="8"/>
        <v>2</v>
      </c>
      <c r="S12" s="172">
        <f t="shared" si="8"/>
        <v>2</v>
      </c>
      <c r="T12" s="172">
        <f t="shared" si="8"/>
        <v>5</v>
      </c>
      <c r="U12" s="172">
        <f t="shared" si="8"/>
        <v>2</v>
      </c>
      <c r="V12" s="172">
        <f t="shared" si="8"/>
        <v>2</v>
      </c>
      <c r="W12" s="172">
        <f t="shared" si="8"/>
        <v>2</v>
      </c>
      <c r="X12" s="172">
        <f t="shared" si="8"/>
        <v>2</v>
      </c>
      <c r="Y12" s="172">
        <f t="shared" si="8"/>
        <v>5</v>
      </c>
      <c r="Z12" s="172">
        <f t="shared" si="8"/>
        <v>2</v>
      </c>
      <c r="AA12" s="172">
        <f t="shared" si="8"/>
        <v>5</v>
      </c>
      <c r="AB12" s="172">
        <f t="shared" si="8"/>
        <v>2</v>
      </c>
      <c r="AC12" s="172">
        <f t="shared" si="8"/>
        <v>2</v>
      </c>
      <c r="AD12" s="172">
        <f t="shared" si="8"/>
        <v>2</v>
      </c>
      <c r="AE12" s="172">
        <f t="shared" si="8"/>
        <v>2</v>
      </c>
      <c r="AF12" s="172">
        <f t="shared" si="8"/>
        <v>2</v>
      </c>
      <c r="AG12" s="3"/>
      <c r="AH12" s="3"/>
      <c r="AI12" s="3"/>
      <c r="AJ12" s="3"/>
      <c r="AK12" s="3"/>
      <c r="AL12" s="3"/>
      <c r="AM12" s="174"/>
    </row>
    <row r="13" spans="1:256" ht="20.5">
      <c r="A13" s="6" t="s">
        <v>251</v>
      </c>
      <c r="B13" s="173"/>
      <c r="C13" s="173"/>
      <c r="D13" s="173"/>
      <c r="E13" s="173"/>
      <c r="F13" s="173"/>
      <c r="G13" s="306" t="s">
        <v>250</v>
      </c>
      <c r="H13" s="174"/>
      <c r="I13" s="174"/>
      <c r="J13" s="174"/>
      <c r="K13" s="173" t="s">
        <v>250</v>
      </c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 t="s">
        <v>250</v>
      </c>
      <c r="Z13" s="173"/>
      <c r="AA13" s="173"/>
      <c r="AB13" s="173"/>
      <c r="AC13" s="173"/>
      <c r="AD13" s="173"/>
      <c r="AE13" s="173"/>
      <c r="AF13" s="173"/>
      <c r="AG13" s="3"/>
      <c r="AH13" s="3"/>
      <c r="AI13" s="3"/>
      <c r="AJ13" s="3"/>
      <c r="AK13" s="3"/>
      <c r="AL13" s="3"/>
      <c r="AM13" s="174"/>
    </row>
    <row r="14" spans="1:256" ht="20.5">
      <c r="A14" s="93"/>
      <c r="B14" s="297"/>
      <c r="C14" s="297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2"/>
      <c r="AH14" s="12"/>
      <c r="AI14" s="12"/>
      <c r="AJ14" s="12"/>
      <c r="AK14" s="12"/>
      <c r="AL14" s="12"/>
    </row>
    <row r="15" spans="1:256" s="296" customFormat="1" ht="21.5">
      <c r="A15" s="294" t="s">
        <v>45</v>
      </c>
      <c r="B15" s="111" t="s">
        <v>4</v>
      </c>
      <c r="C15" s="318" t="s">
        <v>371</v>
      </c>
      <c r="D15" s="111" t="s">
        <v>39</v>
      </c>
      <c r="E15" s="307" t="s">
        <v>39</v>
      </c>
      <c r="F15" s="307" t="s">
        <v>39</v>
      </c>
      <c r="G15" s="88" t="s">
        <v>39</v>
      </c>
      <c r="H15" s="111" t="s">
        <v>4</v>
      </c>
      <c r="I15" s="111" t="s">
        <v>39</v>
      </c>
      <c r="J15" s="318" t="s">
        <v>371</v>
      </c>
      <c r="K15" s="139" t="s">
        <v>39</v>
      </c>
      <c r="L15" s="139" t="s">
        <v>39</v>
      </c>
      <c r="M15" s="139" t="s">
        <v>39</v>
      </c>
      <c r="N15" s="305" t="s">
        <v>2</v>
      </c>
      <c r="O15" s="305" t="s">
        <v>2</v>
      </c>
      <c r="P15" s="305" t="s">
        <v>2</v>
      </c>
      <c r="Q15" s="305" t="s">
        <v>2</v>
      </c>
      <c r="R15" s="305" t="s">
        <v>2</v>
      </c>
      <c r="S15" s="113" t="s">
        <v>5</v>
      </c>
      <c r="T15" s="113" t="s">
        <v>5</v>
      </c>
      <c r="U15" s="139" t="s">
        <v>5</v>
      </c>
      <c r="V15" s="139" t="s">
        <v>5</v>
      </c>
      <c r="W15" s="139" t="s">
        <v>4</v>
      </c>
      <c r="X15" s="139" t="s">
        <v>39</v>
      </c>
      <c r="Y15" s="139" t="s">
        <v>39</v>
      </c>
      <c r="Z15" s="111" t="s">
        <v>4</v>
      </c>
      <c r="AA15" s="111" t="s">
        <v>4</v>
      </c>
      <c r="AB15" s="113" t="s">
        <v>3</v>
      </c>
      <c r="AC15" s="111" t="s">
        <v>4</v>
      </c>
      <c r="AD15" s="139" t="s">
        <v>39</v>
      </c>
      <c r="AE15" s="318" t="s">
        <v>371</v>
      </c>
      <c r="AF15" s="139" t="s">
        <v>39</v>
      </c>
      <c r="AG15" s="295">
        <f>(AH15*12)+(AI15*12)+(AK15*8)+(AL15*4)</f>
        <v>60</v>
      </c>
      <c r="AH15" s="295">
        <f>COUNTIF(B15:AF15,"D")</f>
        <v>1</v>
      </c>
      <c r="AI15" s="295">
        <f>COUNTIF(B15:AF15,"N")</f>
        <v>4</v>
      </c>
      <c r="AJ15" s="295">
        <f>COUNTIF(B15:AF15,"OFF")+COUNTIF(B15:AF15,"上課")</f>
        <v>11</v>
      </c>
      <c r="AK15" s="295">
        <f>COUNTIF(B15:AF15,"")-AL15+COUNTIF(B15:AF15,"h3")</f>
        <v>0</v>
      </c>
      <c r="AL15" s="295">
        <f>COUNTIFS($B$4:$AF$4,"6",B15:AF15,"")+COUNTIF(B15:AF15,"h3")</f>
        <v>0</v>
      </c>
      <c r="AM15" s="295">
        <f t="array" ref="AM15">SUMPRODUCT(($B$4:$AF$4=6)*(B15:AF15="off"))</f>
        <v>1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296" customFormat="1" ht="21.5">
      <c r="A16" s="294" t="s">
        <v>17</v>
      </c>
      <c r="B16" s="307" t="s">
        <v>39</v>
      </c>
      <c r="C16" s="111" t="s">
        <v>5</v>
      </c>
      <c r="D16" s="111" t="s">
        <v>5</v>
      </c>
      <c r="E16" s="113" t="s">
        <v>5</v>
      </c>
      <c r="F16" s="113" t="s">
        <v>5</v>
      </c>
      <c r="G16" s="88" t="s">
        <v>4</v>
      </c>
      <c r="H16" s="111" t="s">
        <v>39</v>
      </c>
      <c r="I16" s="318" t="s">
        <v>371</v>
      </c>
      <c r="J16" s="111" t="s">
        <v>4</v>
      </c>
      <c r="K16" s="33" t="s">
        <v>4</v>
      </c>
      <c r="L16" s="113" t="s">
        <v>2</v>
      </c>
      <c r="M16" s="113" t="s">
        <v>2</v>
      </c>
      <c r="N16" s="139" t="s">
        <v>39</v>
      </c>
      <c r="O16" s="139" t="s">
        <v>39</v>
      </c>
      <c r="P16" s="139" t="s">
        <v>39</v>
      </c>
      <c r="Q16" s="139" t="s">
        <v>39</v>
      </c>
      <c r="R16" s="111" t="s">
        <v>4</v>
      </c>
      <c r="S16" s="111" t="s">
        <v>39</v>
      </c>
      <c r="T16" s="113" t="s">
        <v>39</v>
      </c>
      <c r="U16" s="139" t="s">
        <v>4</v>
      </c>
      <c r="V16" s="139" t="s">
        <v>39</v>
      </c>
      <c r="W16" s="318" t="s">
        <v>371</v>
      </c>
      <c r="X16" s="139" t="s">
        <v>4</v>
      </c>
      <c r="Y16" s="88" t="s">
        <v>39</v>
      </c>
      <c r="Z16" s="113" t="s">
        <v>39</v>
      </c>
      <c r="AA16" s="113" t="s">
        <v>3</v>
      </c>
      <c r="AB16" s="139" t="s">
        <v>4</v>
      </c>
      <c r="AC16" s="318" t="s">
        <v>371</v>
      </c>
      <c r="AD16" s="139" t="s">
        <v>39</v>
      </c>
      <c r="AE16" s="111" t="s">
        <v>39</v>
      </c>
      <c r="AF16" s="111" t="s">
        <v>4</v>
      </c>
      <c r="AG16" s="295">
        <f>(AH16*12)+(AI16*12)+(AK16*8)+(AL16*4)</f>
        <v>60</v>
      </c>
      <c r="AH16" s="295">
        <f>COUNTIF(B16:AF16,"D")</f>
        <v>1</v>
      </c>
      <c r="AI16" s="295">
        <f>COUNTIF(B16:AF16,"N")</f>
        <v>4</v>
      </c>
      <c r="AJ16" s="295">
        <f>COUNTIF(B16:AF16,"OFF")+COUNTIF(B16:AF16,"上課")</f>
        <v>10</v>
      </c>
      <c r="AK16" s="295">
        <f>COUNTIF(B16:AF16,"")-AL16+COUNTIF(B16:AF16,"h3")</f>
        <v>0</v>
      </c>
      <c r="AL16" s="295">
        <f>COUNTIFS($B$4:$AF$4,"6",B16:AF16,"")+COUNTIF(B16:AF16,"h3")</f>
        <v>0</v>
      </c>
      <c r="AM16" s="295">
        <f t="array" ref="AM16">SUMPRODUCT(($B$4:$AF$4=6)*(B16:AF16="off"))</f>
        <v>1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296" customFormat="1" ht="21.5">
      <c r="A17" s="294" t="s">
        <v>46</v>
      </c>
      <c r="B17" s="307" t="s">
        <v>39</v>
      </c>
      <c r="C17" s="307" t="s">
        <v>39</v>
      </c>
      <c r="D17" s="113" t="s">
        <v>3</v>
      </c>
      <c r="E17" s="305" t="s">
        <v>2</v>
      </c>
      <c r="F17" s="305" t="s">
        <v>2</v>
      </c>
      <c r="G17" s="33" t="s">
        <v>5</v>
      </c>
      <c r="H17" s="111" t="s">
        <v>4</v>
      </c>
      <c r="I17" s="111" t="s">
        <v>4</v>
      </c>
      <c r="J17" s="111" t="s">
        <v>39</v>
      </c>
      <c r="K17" s="33" t="s">
        <v>5</v>
      </c>
      <c r="L17" s="113" t="s">
        <v>5</v>
      </c>
      <c r="M17" s="113" t="s">
        <v>5</v>
      </c>
      <c r="N17" s="139" t="s">
        <v>4</v>
      </c>
      <c r="O17" s="139" t="s">
        <v>39</v>
      </c>
      <c r="P17" s="318" t="s">
        <v>371</v>
      </c>
      <c r="Q17" s="139" t="s">
        <v>4</v>
      </c>
      <c r="R17" s="139" t="s">
        <v>39</v>
      </c>
      <c r="S17" s="113" t="s">
        <v>39</v>
      </c>
      <c r="T17" s="113" t="s">
        <v>39</v>
      </c>
      <c r="U17" s="139" t="s">
        <v>39</v>
      </c>
      <c r="V17" s="139" t="s">
        <v>4</v>
      </c>
      <c r="W17" s="139" t="s">
        <v>39</v>
      </c>
      <c r="X17" s="318" t="s">
        <v>371</v>
      </c>
      <c r="Y17" s="88" t="s">
        <v>4</v>
      </c>
      <c r="Z17" s="113" t="s">
        <v>3</v>
      </c>
      <c r="AA17" s="113" t="s">
        <v>39</v>
      </c>
      <c r="AB17" s="139" t="s">
        <v>39</v>
      </c>
      <c r="AC17" s="111" t="s">
        <v>39</v>
      </c>
      <c r="AD17" s="111" t="s">
        <v>4</v>
      </c>
      <c r="AE17" s="139" t="s">
        <v>4</v>
      </c>
      <c r="AF17" s="139" t="s">
        <v>39</v>
      </c>
      <c r="AG17" s="295">
        <f>(AH17*12)+(AI17*12)+(AK17*8)+(AL17*4)</f>
        <v>72</v>
      </c>
      <c r="AH17" s="295">
        <f>COUNTIF(B17:AF17,"D")</f>
        <v>2</v>
      </c>
      <c r="AI17" s="295">
        <f>COUNTIF(B17:AF17,"N")</f>
        <v>4</v>
      </c>
      <c r="AJ17" s="295">
        <f>COUNTIF(B17:AF17,"OFF")+COUNTIF(B17:AF17,"上課")</f>
        <v>10</v>
      </c>
      <c r="AK17" s="295">
        <f>COUNTIF(B17:AF17,"")-AL17+COUNTIF(B17:AF17,"h3")</f>
        <v>0</v>
      </c>
      <c r="AL17" s="295">
        <f>COUNTIFS($B$4:$AF$4,"6",B17:AF17,"")+COUNTIF(B17:AF17,"h3")</f>
        <v>0</v>
      </c>
      <c r="AM17" s="295">
        <f t="array" ref="AM17">SUMPRODUCT(($B$4:$AF$4=6)*(B17:AF17="off"))</f>
        <v>1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296" customFormat="1" ht="21.5">
      <c r="A18" s="294" t="s">
        <v>380</v>
      </c>
      <c r="B18" s="111" t="s">
        <v>4</v>
      </c>
      <c r="C18" s="111" t="s">
        <v>4</v>
      </c>
      <c r="D18" s="139" t="s">
        <v>39</v>
      </c>
      <c r="E18" s="111" t="s">
        <v>39</v>
      </c>
      <c r="F18" s="111" t="s">
        <v>39</v>
      </c>
      <c r="G18" s="111" t="s">
        <v>39</v>
      </c>
      <c r="H18" s="318" t="s">
        <v>371</v>
      </c>
      <c r="I18" s="305" t="s">
        <v>2</v>
      </c>
      <c r="J18" s="139" t="s">
        <v>4</v>
      </c>
      <c r="K18" s="139" t="s">
        <v>39</v>
      </c>
      <c r="L18" s="139" t="s">
        <v>39</v>
      </c>
      <c r="M18" s="139" t="s">
        <v>39</v>
      </c>
      <c r="N18" s="318" t="s">
        <v>371</v>
      </c>
      <c r="O18" s="139" t="s">
        <v>4</v>
      </c>
      <c r="P18" s="139" t="s">
        <v>4</v>
      </c>
      <c r="Q18" s="318" t="s">
        <v>371</v>
      </c>
      <c r="R18" s="139" t="s">
        <v>39</v>
      </c>
      <c r="S18" s="305" t="s">
        <v>2</v>
      </c>
      <c r="T18" s="305" t="s">
        <v>2</v>
      </c>
      <c r="U18" s="318" t="s">
        <v>371</v>
      </c>
      <c r="V18" s="139" t="s">
        <v>39</v>
      </c>
      <c r="W18" s="139" t="s">
        <v>5</v>
      </c>
      <c r="X18" s="139" t="s">
        <v>5</v>
      </c>
      <c r="Y18" s="139" t="s">
        <v>4</v>
      </c>
      <c r="Z18" s="113" t="s">
        <v>39</v>
      </c>
      <c r="AA18" s="113" t="s">
        <v>39</v>
      </c>
      <c r="AB18" s="139" t="s">
        <v>39</v>
      </c>
      <c r="AC18" s="111" t="s">
        <v>5</v>
      </c>
      <c r="AD18" s="139" t="s">
        <v>5</v>
      </c>
      <c r="AE18" s="111" t="s">
        <v>4</v>
      </c>
      <c r="AF18" s="111" t="s">
        <v>4</v>
      </c>
      <c r="AG18" s="295">
        <f>(AH18*12)+(AI18*12)+(AK18*8)+(AL18*4)</f>
        <v>48</v>
      </c>
      <c r="AH18" s="295">
        <f>COUNTIF(B18:AF18,"D")</f>
        <v>0</v>
      </c>
      <c r="AI18" s="295">
        <f>COUNTIF(B18:AF18,"N")</f>
        <v>4</v>
      </c>
      <c r="AJ18" s="295">
        <f>COUNTIF(B18:AF18,"OFF")+COUNTIF(B18:AF18,"上課")</f>
        <v>11</v>
      </c>
      <c r="AK18" s="295">
        <f>COUNTIF(B18:AF18,"")-AL18+COUNTIF(B18:AF18,"h3")</f>
        <v>0</v>
      </c>
      <c r="AL18" s="295">
        <f>COUNTIFS($B$4:$AF$4,"6",B18:AF18,"")+COUNTIF(B18:AF18,"h3")</f>
        <v>0</v>
      </c>
      <c r="AM18" s="295">
        <f t="array" ref="AM18">SUMPRODUCT(($B$4:$AF$4=6)*(B18:AF18="off"))</f>
        <v>1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296" customFormat="1" ht="22" thickBot="1">
      <c r="A19" s="298"/>
      <c r="B19" s="111"/>
      <c r="C19" s="111"/>
      <c r="D19" s="111"/>
      <c r="E19" s="111"/>
      <c r="F19" s="111"/>
      <c r="G19" s="299"/>
      <c r="H19" s="300"/>
      <c r="I19" s="300"/>
      <c r="J19" s="301"/>
      <c r="K19" s="301"/>
      <c r="L19" s="301"/>
      <c r="M19" s="301"/>
      <c r="N19" s="301"/>
      <c r="O19" s="301"/>
      <c r="P19" s="301"/>
      <c r="Q19" s="301"/>
      <c r="R19" s="300"/>
      <c r="S19" s="300"/>
      <c r="T19" s="300"/>
      <c r="U19" s="300"/>
      <c r="V19" s="299"/>
      <c r="W19" s="300"/>
      <c r="X19" s="300"/>
      <c r="Y19" s="300"/>
      <c r="Z19" s="300"/>
      <c r="AA19" s="300"/>
      <c r="AB19" s="299"/>
      <c r="AC19" s="300"/>
      <c r="AD19" s="299"/>
      <c r="AE19" s="299"/>
      <c r="AF19" s="111"/>
      <c r="AG19" s="302"/>
      <c r="AH19" s="303"/>
      <c r="AI19" s="303"/>
      <c r="AJ19" s="304"/>
      <c r="AK19" s="295"/>
      <c r="AL19" s="295"/>
      <c r="AM19" s="303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ht="32.5" thickBot="1">
      <c r="A20" s="4"/>
      <c r="B20" s="36"/>
      <c r="C20" s="423"/>
      <c r="D20" s="423"/>
      <c r="E20" s="425"/>
      <c r="F20" s="425"/>
      <c r="G20" s="14" t="s">
        <v>52</v>
      </c>
      <c r="J20" s="37">
        <f>J21+J22</f>
        <v>5</v>
      </c>
      <c r="K20" s="13" t="s">
        <v>53</v>
      </c>
      <c r="L20" s="13" t="s">
        <v>54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  <c r="X20" s="14"/>
      <c r="Y20" s="14"/>
      <c r="Z20" s="14"/>
      <c r="AA20" s="14"/>
      <c r="AB20" s="14"/>
      <c r="AD20" t="s">
        <v>256</v>
      </c>
      <c r="AE20" s="133" t="s">
        <v>254</v>
      </c>
      <c r="AF20" s="174" t="s">
        <v>255</v>
      </c>
      <c r="AG20" s="105" t="s">
        <v>237</v>
      </c>
      <c r="AH20" t="s">
        <v>4</v>
      </c>
      <c r="AI20" s="38" t="s">
        <v>55</v>
      </c>
      <c r="AJ20" s="103" t="s">
        <v>56</v>
      </c>
      <c r="AK20" s="39" t="s">
        <v>9</v>
      </c>
      <c r="AL20" s="92" t="s">
        <v>57</v>
      </c>
    </row>
    <row r="21" spans="1:256" ht="32.5" thickBot="1">
      <c r="A21" s="4"/>
      <c r="B21" s="36">
        <v>2</v>
      </c>
      <c r="C21" s="423" t="s">
        <v>30</v>
      </c>
      <c r="D21" s="423"/>
      <c r="E21" s="425" t="s">
        <v>16</v>
      </c>
      <c r="F21" s="425"/>
      <c r="G21" s="42"/>
      <c r="H21" s="13" t="s">
        <v>59</v>
      </c>
      <c r="I21" s="13"/>
      <c r="J21" s="37">
        <v>3</v>
      </c>
      <c r="K21" s="4"/>
      <c r="L21" s="13" t="s">
        <v>60</v>
      </c>
      <c r="M21" s="13"/>
      <c r="N21" s="13"/>
      <c r="O21" s="13"/>
      <c r="P21" s="13"/>
      <c r="Q21" s="7"/>
      <c r="S21" s="43" t="str">
        <f>QUOTIENT((COUNTA(B3:AF3)-COUNTIF(AD3:AF3,"")),COUNTA(B20:B31))&amp;" ... "&amp;MOD((COUNTA(B3:AF3)-COUNTIF(AD3:AF3,"")),COUNTA(B20:B31))</f>
        <v>3 ... 7</v>
      </c>
      <c r="T21" s="44"/>
      <c r="U21" s="45"/>
      <c r="W21" s="13"/>
      <c r="X21" s="8" t="s">
        <v>20</v>
      </c>
      <c r="Y21" s="20" t="s">
        <v>3</v>
      </c>
      <c r="Z21" s="119"/>
      <c r="AA21" s="20" t="s">
        <v>5</v>
      </c>
      <c r="AB21" s="121"/>
      <c r="AC21" s="118"/>
      <c r="AD21" s="118"/>
      <c r="AE21" s="20"/>
      <c r="AF21" s="118"/>
      <c r="AG21" s="176"/>
      <c r="AH21" t="s">
        <v>3</v>
      </c>
      <c r="AI21" s="46" t="s">
        <v>61</v>
      </c>
      <c r="AJ21" s="104" t="s">
        <v>62</v>
      </c>
      <c r="AK21" s="92" t="s">
        <v>45</v>
      </c>
      <c r="AL21" s="92" t="s">
        <v>63</v>
      </c>
      <c r="AM21" t="s">
        <v>58</v>
      </c>
    </row>
    <row r="22" spans="1:256" ht="32.5" thickBot="1">
      <c r="A22" s="4"/>
      <c r="B22" s="36">
        <v>3</v>
      </c>
      <c r="C22" s="423" t="s">
        <v>31</v>
      </c>
      <c r="D22" s="423"/>
      <c r="E22" s="425" t="s">
        <v>17</v>
      </c>
      <c r="F22" s="425"/>
      <c r="G22" s="42"/>
      <c r="H22" s="13" t="s">
        <v>65</v>
      </c>
      <c r="J22" s="37">
        <v>2</v>
      </c>
      <c r="L22" s="13" t="s">
        <v>66</v>
      </c>
      <c r="M22" s="13"/>
      <c r="N22" s="13"/>
      <c r="O22" s="13"/>
      <c r="P22" s="13"/>
      <c r="Q22" s="7"/>
      <c r="S22" s="48" t="str">
        <f>QUOTIENT((COUNTA(B3:AF3)-COUNTIF(AD3:AF3,"")),COUNTA(B20:B31))&amp;" ... "&amp;MOD((COUNTA(B3:AF3)-COUNTIF(AD3:AF3,"")),COUNTA(B20:B31))</f>
        <v>3 ... 7</v>
      </c>
      <c r="T22" s="49"/>
      <c r="U22" s="45"/>
      <c r="X22" s="8" t="s">
        <v>21</v>
      </c>
      <c r="Y22" s="20" t="s">
        <v>3</v>
      </c>
      <c r="Z22" s="316">
        <v>4</v>
      </c>
      <c r="AA22" s="20" t="s">
        <v>5</v>
      </c>
      <c r="AB22" s="312">
        <v>4</v>
      </c>
      <c r="AC22" s="118"/>
      <c r="AD22" s="118"/>
      <c r="AE22" s="20"/>
      <c r="AF22" s="119">
        <v>9</v>
      </c>
      <c r="AG22" s="176">
        <v>1</v>
      </c>
      <c r="AH22" t="s">
        <v>5</v>
      </c>
      <c r="AI22" s="46" t="s">
        <v>67</v>
      </c>
      <c r="AJ22" s="104" t="s">
        <v>56</v>
      </c>
      <c r="AK22" s="92" t="s">
        <v>17</v>
      </c>
      <c r="AL22" s="92" t="s">
        <v>68</v>
      </c>
      <c r="AM22" t="s">
        <v>64</v>
      </c>
    </row>
    <row r="23" spans="1:256" ht="32.5" thickBot="1">
      <c r="A23" s="4"/>
      <c r="B23" s="36">
        <v>4</v>
      </c>
      <c r="C23" s="423" t="s">
        <v>30</v>
      </c>
      <c r="D23" s="423"/>
      <c r="E23" s="425" t="s">
        <v>14</v>
      </c>
      <c r="F23" s="425"/>
      <c r="L23" s="13" t="s">
        <v>70</v>
      </c>
      <c r="M23" s="13"/>
      <c r="N23" s="13"/>
      <c r="O23" s="13"/>
      <c r="P23" s="13"/>
      <c r="Q23" s="13"/>
      <c r="S23" s="50" t="str">
        <f>QUOTIENT(W24,COUNTA(B20:B30))&amp;" ... "&amp;MOD(W24,COUNTA(B20:B30))</f>
        <v>9 ... 5</v>
      </c>
      <c r="T23" s="51"/>
      <c r="U23" s="52"/>
      <c r="X23" s="8" t="s">
        <v>22</v>
      </c>
      <c r="Y23" s="20" t="s">
        <v>3</v>
      </c>
      <c r="Z23" s="309">
        <v>4</v>
      </c>
      <c r="AA23" s="82" t="s">
        <v>5</v>
      </c>
      <c r="AB23" s="313">
        <v>4</v>
      </c>
      <c r="AC23" s="119"/>
      <c r="AD23" s="118"/>
      <c r="AE23" s="20"/>
      <c r="AF23" s="178">
        <v>10</v>
      </c>
      <c r="AG23" s="176">
        <v>1</v>
      </c>
      <c r="AH23" t="s">
        <v>40</v>
      </c>
      <c r="AI23" s="46" t="s">
        <v>71</v>
      </c>
      <c r="AJ23" s="104" t="s">
        <v>72</v>
      </c>
      <c r="AK23" s="92" t="s">
        <v>46</v>
      </c>
      <c r="AL23" s="92" t="s">
        <v>73</v>
      </c>
      <c r="AM23" t="s">
        <v>69</v>
      </c>
    </row>
    <row r="24" spans="1:256" ht="32.5" thickBot="1">
      <c r="A24" s="4"/>
      <c r="B24" s="36">
        <v>5</v>
      </c>
      <c r="C24" s="423" t="s">
        <v>192</v>
      </c>
      <c r="D24" s="423"/>
      <c r="E24" s="425" t="s">
        <v>13</v>
      </c>
      <c r="F24" s="425"/>
      <c r="G24" s="42"/>
      <c r="H24" s="5"/>
      <c r="I24" s="5"/>
      <c r="J24" s="5"/>
      <c r="K24" s="5"/>
      <c r="L24" s="13" t="s">
        <v>75</v>
      </c>
      <c r="M24" s="13"/>
      <c r="N24" s="13" t="s">
        <v>76</v>
      </c>
      <c r="O24" s="37">
        <f>COUNTIF(B4:AF4,"日")*((COUNTA(B20:B30))-J22)</f>
        <v>20</v>
      </c>
      <c r="P24" s="13" t="s">
        <v>77</v>
      </c>
      <c r="Q24" s="13" t="s">
        <v>78</v>
      </c>
      <c r="R24" s="37">
        <f>COUNTIF(B4:AF4,"6")*((COUNTA(B20:B30))-J20)</f>
        <v>8</v>
      </c>
      <c r="S24" s="13" t="s">
        <v>79</v>
      </c>
      <c r="T24" s="53">
        <f>O24+R24</f>
        <v>28</v>
      </c>
      <c r="U24" s="13" t="s">
        <v>32</v>
      </c>
      <c r="V24" s="13"/>
      <c r="W24" s="54">
        <f>T24+T26</f>
        <v>68</v>
      </c>
      <c r="X24" s="8" t="s">
        <v>3</v>
      </c>
      <c r="Y24" s="20" t="s">
        <v>3</v>
      </c>
      <c r="Z24" s="309">
        <v>4</v>
      </c>
      <c r="AA24" s="20" t="s">
        <v>5</v>
      </c>
      <c r="AB24" s="314">
        <v>4</v>
      </c>
      <c r="AC24" s="119"/>
      <c r="AD24" s="118"/>
      <c r="AE24" s="20"/>
      <c r="AF24" s="118">
        <v>10</v>
      </c>
      <c r="AG24" s="176">
        <v>1</v>
      </c>
      <c r="AH24" t="s">
        <v>80</v>
      </c>
      <c r="AI24" s="46"/>
      <c r="AJ24" s="55"/>
      <c r="AK24" s="92" t="s">
        <v>12</v>
      </c>
      <c r="AL24" s="92" t="s">
        <v>81</v>
      </c>
      <c r="AM24" t="s">
        <v>74</v>
      </c>
    </row>
    <row r="25" spans="1:256" ht="34" thickBot="1">
      <c r="A25" s="4"/>
      <c r="B25" s="36"/>
      <c r="C25" s="423"/>
      <c r="D25" s="423"/>
      <c r="E25" s="425" t="s">
        <v>303</v>
      </c>
      <c r="F25" s="425"/>
      <c r="G25" s="42"/>
      <c r="H25" s="4"/>
      <c r="I25" s="4"/>
      <c r="J25" s="4"/>
      <c r="K25" s="4"/>
      <c r="N25" s="13" t="s">
        <v>82</v>
      </c>
      <c r="O25" s="13"/>
      <c r="Q25" s="101">
        <f>COUNTIF(B13:AF13,"*國*")</f>
        <v>3</v>
      </c>
      <c r="R25" s="102" t="s">
        <v>233</v>
      </c>
      <c r="S25" s="13"/>
      <c r="T25" s="37">
        <f>((COUNTA(B20:B30))-J22)*Q25</f>
        <v>15</v>
      </c>
      <c r="U25" s="13"/>
      <c r="V25" s="13"/>
      <c r="W25" s="13"/>
      <c r="X25" s="8" t="s">
        <v>23</v>
      </c>
      <c r="Y25" s="20" t="s">
        <v>3</v>
      </c>
      <c r="Z25" s="310">
        <v>4</v>
      </c>
      <c r="AA25" s="20" t="s">
        <v>5</v>
      </c>
      <c r="AB25" s="312">
        <v>4</v>
      </c>
      <c r="AC25" s="118"/>
      <c r="AD25" s="118"/>
      <c r="AE25" s="20"/>
      <c r="AF25" s="118">
        <v>10</v>
      </c>
      <c r="AG25" s="176">
        <v>1</v>
      </c>
      <c r="AH25" t="s">
        <v>85</v>
      </c>
      <c r="AI25" s="46" t="s">
        <v>83</v>
      </c>
      <c r="AJ25" s="104" t="s">
        <v>84</v>
      </c>
      <c r="AK25" s="92" t="s">
        <v>49</v>
      </c>
      <c r="AL25" s="92" t="s">
        <v>86</v>
      </c>
    </row>
    <row r="26" spans="1:256" ht="32.5" thickBot="1">
      <c r="A26" s="4"/>
      <c r="B26" s="36"/>
      <c r="C26" s="423"/>
      <c r="D26" s="423"/>
      <c r="E26" s="425" t="s">
        <v>269</v>
      </c>
      <c r="F26" s="425"/>
      <c r="G26" s="42"/>
      <c r="N26" s="13" t="s">
        <v>88</v>
      </c>
      <c r="P26" s="13"/>
      <c r="T26" s="37">
        <f>(SUMPRODUCT(--(B3:AF3&lt;&gt;""))-COUNTIF(B4:AF4,"日")-COUNTIF(B4:AF4,"6")-Q25)*((COUNTA(B20:B30))-J20)</f>
        <v>40</v>
      </c>
      <c r="U26" s="13"/>
      <c r="V26" s="13"/>
      <c r="W26" s="13"/>
      <c r="X26" s="8" t="s">
        <v>24</v>
      </c>
      <c r="Y26" s="82" t="s">
        <v>5</v>
      </c>
      <c r="Z26" s="82"/>
      <c r="AA26" s="82" t="s">
        <v>5</v>
      </c>
      <c r="AB26" s="82"/>
      <c r="AC26" s="119"/>
      <c r="AD26" s="118"/>
      <c r="AE26" s="20"/>
      <c r="AF26" s="82" t="s">
        <v>5</v>
      </c>
      <c r="AG26" s="82" t="s">
        <v>5</v>
      </c>
      <c r="AH26" t="s">
        <v>205</v>
      </c>
      <c r="AI26" s="56" t="s">
        <v>89</v>
      </c>
      <c r="AJ26" s="104" t="s">
        <v>90</v>
      </c>
      <c r="AK26" s="92" t="s">
        <v>50</v>
      </c>
      <c r="AL26" s="92" t="s">
        <v>92</v>
      </c>
    </row>
    <row r="27" spans="1:256" ht="32.5" thickBot="1">
      <c r="A27" s="4"/>
      <c r="B27" s="36">
        <v>6</v>
      </c>
      <c r="C27" s="423" t="s">
        <v>30</v>
      </c>
      <c r="D27" s="423"/>
      <c r="E27" s="425" t="s">
        <v>27</v>
      </c>
      <c r="F27" s="425"/>
      <c r="G27" s="42"/>
      <c r="H27" s="13"/>
      <c r="I27" s="13"/>
      <c r="J27" s="13"/>
      <c r="K27" s="13"/>
      <c r="L27" s="13" t="s">
        <v>93</v>
      </c>
      <c r="M27" s="13"/>
      <c r="O27" s="13"/>
      <c r="P27" s="4"/>
      <c r="Q27" s="57"/>
      <c r="R27" s="17"/>
      <c r="S27" s="21"/>
      <c r="T27" s="430" t="str">
        <f>QUOTIENT(R24,COUNTA(B20:B30))&amp;" ... "&amp;MOD(R24,COUNTA(B20:B30))</f>
        <v>1 ... 1</v>
      </c>
      <c r="U27" s="431"/>
      <c r="V27" s="432"/>
      <c r="X27" s="8" t="s">
        <v>25</v>
      </c>
      <c r="Y27" s="82" t="s">
        <v>5</v>
      </c>
      <c r="Z27" s="82"/>
      <c r="AA27" s="82" t="s">
        <v>5</v>
      </c>
      <c r="AB27" s="82"/>
      <c r="AC27" s="118"/>
      <c r="AD27" s="119"/>
      <c r="AE27" s="20"/>
      <c r="AF27" s="82" t="s">
        <v>5</v>
      </c>
      <c r="AG27" s="82" t="s">
        <v>5</v>
      </c>
      <c r="AH27" t="s">
        <v>211</v>
      </c>
      <c r="AI27" s="46" t="s">
        <v>94</v>
      </c>
      <c r="AJ27" s="104" t="s">
        <v>95</v>
      </c>
      <c r="AK27" s="92" t="s">
        <v>51</v>
      </c>
      <c r="AL27" s="92" t="s">
        <v>98</v>
      </c>
    </row>
    <row r="28" spans="1:256" ht="31">
      <c r="B28" s="36">
        <v>7</v>
      </c>
      <c r="C28" s="423" t="s">
        <v>30</v>
      </c>
      <c r="D28" s="423"/>
      <c r="E28" s="439" t="s">
        <v>304</v>
      </c>
      <c r="F28" s="439"/>
      <c r="X28" s="8" t="s">
        <v>11</v>
      </c>
      <c r="Y28" s="20" t="s">
        <v>3</v>
      </c>
      <c r="Z28" s="119">
        <v>4</v>
      </c>
      <c r="AA28" s="20" t="s">
        <v>5</v>
      </c>
      <c r="AB28" s="314">
        <v>3</v>
      </c>
      <c r="AC28" s="119"/>
      <c r="AD28" s="118"/>
      <c r="AE28" s="20"/>
      <c r="AF28" s="118">
        <v>10</v>
      </c>
      <c r="AG28" s="200">
        <v>1</v>
      </c>
      <c r="AH28" t="s">
        <v>214</v>
      </c>
      <c r="AJ28" s="55" t="s">
        <v>307</v>
      </c>
      <c r="AK28" t="s">
        <v>310</v>
      </c>
    </row>
    <row r="29" spans="1:256" ht="31">
      <c r="B29" s="36"/>
      <c r="C29" s="423" t="s">
        <v>30</v>
      </c>
      <c r="D29" s="423"/>
      <c r="E29" s="439"/>
      <c r="F29" s="439"/>
      <c r="M29" s="109"/>
      <c r="N29" s="428" t="s">
        <v>234</v>
      </c>
      <c r="O29" s="428"/>
      <c r="P29" s="428"/>
      <c r="Q29" s="428"/>
      <c r="R29" s="428"/>
      <c r="X29" s="8" t="s">
        <v>307</v>
      </c>
      <c r="Y29" s="20" t="s">
        <v>3</v>
      </c>
      <c r="Z29" s="311">
        <v>4</v>
      </c>
      <c r="AA29" s="20" t="s">
        <v>5</v>
      </c>
      <c r="AB29" s="315">
        <v>4</v>
      </c>
      <c r="AC29" s="73"/>
      <c r="AD29" s="20"/>
      <c r="AF29" s="118">
        <v>10</v>
      </c>
      <c r="AG29" s="200">
        <v>1</v>
      </c>
      <c r="AH29" t="s">
        <v>215</v>
      </c>
      <c r="AJ29" s="55" t="s">
        <v>308</v>
      </c>
      <c r="AK29" s="181" t="s">
        <v>311</v>
      </c>
    </row>
    <row r="30" spans="1:256" ht="27.75" customHeight="1">
      <c r="B30" s="36">
        <v>9</v>
      </c>
      <c r="C30" s="423" t="s">
        <v>30</v>
      </c>
      <c r="D30" s="423"/>
      <c r="E30" s="439" t="s">
        <v>306</v>
      </c>
      <c r="F30" s="439"/>
      <c r="H30" s="59" t="s">
        <v>216</v>
      </c>
      <c r="I30" s="59"/>
      <c r="J30" s="60"/>
      <c r="K30" s="60"/>
      <c r="M30" s="110"/>
      <c r="N30" s="180" t="s">
        <v>253</v>
      </c>
      <c r="O30" s="180"/>
      <c r="P30" s="180"/>
      <c r="Q30" s="180"/>
      <c r="R30" s="180"/>
      <c r="X30" s="8" t="s">
        <v>308</v>
      </c>
      <c r="Y30" s="20" t="s">
        <v>3</v>
      </c>
      <c r="Z30" s="311">
        <v>4</v>
      </c>
      <c r="AA30" s="20" t="s">
        <v>5</v>
      </c>
      <c r="AB30" s="311">
        <v>4</v>
      </c>
      <c r="AC30" s="73"/>
      <c r="AD30" s="20"/>
      <c r="AF30" s="118">
        <v>9</v>
      </c>
      <c r="AG30" s="200">
        <v>1</v>
      </c>
      <c r="AH30" t="s">
        <v>102</v>
      </c>
      <c r="AJ30" s="55" t="s">
        <v>309</v>
      </c>
      <c r="AK30" s="181" t="s">
        <v>312</v>
      </c>
    </row>
    <row r="31" spans="1:256" ht="31">
      <c r="B31" s="317">
        <v>10</v>
      </c>
      <c r="C31" s="423" t="s">
        <v>30</v>
      </c>
      <c r="D31" s="423"/>
      <c r="E31" s="439" t="s">
        <v>381</v>
      </c>
      <c r="F31" s="439"/>
      <c r="H31" s="291" t="s">
        <v>376</v>
      </c>
      <c r="M31" s="135"/>
      <c r="N31" s="429" t="s">
        <v>257</v>
      </c>
      <c r="O31" s="429"/>
      <c r="P31" s="429"/>
      <c r="Q31" s="429"/>
      <c r="R31" s="429"/>
      <c r="X31" s="8" t="s">
        <v>309</v>
      </c>
      <c r="Y31" s="20" t="s">
        <v>3</v>
      </c>
      <c r="Z31" s="311">
        <v>3</v>
      </c>
      <c r="AA31" s="20" t="s">
        <v>5</v>
      </c>
      <c r="AB31" s="311">
        <v>4</v>
      </c>
      <c r="AC31" s="73"/>
      <c r="AD31" s="20"/>
      <c r="AF31" s="118">
        <v>9</v>
      </c>
      <c r="AG31" s="177">
        <v>2</v>
      </c>
    </row>
    <row r="32" spans="1:256">
      <c r="Z32">
        <f>SUM(Z21:Z31)</f>
        <v>31</v>
      </c>
      <c r="AB32">
        <f>SUM(AB21:AB31)</f>
        <v>31</v>
      </c>
      <c r="AC32">
        <f>SUM(AC21:AC28)</f>
        <v>0</v>
      </c>
      <c r="AD32">
        <f>SUM(AD21:AD28)</f>
        <v>0</v>
      </c>
    </row>
  </sheetData>
  <mergeCells count="29">
    <mergeCell ref="T27:V27"/>
    <mergeCell ref="C28:D28"/>
    <mergeCell ref="E28:F28"/>
    <mergeCell ref="N29:R29"/>
    <mergeCell ref="N31:R31"/>
    <mergeCell ref="E30:F30"/>
    <mergeCell ref="C31:D31"/>
    <mergeCell ref="E31:F31"/>
    <mergeCell ref="C30:D30"/>
    <mergeCell ref="C26:D26"/>
    <mergeCell ref="C29:D29"/>
    <mergeCell ref="E29:F29"/>
    <mergeCell ref="A1:B2"/>
    <mergeCell ref="E26:F26"/>
    <mergeCell ref="C27:D27"/>
    <mergeCell ref="E27:F27"/>
    <mergeCell ref="E22:F22"/>
    <mergeCell ref="C23:D23"/>
    <mergeCell ref="E23:F23"/>
    <mergeCell ref="C25:D25"/>
    <mergeCell ref="E25:F25"/>
    <mergeCell ref="C24:D24"/>
    <mergeCell ref="E24:F24"/>
    <mergeCell ref="C22:D22"/>
    <mergeCell ref="AG4:AL4"/>
    <mergeCell ref="C20:D20"/>
    <mergeCell ref="E20:F20"/>
    <mergeCell ref="C21:D21"/>
    <mergeCell ref="E21:F21"/>
  </mergeCells>
  <phoneticPr fontId="11" type="noConversion"/>
  <conditionalFormatting sqref="AG3">
    <cfRule type="expression" dxfId="1403" priority="918" stopIfTrue="1">
      <formula>WEEKDAY(AG$3)=7</formula>
    </cfRule>
    <cfRule type="expression" dxfId="1402" priority="919" stopIfTrue="1">
      <formula>WEEKDAY(AG$3)=1</formula>
    </cfRule>
    <cfRule type="expression" dxfId="1401" priority="920" stopIfTrue="1">
      <formula>WEEKDAY(AG$3)=7</formula>
    </cfRule>
    <cfRule type="expression" dxfId="1400" priority="921" stopIfTrue="1">
      <formula>WEEKDAY(AG$3)=1</formula>
    </cfRule>
  </conditionalFormatting>
  <conditionalFormatting sqref="B3:AF3 AE7:AF7 B19:AF19 B9:F9 Y9 AC5:AE5 B18:C18 Y18:Z18 J18:M18 K9 AB9:AB10 B10:L10 S9:S10 O18:P18 R18 E18:G18">
    <cfRule type="expression" dxfId="1399" priority="916">
      <formula>WEEKDAY(B$3,2)=7</formula>
    </cfRule>
    <cfRule type="expression" dxfId="1398" priority="917">
      <formula>WEEKDAY(B$3,2)=6</formula>
    </cfRule>
  </conditionalFormatting>
  <conditionalFormatting sqref="B4:AF4">
    <cfRule type="expression" dxfId="1397" priority="914">
      <formula>WEEKDAY(B$3,2)=7</formula>
    </cfRule>
    <cfRule type="expression" dxfId="1396" priority="915">
      <formula>WEEKDAY(B$3,2)=6</formula>
    </cfRule>
  </conditionalFormatting>
  <conditionalFormatting sqref="AA15">
    <cfRule type="expression" dxfId="1395" priority="913">
      <formula>SEARCH("X", $A$15) &gt; 0</formula>
    </cfRule>
  </conditionalFormatting>
  <conditionalFormatting sqref="AC5:AE5">
    <cfRule type="expression" dxfId="1394" priority="909">
      <formula>SEARCH("X", $A$5) &gt; 0</formula>
    </cfRule>
  </conditionalFormatting>
  <conditionalFormatting sqref="AE7:AF7">
    <cfRule type="expression" dxfId="1393" priority="908">
      <formula>SEARCH("X", $A$7) &gt; 0</formula>
    </cfRule>
  </conditionalFormatting>
  <conditionalFormatting sqref="B19:AF19 B9:F9 Y9 B18:C18 Y18:Z18 J18:M18 K9 AB9:AB10 B10:L10 S9:S10 O18:P18 R18 E18:G18">
    <cfRule type="expression" dxfId="1392" priority="907">
      <formula>SEARCH("X", $A$8) &gt; 0</formula>
    </cfRule>
  </conditionalFormatting>
  <conditionalFormatting sqref="AE6:AF6">
    <cfRule type="expression" dxfId="1391" priority="899">
      <formula>WEEKDAY(AE$3,2)=7</formula>
    </cfRule>
    <cfRule type="expression" dxfId="1390" priority="900">
      <formula>WEEKDAY(AE$3,2)=6</formula>
    </cfRule>
  </conditionalFormatting>
  <conditionalFormatting sqref="AE6:AF6">
    <cfRule type="expression" dxfId="1389" priority="898">
      <formula>SEARCH("X", $A$7) &gt; 0</formula>
    </cfRule>
  </conditionalFormatting>
  <conditionalFormatting sqref="B3:AF4 B19:AF19 B9:F9 Y9 AE6:AF7 B18:C18 Y18:Z18 J18:M18 K9 AE5 AB9:AB10 B10:L10 S9:S10 O18:P18 R18 E18:G18">
    <cfRule type="expression" dxfId="1388" priority="897" stopIfTrue="1">
      <formula>SEARCH("國", B$13) &gt; 0</formula>
    </cfRule>
  </conditionalFormatting>
  <conditionalFormatting sqref="B7:AD7 B8:F8 T8 L8:M8 AA5:AB5 AA8">
    <cfRule type="expression" dxfId="1387" priority="895">
      <formula>WEEKDAY(B$3,2)=7</formula>
    </cfRule>
    <cfRule type="expression" dxfId="1386" priority="896">
      <formula>WEEKDAY(B$3,2)=6</formula>
    </cfRule>
  </conditionalFormatting>
  <conditionalFormatting sqref="D5:F5 B15 AA15 Z16:AA16 R5:T5 J5 L5:M5 L16:N17 C16:F16 H15 R16:T16 V5:X5 B17 D17:F17 H17:I17 J16">
    <cfRule type="expression" dxfId="1385" priority="893">
      <formula>WEEKDAY(B$3,2)=7</formula>
    </cfRule>
    <cfRule type="expression" dxfId="1384" priority="894">
      <formula>WEEKDAY(B$3,2)=6</formula>
    </cfRule>
  </conditionalFormatting>
  <conditionalFormatting sqref="B15">
    <cfRule type="expression" dxfId="1383" priority="891">
      <formula>SEARCH("X", $A$15) &gt; 0</formula>
    </cfRule>
  </conditionalFormatting>
  <conditionalFormatting sqref="Z16:AA16 C16:F16 L16:N16 J16 R16:T16">
    <cfRule type="expression" dxfId="1382" priority="890">
      <formula>SEARCH("X", $A$16) &gt; 0</formula>
    </cfRule>
  </conditionalFormatting>
  <conditionalFormatting sqref="B17 L17:N17 H17:I17 D17:F17">
    <cfRule type="expression" dxfId="1381" priority="889">
      <formula>SEARCH("X", $A$17) &gt; 0</formula>
    </cfRule>
  </conditionalFormatting>
  <conditionalFormatting sqref="D5:F5 R5:T5 J5 L5:M5 V5:X5">
    <cfRule type="expression" dxfId="1380" priority="888">
      <formula>SEARCH("X", $A$5) &gt; 0</formula>
    </cfRule>
  </conditionalFormatting>
  <conditionalFormatting sqref="B7:AD7">
    <cfRule type="expression" dxfId="1379" priority="887">
      <formula>SEARCH("X", $A$7) &gt; 0</formula>
    </cfRule>
  </conditionalFormatting>
  <conditionalFormatting sqref="B8:F8 T8 L8:M8 AA8">
    <cfRule type="expression" dxfId="1378" priority="886">
      <formula>SEARCH("X", $A$8) &gt; 0</formula>
    </cfRule>
  </conditionalFormatting>
  <conditionalFormatting sqref="Z17:AA17 O17 Q17:T17">
    <cfRule type="expression" dxfId="1377" priority="881">
      <formula>WEEKDAY(O$3,2)=7</formula>
    </cfRule>
    <cfRule type="expression" dxfId="1376" priority="882">
      <formula>WEEKDAY(O$3,2)=6</formula>
    </cfRule>
  </conditionalFormatting>
  <conditionalFormatting sqref="Z17:AA17 O17 Q17:T17">
    <cfRule type="expression" dxfId="1375" priority="880">
      <formula>SEARCH("X", #REF!) &gt; 0</formula>
    </cfRule>
  </conditionalFormatting>
  <conditionalFormatting sqref="H15">
    <cfRule type="expression" dxfId="1374" priority="875">
      <formula>WEEKDAY(H$3,2)=7</formula>
    </cfRule>
    <cfRule type="expression" dxfId="1373" priority="876">
      <formula>WEEKDAY(H$3,2)=6</formula>
    </cfRule>
  </conditionalFormatting>
  <conditionalFormatting sqref="H15">
    <cfRule type="expression" dxfId="1372" priority="874">
      <formula>SEARCH("X", $A$15) &gt; 0</formula>
    </cfRule>
  </conditionalFormatting>
  <conditionalFormatting sqref="E15">
    <cfRule type="expression" dxfId="1371" priority="863">
      <formula>WEEKDAY(E$3,2)=7</formula>
    </cfRule>
    <cfRule type="expression" dxfId="1370" priority="864">
      <formula>WEEKDAY(E$3,2)=6</formula>
    </cfRule>
  </conditionalFormatting>
  <conditionalFormatting sqref="E15">
    <cfRule type="expression" dxfId="1369" priority="862">
      <formula>SEARCH("X", $A$15) &gt; 0</formula>
    </cfRule>
  </conditionalFormatting>
  <conditionalFormatting sqref="L15">
    <cfRule type="expression" dxfId="1368" priority="860">
      <formula>WEEKDAY(L$3,2)=7</formula>
    </cfRule>
    <cfRule type="expression" dxfId="1367" priority="861">
      <formula>WEEKDAY(L$3,2)=6</formula>
    </cfRule>
  </conditionalFormatting>
  <conditionalFormatting sqref="L15">
    <cfRule type="expression" dxfId="1366" priority="859">
      <formula>SEARCH("X", $A$15) &gt; 0</formula>
    </cfRule>
  </conditionalFormatting>
  <conditionalFormatting sqref="S15">
    <cfRule type="expression" dxfId="1365" priority="857">
      <formula>WEEKDAY(S$3,2)=7</formula>
    </cfRule>
    <cfRule type="expression" dxfId="1364" priority="858">
      <formula>WEEKDAY(S$3,2)=6</formula>
    </cfRule>
  </conditionalFormatting>
  <conditionalFormatting sqref="S15">
    <cfRule type="expression" dxfId="1363" priority="856">
      <formula>SEARCH("X", $A$15) &gt; 0</formula>
    </cfRule>
  </conditionalFormatting>
  <conditionalFormatting sqref="F15">
    <cfRule type="expression" dxfId="1362" priority="851">
      <formula>WEEKDAY(F$3,2)=7</formula>
    </cfRule>
    <cfRule type="expression" dxfId="1361" priority="852">
      <formula>WEEKDAY(F$3,2)=6</formula>
    </cfRule>
  </conditionalFormatting>
  <conditionalFormatting sqref="F15">
    <cfRule type="expression" dxfId="1360" priority="850">
      <formula>SEARCH("X", $A$15) &gt; 0</formula>
    </cfRule>
  </conditionalFormatting>
  <conditionalFormatting sqref="M15:R15">
    <cfRule type="expression" dxfId="1359" priority="848">
      <formula>WEEKDAY(M$3,2)=7</formula>
    </cfRule>
    <cfRule type="expression" dxfId="1358" priority="849">
      <formula>WEEKDAY(M$3,2)=6</formula>
    </cfRule>
  </conditionalFormatting>
  <conditionalFormatting sqref="M15:R15">
    <cfRule type="expression" dxfId="1357" priority="847">
      <formula>SEARCH("X", $A$15) &gt; 0</formula>
    </cfRule>
  </conditionalFormatting>
  <conditionalFormatting sqref="T15:U15">
    <cfRule type="expression" dxfId="1356" priority="845">
      <formula>WEEKDAY(T$3,2)=7</formula>
    </cfRule>
    <cfRule type="expression" dxfId="1355" priority="846">
      <formula>WEEKDAY(T$3,2)=6</formula>
    </cfRule>
  </conditionalFormatting>
  <conditionalFormatting sqref="T15:U15">
    <cfRule type="expression" dxfId="1354" priority="844">
      <formula>SEARCH("X", $A$15) &gt; 0</formula>
    </cfRule>
  </conditionalFormatting>
  <conditionalFormatting sqref="B6:AD6">
    <cfRule type="expression" dxfId="1353" priority="842">
      <formula>WEEKDAY(B$3,2)=7</formula>
    </cfRule>
    <cfRule type="expression" dxfId="1352" priority="843">
      <formula>WEEKDAY(B$3,2)=6</formula>
    </cfRule>
  </conditionalFormatting>
  <conditionalFormatting sqref="B6:AD6">
    <cfRule type="expression" dxfId="1351" priority="841">
      <formula>SEARCH("X", $A$7) &gt; 0</formula>
    </cfRule>
  </conditionalFormatting>
  <conditionalFormatting sqref="B15 L15:U15 D5:F5 B6:AD7 E15:F15 B8:F8 T8 L8:M8 R5:T5 AA8 J5 L5:M5 AA5:AD5 Z16:AA17 C16:F16 H15 AA15 L17:O17 Q17:T17 V5:X5 B17 D17:F17 H17:I17 J16 L16:N16 R16:T16">
    <cfRule type="expression" dxfId="1350" priority="840" stopIfTrue="1">
      <formula>SEARCH("國", B$10) &gt; 0</formula>
    </cfRule>
  </conditionalFormatting>
  <conditionalFormatting sqref="AB30">
    <cfRule type="expression" dxfId="1349" priority="922" stopIfTrue="1">
      <formula>COUNTIF($B9:$AF9,"N")&lt;&gt;$AB30</formula>
    </cfRule>
  </conditionalFormatting>
  <conditionalFormatting sqref="AB31">
    <cfRule type="expression" dxfId="1348" priority="923" stopIfTrue="1">
      <formula>COUNTIF($B9:$AF9,"N")&lt;&gt;$AB31</formula>
    </cfRule>
  </conditionalFormatting>
  <conditionalFormatting sqref="V15">
    <cfRule type="expression" dxfId="1347" priority="834">
      <formula>WEEKDAY(V$3,2)=7</formula>
    </cfRule>
    <cfRule type="expression" dxfId="1346" priority="835">
      <formula>WEEKDAY(V$3,2)=6</formula>
    </cfRule>
  </conditionalFormatting>
  <conditionalFormatting sqref="V15">
    <cfRule type="expression" dxfId="1345" priority="833">
      <formula>SEARCH("X", $A$8) &gt; 0</formula>
    </cfRule>
  </conditionalFormatting>
  <conditionalFormatting sqref="V15">
    <cfRule type="expression" dxfId="1344" priority="832" stopIfTrue="1">
      <formula>SEARCH("國", V$13) &gt; 0</formula>
    </cfRule>
  </conditionalFormatting>
  <conditionalFormatting sqref="Y15">
    <cfRule type="expression" dxfId="1343" priority="814">
      <formula>WEEKDAY(Y$3,2)=7</formula>
    </cfRule>
    <cfRule type="expression" dxfId="1342" priority="815">
      <formula>WEEKDAY(Y$3,2)=6</formula>
    </cfRule>
  </conditionalFormatting>
  <conditionalFormatting sqref="Y15">
    <cfRule type="expression" dxfId="1341" priority="813">
      <formula>SEARCH("X", $A$8) &gt; 0</formula>
    </cfRule>
  </conditionalFormatting>
  <conditionalFormatting sqref="Y15">
    <cfRule type="expression" dxfId="1340" priority="812" stopIfTrue="1">
      <formula>SEARCH("國", Y$13) &gt; 0</formula>
    </cfRule>
  </conditionalFormatting>
  <conditionalFormatting sqref="Z21">
    <cfRule type="expression" dxfId="1339" priority="4186" stopIfTrue="1">
      <formula>COUNTIF(#REF!,"D")&lt;&gt;$Z21</formula>
    </cfRule>
  </conditionalFormatting>
  <conditionalFormatting sqref="AB21">
    <cfRule type="expression" dxfId="1338" priority="4188" stopIfTrue="1">
      <formula>COUNTIF(#REF!,"N")&lt;&gt;$AB21</formula>
    </cfRule>
  </conditionalFormatting>
  <conditionalFormatting sqref="B5:C5">
    <cfRule type="expression" dxfId="1337" priority="794">
      <formula>WEEKDAY(B$3,2)=7</formula>
    </cfRule>
    <cfRule type="expression" dxfId="1336" priority="795">
      <formula>WEEKDAY(B$3,2)=6</formula>
    </cfRule>
  </conditionalFormatting>
  <conditionalFormatting sqref="B5:C5">
    <cfRule type="expression" dxfId="1335" priority="793">
      <formula>SEARCH("X", $A$8) &gt; 0</formula>
    </cfRule>
  </conditionalFormatting>
  <conditionalFormatting sqref="B5:C5">
    <cfRule type="expression" dxfId="1334" priority="792" stopIfTrue="1">
      <formula>SEARCH("國", B$13) &gt; 0</formula>
    </cfRule>
  </conditionalFormatting>
  <conditionalFormatting sqref="T10">
    <cfRule type="expression" dxfId="1333" priority="787">
      <formula>WEEKDAY(T$3,2)=7</formula>
    </cfRule>
    <cfRule type="expression" dxfId="1332" priority="788">
      <formula>WEEKDAY(T$3,2)=6</formula>
    </cfRule>
  </conditionalFormatting>
  <conditionalFormatting sqref="T10">
    <cfRule type="expression" dxfId="1331" priority="786" stopIfTrue="1">
      <formula>SEARCH("國", T$10) &gt; 0</formula>
    </cfRule>
  </conditionalFormatting>
  <conditionalFormatting sqref="T9">
    <cfRule type="expression" dxfId="1330" priority="784">
      <formula>WEEKDAY(T$3,2)=7</formula>
    </cfRule>
    <cfRule type="expression" dxfId="1329" priority="785">
      <formula>WEEKDAY(T$3,2)=6</formula>
    </cfRule>
  </conditionalFormatting>
  <conditionalFormatting sqref="T9">
    <cfRule type="expression" dxfId="1328" priority="783" stopIfTrue="1">
      <formula>SEARCH("國", T$10) &gt; 0</formula>
    </cfRule>
  </conditionalFormatting>
  <conditionalFormatting sqref="T5">
    <cfRule type="expression" dxfId="1327" priority="781">
      <formula>WEEKDAY(T$3,2)=7</formula>
    </cfRule>
    <cfRule type="expression" dxfId="1326" priority="782">
      <formula>WEEKDAY(T$3,2)=6</formula>
    </cfRule>
  </conditionalFormatting>
  <conditionalFormatting sqref="M10">
    <cfRule type="expression" dxfId="1325" priority="779">
      <formula>WEEKDAY(M$3,2)=7</formula>
    </cfRule>
    <cfRule type="expression" dxfId="1324" priority="780">
      <formula>WEEKDAY(M$3,2)=6</formula>
    </cfRule>
  </conditionalFormatting>
  <conditionalFormatting sqref="M10">
    <cfRule type="expression" dxfId="1323" priority="778" stopIfTrue="1">
      <formula>SEARCH("國", M$10) &gt; 0</formula>
    </cfRule>
  </conditionalFormatting>
  <conditionalFormatting sqref="F5">
    <cfRule type="expression" dxfId="1322" priority="776">
      <formula>WEEKDAY(F$3,2)=7</formula>
    </cfRule>
    <cfRule type="expression" dxfId="1321" priority="777">
      <formula>WEEKDAY(F$3,2)=6</formula>
    </cfRule>
  </conditionalFormatting>
  <conditionalFormatting sqref="Z31">
    <cfRule type="expression" dxfId="1320" priority="4249" stopIfTrue="1">
      <formula>COUNTIF($B18:$AF18,"D")&lt;&gt;$Z31</formula>
    </cfRule>
  </conditionalFormatting>
  <conditionalFormatting sqref="AB31">
    <cfRule type="expression" dxfId="1319" priority="4251" stopIfTrue="1">
      <formula>COUNTIF($B18:$AF18,"N")&lt;&gt;$AB31</formula>
    </cfRule>
  </conditionalFormatting>
  <conditionalFormatting sqref="B12:AF12">
    <cfRule type="expression" dxfId="1318" priority="4254" stopIfTrue="1">
      <formula>(COUNTIF(B$5:B$18,"off")+COUNTIF(B$5:B$18,"護"))&lt;&gt;B$12</formula>
    </cfRule>
  </conditionalFormatting>
  <conditionalFormatting sqref="Z25:Z30">
    <cfRule type="expression" dxfId="1317" priority="4255" stopIfTrue="1">
      <formula>COUNTIF($B5:$AF5,"D")&lt;&gt;$Z25</formula>
    </cfRule>
  </conditionalFormatting>
  <conditionalFormatting sqref="AB25:AB30">
    <cfRule type="expression" dxfId="1316" priority="4256" stopIfTrue="1">
      <formula>COUNTIF($B5:$AF5,"N")&lt;&gt;$AB25</formula>
    </cfRule>
  </conditionalFormatting>
  <conditionalFormatting sqref="Z22:Z24">
    <cfRule type="expression" dxfId="1315" priority="4257" stopIfTrue="1">
      <formula>COUNTIF($B15:$AF15,"D")&lt;&gt;$Z22</formula>
    </cfRule>
  </conditionalFormatting>
  <conditionalFormatting sqref="AB22:AB24">
    <cfRule type="expression" dxfId="1314" priority="4258" stopIfTrue="1">
      <formula>COUNTIF($B15:$AF15,"N")&lt;&gt;$AB22</formula>
    </cfRule>
  </conditionalFormatting>
  <conditionalFormatting sqref="H15">
    <cfRule type="expression" dxfId="1313" priority="775">
      <formula>SEARCH("X", $A$16) &gt; 0</formula>
    </cfRule>
  </conditionalFormatting>
  <conditionalFormatting sqref="L16:M16">
    <cfRule type="expression" dxfId="1312" priority="773">
      <formula>WEEKDAY(L$3,2)=7</formula>
    </cfRule>
    <cfRule type="expression" dxfId="1311" priority="774">
      <formula>WEEKDAY(L$3,2)=6</formula>
    </cfRule>
  </conditionalFormatting>
  <conditionalFormatting sqref="L16:M16">
    <cfRule type="expression" dxfId="1310" priority="772">
      <formula>SEARCH("X", $A$15) &gt; 0</formula>
    </cfRule>
  </conditionalFormatting>
  <conditionalFormatting sqref="W15">
    <cfRule type="expression" dxfId="1309" priority="760">
      <formula>WEEKDAY(W$3,2)=7</formula>
    </cfRule>
    <cfRule type="expression" dxfId="1308" priority="761">
      <formula>WEEKDAY(W$3,2)=6</formula>
    </cfRule>
  </conditionalFormatting>
  <conditionalFormatting sqref="W15">
    <cfRule type="expression" dxfId="1307" priority="759">
      <formula>SEARCH("X", $A$15) &gt; 0</formula>
    </cfRule>
  </conditionalFormatting>
  <conditionalFormatting sqref="W15">
    <cfRule type="expression" dxfId="1306" priority="758" stopIfTrue="1">
      <formula>SEARCH("國", W$10) &gt; 0</formula>
    </cfRule>
  </conditionalFormatting>
  <conditionalFormatting sqref="X15">
    <cfRule type="expression" dxfId="1305" priority="756">
      <formula>WEEKDAY(X$3,2)=7</formula>
    </cfRule>
    <cfRule type="expression" dxfId="1304" priority="757">
      <formula>WEEKDAY(X$3,2)=6</formula>
    </cfRule>
  </conditionalFormatting>
  <conditionalFormatting sqref="X15">
    <cfRule type="expression" dxfId="1303" priority="755">
      <formula>SEARCH("X", $A$8) &gt; 0</formula>
    </cfRule>
  </conditionalFormatting>
  <conditionalFormatting sqref="X15">
    <cfRule type="expression" dxfId="1302" priority="754" stopIfTrue="1">
      <formula>SEARCH("國", X$13) &gt; 0</formula>
    </cfRule>
  </conditionalFormatting>
  <conditionalFormatting sqref="AC18">
    <cfRule type="expression" dxfId="1301" priority="752">
      <formula>WEEKDAY(AC$3,2)=7</formula>
    </cfRule>
    <cfRule type="expression" dxfId="1300" priority="753">
      <formula>WEEKDAY(AC$3,2)=6</formula>
    </cfRule>
  </conditionalFormatting>
  <conditionalFormatting sqref="AC18">
    <cfRule type="expression" dxfId="1299" priority="751">
      <formula>SEARCH("X", $A$8) &gt; 0</formula>
    </cfRule>
  </conditionalFormatting>
  <conditionalFormatting sqref="AC18">
    <cfRule type="expression" dxfId="1298" priority="750" stopIfTrue="1">
      <formula>SEARCH("國", AC$13) &gt; 0</formula>
    </cfRule>
  </conditionalFormatting>
  <conditionalFormatting sqref="AB17">
    <cfRule type="expression" dxfId="1297" priority="745">
      <formula>WEEKDAY(AB$3,2)=7</formula>
    </cfRule>
    <cfRule type="expression" dxfId="1296" priority="746">
      <formula>WEEKDAY(AB$3,2)=6</formula>
    </cfRule>
  </conditionalFormatting>
  <conditionalFormatting sqref="AB17">
    <cfRule type="expression" dxfId="1295" priority="744">
      <formula>SEARCH("X", #REF!) &gt; 0</formula>
    </cfRule>
  </conditionalFormatting>
  <conditionalFormatting sqref="AB17">
    <cfRule type="expression" dxfId="1294" priority="740" stopIfTrue="1">
      <formula>SEARCH("國", AB$10) &gt; 0</formula>
    </cfRule>
  </conditionalFormatting>
  <conditionalFormatting sqref="AD16">
    <cfRule type="expression" dxfId="1293" priority="730">
      <formula>WEEKDAY(AD$3,2)=7</formula>
    </cfRule>
    <cfRule type="expression" dxfId="1292" priority="731">
      <formula>WEEKDAY(AD$3,2)=6</formula>
    </cfRule>
  </conditionalFormatting>
  <conditionalFormatting sqref="AD16">
    <cfRule type="expression" dxfId="1291" priority="729">
      <formula>SEARCH("X", $A$16) &gt; 0</formula>
    </cfRule>
  </conditionalFormatting>
  <conditionalFormatting sqref="AD15">
    <cfRule type="expression" dxfId="1290" priority="724">
      <formula>WEEKDAY(AD$3,2)=7</formula>
    </cfRule>
    <cfRule type="expression" dxfId="1289" priority="725">
      <formula>WEEKDAY(AD$3,2)=6</formula>
    </cfRule>
  </conditionalFormatting>
  <conditionalFormatting sqref="AD15">
    <cfRule type="expression" dxfId="1288" priority="723">
      <formula>SEARCH("X", $A$15) &gt; 0</formula>
    </cfRule>
  </conditionalFormatting>
  <conditionalFormatting sqref="AD15:AD16">
    <cfRule type="expression" dxfId="1287" priority="722" stopIfTrue="1">
      <formula>SEARCH("國", AD$10) &gt; 0</formula>
    </cfRule>
  </conditionalFormatting>
  <conditionalFormatting sqref="AF18">
    <cfRule type="expression" dxfId="1286" priority="716">
      <formula>WEEKDAY(AF$3,2)=7</formula>
    </cfRule>
    <cfRule type="expression" dxfId="1285" priority="717">
      <formula>WEEKDAY(AF$3,2)=6</formula>
    </cfRule>
  </conditionalFormatting>
  <conditionalFormatting sqref="AF18">
    <cfRule type="expression" dxfId="1284" priority="715">
      <formula>SEARCH("X", $A$8) &gt; 0</formula>
    </cfRule>
  </conditionalFormatting>
  <conditionalFormatting sqref="AF18">
    <cfRule type="expression" dxfId="1283" priority="714" stopIfTrue="1">
      <formula>SEARCH("國", AF$13) &gt; 0</formula>
    </cfRule>
  </conditionalFormatting>
  <conditionalFormatting sqref="AE17">
    <cfRule type="expression" dxfId="1282" priority="709">
      <formula>WEEKDAY(AE$3,2)=7</formula>
    </cfRule>
    <cfRule type="expression" dxfId="1281" priority="710">
      <formula>WEEKDAY(AE$3,2)=6</formula>
    </cfRule>
  </conditionalFormatting>
  <conditionalFormatting sqref="AE17">
    <cfRule type="expression" dxfId="1280" priority="708">
      <formula>SEARCH("X", #REF!) &gt; 0</formula>
    </cfRule>
  </conditionalFormatting>
  <conditionalFormatting sqref="AE17">
    <cfRule type="expression" dxfId="1279" priority="704" stopIfTrue="1">
      <formula>SEARCH("國", AE$10) &gt; 0</formula>
    </cfRule>
  </conditionalFormatting>
  <conditionalFormatting sqref="S18:T18">
    <cfRule type="expression" dxfId="1278" priority="658">
      <formula>WEEKDAY(S$3,2)=7</formula>
    </cfRule>
    <cfRule type="expression" dxfId="1277" priority="659">
      <formula>WEEKDAY(S$3,2)=6</formula>
    </cfRule>
  </conditionalFormatting>
  <conditionalFormatting sqref="S18:T18">
    <cfRule type="expression" dxfId="1276" priority="657">
      <formula>SEARCH("X", $A$15) &gt; 0</formula>
    </cfRule>
  </conditionalFormatting>
  <conditionalFormatting sqref="S18:T18">
    <cfRule type="expression" dxfId="1275" priority="656" stopIfTrue="1">
      <formula>SEARCH("國", S$10) &gt; 0</formula>
    </cfRule>
  </conditionalFormatting>
  <conditionalFormatting sqref="AA18">
    <cfRule type="expression" dxfId="1274" priority="654">
      <formula>WEEKDAY(AA$3,2)=7</formula>
    </cfRule>
    <cfRule type="expression" dxfId="1273" priority="655">
      <formula>WEEKDAY(AA$3,2)=6</formula>
    </cfRule>
  </conditionalFormatting>
  <conditionalFormatting sqref="AA18">
    <cfRule type="expression" dxfId="1272" priority="653">
      <formula>SEARCH("X", $A$15) &gt; 0</formula>
    </cfRule>
  </conditionalFormatting>
  <conditionalFormatting sqref="AA18">
    <cfRule type="expression" dxfId="1271" priority="652" stopIfTrue="1">
      <formula>SEARCH("國", AA$10) &gt; 0</formula>
    </cfRule>
  </conditionalFormatting>
  <conditionalFormatting sqref="Y10:Z10">
    <cfRule type="expression" dxfId="1270" priority="646">
      <formula>WEEKDAY(Y$3,2)=7</formula>
    </cfRule>
    <cfRule type="expression" dxfId="1269" priority="647">
      <formula>WEEKDAY(Y$3,2)=6</formula>
    </cfRule>
  </conditionalFormatting>
  <conditionalFormatting sqref="Y10:Z10">
    <cfRule type="expression" dxfId="1268" priority="645">
      <formula>SEARCH("X", $A$8) &gt; 0</formula>
    </cfRule>
  </conditionalFormatting>
  <conditionalFormatting sqref="Y10:Z10">
    <cfRule type="expression" dxfId="1267" priority="644" stopIfTrue="1">
      <formula>SEARCH("國", Y$13) &gt; 0</formula>
    </cfRule>
  </conditionalFormatting>
  <conditionalFormatting sqref="Z8">
    <cfRule type="expression" dxfId="1266" priority="642">
      <formula>WEEKDAY(Z$3,2)=7</formula>
    </cfRule>
    <cfRule type="expression" dxfId="1265" priority="643">
      <formula>WEEKDAY(Z$3,2)=6</formula>
    </cfRule>
  </conditionalFormatting>
  <conditionalFormatting sqref="Z8">
    <cfRule type="expression" dxfId="1264" priority="641">
      <formula>SEARCH("X", $A$8) &gt; 0</formula>
    </cfRule>
  </conditionalFormatting>
  <conditionalFormatting sqref="Z8">
    <cfRule type="expression" dxfId="1263" priority="640" stopIfTrue="1">
      <formula>SEARCH("國", Z$13) &gt; 0</formula>
    </cfRule>
  </conditionalFormatting>
  <conditionalFormatting sqref="N17">
    <cfRule type="expression" dxfId="1262" priority="638">
      <formula>WEEKDAY(N$3,2)=7</formula>
    </cfRule>
    <cfRule type="expression" dxfId="1261" priority="639">
      <formula>WEEKDAY(N$3,2)=6</formula>
    </cfRule>
  </conditionalFormatting>
  <conditionalFormatting sqref="N17">
    <cfRule type="expression" dxfId="1260" priority="637">
      <formula>SEARCH("X", #REF!) &gt; 0</formula>
    </cfRule>
  </conditionalFormatting>
  <conditionalFormatting sqref="AB8">
    <cfRule type="expression" dxfId="1259" priority="635">
      <formula>WEEKDAY(AB$3,2)=7</formula>
    </cfRule>
    <cfRule type="expression" dxfId="1258" priority="636">
      <formula>WEEKDAY(AB$3,2)=6</formula>
    </cfRule>
  </conditionalFormatting>
  <conditionalFormatting sqref="AB8">
    <cfRule type="expression" dxfId="1257" priority="634">
      <formula>SEARCH("X", $A$8) &gt; 0</formula>
    </cfRule>
  </conditionalFormatting>
  <conditionalFormatting sqref="AB8">
    <cfRule type="expression" dxfId="1256" priority="633" stopIfTrue="1">
      <formula>SEARCH("國", AB$13) &gt; 0</formula>
    </cfRule>
  </conditionalFormatting>
  <conditionalFormatting sqref="P10">
    <cfRule type="expression" dxfId="1255" priority="631">
      <formula>WEEKDAY(P$3,2)=7</formula>
    </cfRule>
    <cfRule type="expression" dxfId="1254" priority="632">
      <formula>WEEKDAY(P$3,2)=6</formula>
    </cfRule>
  </conditionalFormatting>
  <conditionalFormatting sqref="P10">
    <cfRule type="expression" dxfId="1253" priority="630">
      <formula>SEARCH("X", $A$5) &gt; 0</formula>
    </cfRule>
  </conditionalFormatting>
  <conditionalFormatting sqref="P10">
    <cfRule type="expression" dxfId="1252" priority="629" stopIfTrue="1">
      <formula>SEARCH("國", P$10) &gt; 0</formula>
    </cfRule>
  </conditionalFormatting>
  <conditionalFormatting sqref="O5">
    <cfRule type="expression" dxfId="1251" priority="627">
      <formula>WEEKDAY(O$3,2)=7</formula>
    </cfRule>
    <cfRule type="expression" dxfId="1250" priority="628">
      <formula>WEEKDAY(O$3,2)=6</formula>
    </cfRule>
  </conditionalFormatting>
  <conditionalFormatting sqref="O5">
    <cfRule type="expression" dxfId="1249" priority="626">
      <formula>SEARCH("X", $A$5) &gt; 0</formula>
    </cfRule>
  </conditionalFormatting>
  <conditionalFormatting sqref="O5">
    <cfRule type="expression" dxfId="1248" priority="625" stopIfTrue="1">
      <formula>SEARCH("國", O$10) &gt; 0</formula>
    </cfRule>
  </conditionalFormatting>
  <conditionalFormatting sqref="AF5">
    <cfRule type="expression" dxfId="1247" priority="619">
      <formula>WEEKDAY(AF$3,2)=7</formula>
    </cfRule>
    <cfRule type="expression" dxfId="1246" priority="620">
      <formula>WEEKDAY(AF$3,2)=6</formula>
    </cfRule>
  </conditionalFormatting>
  <conditionalFormatting sqref="AF5">
    <cfRule type="expression" dxfId="1245" priority="618">
      <formula>SEARCH("X", $A$5) &gt; 0</formula>
    </cfRule>
  </conditionalFormatting>
  <conditionalFormatting sqref="AF5">
    <cfRule type="expression" dxfId="1244" priority="617" stopIfTrue="1">
      <formula>SEARCH("國", AF$10) &gt; 0</formula>
    </cfRule>
  </conditionalFormatting>
  <conditionalFormatting sqref="M9">
    <cfRule type="expression" dxfId="1243" priority="611">
      <formula>WEEKDAY(M$3,2)=7</formula>
    </cfRule>
    <cfRule type="expression" dxfId="1242" priority="612">
      <formula>WEEKDAY(M$3,2)=6</formula>
    </cfRule>
  </conditionalFormatting>
  <conditionalFormatting sqref="M9">
    <cfRule type="expression" dxfId="1241" priority="610">
      <formula>SEARCH("X", $A$8) &gt; 0</formula>
    </cfRule>
  </conditionalFormatting>
  <conditionalFormatting sqref="M9">
    <cfRule type="expression" dxfId="1240" priority="609" stopIfTrue="1">
      <formula>SEARCH("國", M$10) &gt; 0</formula>
    </cfRule>
  </conditionalFormatting>
  <conditionalFormatting sqref="T5">
    <cfRule type="expression" dxfId="1239" priority="607">
      <formula>WEEKDAY(T$3,2)=7</formula>
    </cfRule>
    <cfRule type="expression" dxfId="1238" priority="608">
      <formula>WEEKDAY(T$3,2)=6</formula>
    </cfRule>
  </conditionalFormatting>
  <conditionalFormatting sqref="T5">
    <cfRule type="expression" dxfId="1237" priority="606">
      <formula>SEARCH("X", $A$8) &gt; 0</formula>
    </cfRule>
  </conditionalFormatting>
  <conditionalFormatting sqref="AA5">
    <cfRule type="expression" dxfId="1236" priority="605">
      <formula>SEARCH("X", $A$8) &gt; 0</formula>
    </cfRule>
  </conditionalFormatting>
  <conditionalFormatting sqref="AA10">
    <cfRule type="expression" dxfId="1235" priority="603">
      <formula>WEEKDAY(AA$3,2)=7</formula>
    </cfRule>
    <cfRule type="expression" dxfId="1234" priority="604">
      <formula>WEEKDAY(AA$3,2)=6</formula>
    </cfRule>
  </conditionalFormatting>
  <conditionalFormatting sqref="AA10">
    <cfRule type="expression" dxfId="1233" priority="602">
      <formula>SEARCH("X", $A$8) &gt; 0</formula>
    </cfRule>
  </conditionalFormatting>
  <conditionalFormatting sqref="AA10">
    <cfRule type="expression" dxfId="1232" priority="601" stopIfTrue="1">
      <formula>SEARCH("國", AA$10) &gt; 0</formula>
    </cfRule>
  </conditionalFormatting>
  <conditionalFormatting sqref="AA9">
    <cfRule type="expression" dxfId="1231" priority="599">
      <formula>WEEKDAY(AA$3,2)=7</formula>
    </cfRule>
    <cfRule type="expression" dxfId="1230" priority="600">
      <formula>WEEKDAY(AA$3,2)=6</formula>
    </cfRule>
  </conditionalFormatting>
  <conditionalFormatting sqref="AA9">
    <cfRule type="expression" dxfId="1229" priority="598">
      <formula>SEARCH("X", $A$8) &gt; 0</formula>
    </cfRule>
  </conditionalFormatting>
  <conditionalFormatting sqref="AA9">
    <cfRule type="expression" dxfId="1228" priority="597" stopIfTrue="1">
      <formula>SEARCH("國", AA$10) &gt; 0</formula>
    </cfRule>
  </conditionalFormatting>
  <conditionalFormatting sqref="G8">
    <cfRule type="expression" dxfId="1227" priority="595">
      <formula>WEEKDAY(G$3,2)=7</formula>
    </cfRule>
    <cfRule type="expression" dxfId="1226" priority="596">
      <formula>WEEKDAY(G$3,2)=6</formula>
    </cfRule>
  </conditionalFormatting>
  <conditionalFormatting sqref="G8">
    <cfRule type="expression" dxfId="1225" priority="594">
      <formula>SEARCH("X", $A$8) &gt; 0</formula>
    </cfRule>
  </conditionalFormatting>
  <conditionalFormatting sqref="G8">
    <cfRule type="expression" dxfId="1224" priority="593" stopIfTrue="1">
      <formula>SEARCH("國", G$13) &gt; 0</formula>
    </cfRule>
  </conditionalFormatting>
  <conditionalFormatting sqref="G9">
    <cfRule type="expression" dxfId="1223" priority="591">
      <formula>WEEKDAY(G$3,2)=7</formula>
    </cfRule>
    <cfRule type="expression" dxfId="1222" priority="592">
      <formula>WEEKDAY(G$3,2)=6</formula>
    </cfRule>
  </conditionalFormatting>
  <conditionalFormatting sqref="G9">
    <cfRule type="expression" dxfId="1221" priority="590">
      <formula>SEARCH("X", $A$8) &gt; 0</formula>
    </cfRule>
  </conditionalFormatting>
  <conditionalFormatting sqref="G9">
    <cfRule type="expression" dxfId="1220" priority="589" stopIfTrue="1">
      <formula>SEARCH("國", G$13) &gt; 0</formula>
    </cfRule>
  </conditionalFormatting>
  <conditionalFormatting sqref="G5">
    <cfRule type="expression" dxfId="1219" priority="587">
      <formula>WEEKDAY(G$3,2)=7</formula>
    </cfRule>
    <cfRule type="expression" dxfId="1218" priority="588">
      <formula>WEEKDAY(G$3,2)=6</formula>
    </cfRule>
  </conditionalFormatting>
  <conditionalFormatting sqref="G5">
    <cfRule type="expression" dxfId="1217" priority="586">
      <formula>SEARCH("X", $A$8) &gt; 0</formula>
    </cfRule>
  </conditionalFormatting>
  <conditionalFormatting sqref="G5">
    <cfRule type="expression" dxfId="1216" priority="585" stopIfTrue="1">
      <formula>SEARCH("國", G$13) &gt; 0</formula>
    </cfRule>
  </conditionalFormatting>
  <conditionalFormatting sqref="K8">
    <cfRule type="expression" dxfId="1215" priority="583">
      <formula>WEEKDAY(K$3,2)=7</formula>
    </cfRule>
    <cfRule type="expression" dxfId="1214" priority="584">
      <formula>WEEKDAY(K$3,2)=6</formula>
    </cfRule>
  </conditionalFormatting>
  <conditionalFormatting sqref="K8">
    <cfRule type="expression" dxfId="1213" priority="582">
      <formula>SEARCH("X", $A$8) &gt; 0</formula>
    </cfRule>
  </conditionalFormatting>
  <conditionalFormatting sqref="K8">
    <cfRule type="expression" dxfId="1212" priority="581" stopIfTrue="1">
      <formula>SEARCH("國", K$13) &gt; 0</formula>
    </cfRule>
  </conditionalFormatting>
  <conditionalFormatting sqref="K5">
    <cfRule type="expression" dxfId="1211" priority="575">
      <formula>WEEKDAY(K$3,2)=7</formula>
    </cfRule>
    <cfRule type="expression" dxfId="1210" priority="576">
      <formula>WEEKDAY(K$3,2)=6</formula>
    </cfRule>
  </conditionalFormatting>
  <conditionalFormatting sqref="K5">
    <cfRule type="expression" dxfId="1209" priority="574">
      <formula>SEARCH("X", $A$8) &gt; 0</formula>
    </cfRule>
  </conditionalFormatting>
  <conditionalFormatting sqref="K5">
    <cfRule type="expression" dxfId="1208" priority="573" stopIfTrue="1">
      <formula>SEARCH("國", K$13) &gt; 0</formula>
    </cfRule>
  </conditionalFormatting>
  <conditionalFormatting sqref="K15">
    <cfRule type="expression" dxfId="1207" priority="571">
      <formula>WEEKDAY(K$3,2)=7</formula>
    </cfRule>
    <cfRule type="expression" dxfId="1206" priority="572">
      <formula>WEEKDAY(K$3,2)=6</formula>
    </cfRule>
  </conditionalFormatting>
  <conditionalFormatting sqref="K15">
    <cfRule type="expression" dxfId="1205" priority="570">
      <formula>SEARCH("X", $A$8) &gt; 0</formula>
    </cfRule>
  </conditionalFormatting>
  <conditionalFormatting sqref="K15">
    <cfRule type="expression" dxfId="1204" priority="569" stopIfTrue="1">
      <formula>SEARCH("國", K$13) &gt; 0</formula>
    </cfRule>
  </conditionalFormatting>
  <conditionalFormatting sqref="Y8">
    <cfRule type="expression" dxfId="1203" priority="567">
      <formula>WEEKDAY(Y$3,2)=7</formula>
    </cfRule>
    <cfRule type="expression" dxfId="1202" priority="568">
      <formula>WEEKDAY(Y$3,2)=6</formula>
    </cfRule>
  </conditionalFormatting>
  <conditionalFormatting sqref="Y8">
    <cfRule type="expression" dxfId="1201" priority="566">
      <formula>SEARCH("X", $A$8) &gt; 0</formula>
    </cfRule>
  </conditionalFormatting>
  <conditionalFormatting sqref="Y8">
    <cfRule type="expression" dxfId="1200" priority="565" stopIfTrue="1">
      <formula>SEARCH("國", Y$13) &gt; 0</formula>
    </cfRule>
  </conditionalFormatting>
  <conditionalFormatting sqref="Y5">
    <cfRule type="expression" dxfId="1199" priority="563">
      <formula>WEEKDAY(Y$3,2)=7</formula>
    </cfRule>
    <cfRule type="expression" dxfId="1198" priority="564">
      <formula>WEEKDAY(Y$3,2)=6</formula>
    </cfRule>
  </conditionalFormatting>
  <conditionalFormatting sqref="Y5">
    <cfRule type="expression" dxfId="1197" priority="562">
      <formula>SEARCH("X", $A$8) &gt; 0</formula>
    </cfRule>
  </conditionalFormatting>
  <conditionalFormatting sqref="Y5">
    <cfRule type="expression" dxfId="1196" priority="561" stopIfTrue="1">
      <formula>SEARCH("國", Y$13) &gt; 0</formula>
    </cfRule>
  </conditionalFormatting>
  <conditionalFormatting sqref="K17">
    <cfRule type="expression" dxfId="1195" priority="559">
      <formula>WEEKDAY(K$3,2)=7</formula>
    </cfRule>
    <cfRule type="expression" dxfId="1194" priority="560">
      <formula>WEEKDAY(K$3,2)=6</formula>
    </cfRule>
  </conditionalFormatting>
  <conditionalFormatting sqref="K17">
    <cfRule type="expression" dxfId="1193" priority="558">
      <formula>SEARCH("X", $A$8) &gt; 0</formula>
    </cfRule>
  </conditionalFormatting>
  <conditionalFormatting sqref="K17">
    <cfRule type="expression" dxfId="1192" priority="557" stopIfTrue="1">
      <formula>SEARCH("國", K$13) &gt; 0</formula>
    </cfRule>
  </conditionalFormatting>
  <conditionalFormatting sqref="Y16">
    <cfRule type="expression" dxfId="1191" priority="555">
      <formula>WEEKDAY(Y$3,2)=7</formula>
    </cfRule>
    <cfRule type="expression" dxfId="1190" priority="556">
      <formula>WEEKDAY(Y$3,2)=6</formula>
    </cfRule>
  </conditionalFormatting>
  <conditionalFormatting sqref="Y16">
    <cfRule type="expression" dxfId="1189" priority="554">
      <formula>SEARCH("X", $A$8) &gt; 0</formula>
    </cfRule>
  </conditionalFormatting>
  <conditionalFormatting sqref="Y16">
    <cfRule type="expression" dxfId="1188" priority="553" stopIfTrue="1">
      <formula>SEARCH("國", Y$13) &gt; 0</formula>
    </cfRule>
  </conditionalFormatting>
  <conditionalFormatting sqref="Y17">
    <cfRule type="expression" dxfId="1187" priority="551">
      <formula>WEEKDAY(Y$3,2)=7</formula>
    </cfRule>
    <cfRule type="expression" dxfId="1186" priority="552">
      <formula>WEEKDAY(Y$3,2)=6</formula>
    </cfRule>
  </conditionalFormatting>
  <conditionalFormatting sqref="Y17">
    <cfRule type="expression" dxfId="1185" priority="550">
      <formula>SEARCH("X", $A$8) &gt; 0</formula>
    </cfRule>
  </conditionalFormatting>
  <conditionalFormatting sqref="Y17">
    <cfRule type="expression" dxfId="1184" priority="549" stopIfTrue="1">
      <formula>SEARCH("國", Y$13) &gt; 0</formula>
    </cfRule>
  </conditionalFormatting>
  <conditionalFormatting sqref="K16">
    <cfRule type="expression" dxfId="1183" priority="547">
      <formula>WEEKDAY(K$3,2)=7</formula>
    </cfRule>
    <cfRule type="expression" dxfId="1182" priority="548">
      <formula>WEEKDAY(K$3,2)=6</formula>
    </cfRule>
  </conditionalFormatting>
  <conditionalFormatting sqref="K16">
    <cfRule type="expression" dxfId="1181" priority="546">
      <formula>SEARCH("X", $A$8) &gt; 0</formula>
    </cfRule>
  </conditionalFormatting>
  <conditionalFormatting sqref="K16">
    <cfRule type="expression" dxfId="1180" priority="545" stopIfTrue="1">
      <formula>SEARCH("國", K$13) &gt; 0</formula>
    </cfRule>
  </conditionalFormatting>
  <conditionalFormatting sqref="G17">
    <cfRule type="expression" dxfId="1179" priority="543">
      <formula>WEEKDAY(G$3,2)=7</formula>
    </cfRule>
    <cfRule type="expression" dxfId="1178" priority="544">
      <formula>WEEKDAY(G$3,2)=6</formula>
    </cfRule>
  </conditionalFormatting>
  <conditionalFormatting sqref="G17">
    <cfRule type="expression" dxfId="1177" priority="542">
      <formula>SEARCH("X", $A$8) &gt; 0</formula>
    </cfRule>
  </conditionalFormatting>
  <conditionalFormatting sqref="G17">
    <cfRule type="expression" dxfId="1176" priority="541" stopIfTrue="1">
      <formula>SEARCH("國", G$13) &gt; 0</formula>
    </cfRule>
  </conditionalFormatting>
  <conditionalFormatting sqref="G16">
    <cfRule type="expression" dxfId="1175" priority="539">
      <formula>WEEKDAY(G$3,2)=7</formula>
    </cfRule>
    <cfRule type="expression" dxfId="1174" priority="540">
      <formula>WEEKDAY(G$3,2)=6</formula>
    </cfRule>
  </conditionalFormatting>
  <conditionalFormatting sqref="G16">
    <cfRule type="expression" dxfId="1173" priority="538">
      <formula>SEARCH("X", $A$8) &gt; 0</formula>
    </cfRule>
  </conditionalFormatting>
  <conditionalFormatting sqref="G16">
    <cfRule type="expression" dxfId="1172" priority="537" stopIfTrue="1">
      <formula>SEARCH("國", G$13) &gt; 0</formula>
    </cfRule>
  </conditionalFormatting>
  <conditionalFormatting sqref="G15">
    <cfRule type="expression" dxfId="1171" priority="535">
      <formula>WEEKDAY(G$3,2)=7</formula>
    </cfRule>
    <cfRule type="expression" dxfId="1170" priority="536">
      <formula>WEEKDAY(G$3,2)=6</formula>
    </cfRule>
  </conditionalFormatting>
  <conditionalFormatting sqref="G15">
    <cfRule type="expression" dxfId="1169" priority="534">
      <formula>SEARCH("X", $A$8) &gt; 0</formula>
    </cfRule>
  </conditionalFormatting>
  <conditionalFormatting sqref="G15">
    <cfRule type="expression" dxfId="1168" priority="533" stopIfTrue="1">
      <formula>SEARCH("國", G$13) &gt; 0</formula>
    </cfRule>
  </conditionalFormatting>
  <conditionalFormatting sqref="AD18">
    <cfRule type="expression" dxfId="1167" priority="531">
      <formula>WEEKDAY(AD$3,2)=7</formula>
    </cfRule>
    <cfRule type="expression" dxfId="1166" priority="532">
      <formula>WEEKDAY(AD$3,2)=6</formula>
    </cfRule>
  </conditionalFormatting>
  <conditionalFormatting sqref="AD18">
    <cfRule type="expression" dxfId="1165" priority="530">
      <formula>SEARCH("X", #REF!) &gt; 0</formula>
    </cfRule>
  </conditionalFormatting>
  <conditionalFormatting sqref="AD18">
    <cfRule type="expression" dxfId="1164" priority="529" stopIfTrue="1">
      <formula>SEARCH("國", AD$10) &gt; 0</formula>
    </cfRule>
  </conditionalFormatting>
  <conditionalFormatting sqref="U17">
    <cfRule type="expression" dxfId="1163" priority="527">
      <formula>WEEKDAY(U$3,2)=7</formula>
    </cfRule>
    <cfRule type="expression" dxfId="1162" priority="528">
      <formula>WEEKDAY(U$3,2)=6</formula>
    </cfRule>
  </conditionalFormatting>
  <conditionalFormatting sqref="U17">
    <cfRule type="expression" dxfId="1161" priority="526">
      <formula>SEARCH("X", $A$8) &gt; 0</formula>
    </cfRule>
  </conditionalFormatting>
  <conditionalFormatting sqref="U17">
    <cfRule type="expression" dxfId="1160" priority="525" stopIfTrue="1">
      <formula>SEARCH("國", U$13) &gt; 0</formula>
    </cfRule>
  </conditionalFormatting>
  <conditionalFormatting sqref="V17">
    <cfRule type="expression" dxfId="1159" priority="523">
      <formula>WEEKDAY(V$3,2)=7</formula>
    </cfRule>
    <cfRule type="expression" dxfId="1158" priority="524">
      <formula>WEEKDAY(V$3,2)=6</formula>
    </cfRule>
  </conditionalFormatting>
  <conditionalFormatting sqref="V17">
    <cfRule type="expression" dxfId="1157" priority="522">
      <formula>SEARCH("X", $A$8) &gt; 0</formula>
    </cfRule>
  </conditionalFormatting>
  <conditionalFormatting sqref="V17">
    <cfRule type="expression" dxfId="1156" priority="521" stopIfTrue="1">
      <formula>SEARCH("國", V$13) &gt; 0</formula>
    </cfRule>
  </conditionalFormatting>
  <conditionalFormatting sqref="V18">
    <cfRule type="expression" dxfId="1155" priority="507">
      <formula>WEEKDAY(V$3,2)=7</formula>
    </cfRule>
    <cfRule type="expression" dxfId="1154" priority="508">
      <formula>WEEKDAY(V$3,2)=6</formula>
    </cfRule>
  </conditionalFormatting>
  <conditionalFormatting sqref="V18">
    <cfRule type="expression" dxfId="1153" priority="506">
      <formula>SEARCH("X", $A$15) &gt; 0</formula>
    </cfRule>
  </conditionalFormatting>
  <conditionalFormatting sqref="V18">
    <cfRule type="expression" dxfId="1152" priority="505" stopIfTrue="1">
      <formula>SEARCH("國", V$10) &gt; 0</formula>
    </cfRule>
  </conditionalFormatting>
  <conditionalFormatting sqref="W18">
    <cfRule type="expression" dxfId="1151" priority="503">
      <formula>WEEKDAY(W$3,2)=7</formula>
    </cfRule>
    <cfRule type="expression" dxfId="1150" priority="504">
      <formula>WEEKDAY(W$3,2)=6</formula>
    </cfRule>
  </conditionalFormatting>
  <conditionalFormatting sqref="W18">
    <cfRule type="expression" dxfId="1149" priority="502">
      <formula>SEARCH("X", $A$15) &gt; 0</formula>
    </cfRule>
  </conditionalFormatting>
  <conditionalFormatting sqref="W18">
    <cfRule type="expression" dxfId="1148" priority="501" stopIfTrue="1">
      <formula>SEARCH("國", W$10) &gt; 0</formula>
    </cfRule>
  </conditionalFormatting>
  <conditionalFormatting sqref="X18">
    <cfRule type="expression" dxfId="1147" priority="499">
      <formula>WEEKDAY(X$3,2)=7</formula>
    </cfRule>
    <cfRule type="expression" dxfId="1146" priority="500">
      <formula>WEEKDAY(X$3,2)=6</formula>
    </cfRule>
  </conditionalFormatting>
  <conditionalFormatting sqref="X18">
    <cfRule type="expression" dxfId="1145" priority="498">
      <formula>SEARCH("X", $A$15) &gt; 0</formula>
    </cfRule>
  </conditionalFormatting>
  <conditionalFormatting sqref="X18">
    <cfRule type="expression" dxfId="1144" priority="497" stopIfTrue="1">
      <formula>SEARCH("國", X$10) &gt; 0</formula>
    </cfRule>
  </conditionalFormatting>
  <conditionalFormatting sqref="U16">
    <cfRule type="expression" dxfId="1143" priority="495">
      <formula>WEEKDAY(U$3,2)=7</formula>
    </cfRule>
    <cfRule type="expression" dxfId="1142" priority="496">
      <formula>WEEKDAY(U$3,2)=6</formula>
    </cfRule>
  </conditionalFormatting>
  <conditionalFormatting sqref="U16">
    <cfRule type="expression" dxfId="1141" priority="494">
      <formula>SEARCH("X", $A$15) &gt; 0</formula>
    </cfRule>
  </conditionalFormatting>
  <conditionalFormatting sqref="U16">
    <cfRule type="expression" dxfId="1140" priority="493" stopIfTrue="1">
      <formula>SEARCH("國", U$10) &gt; 0</formula>
    </cfRule>
  </conditionalFormatting>
  <conditionalFormatting sqref="V16">
    <cfRule type="expression" dxfId="1139" priority="491">
      <formula>WEEKDAY(V$3,2)=7</formula>
    </cfRule>
    <cfRule type="expression" dxfId="1138" priority="492">
      <formula>WEEKDAY(V$3,2)=6</formula>
    </cfRule>
  </conditionalFormatting>
  <conditionalFormatting sqref="V16">
    <cfRule type="expression" dxfId="1137" priority="490">
      <formula>SEARCH("X", $A$15) &gt; 0</formula>
    </cfRule>
  </conditionalFormatting>
  <conditionalFormatting sqref="V16">
    <cfRule type="expression" dxfId="1136" priority="489" stopIfTrue="1">
      <formula>SEARCH("國", V$10) &gt; 0</formula>
    </cfRule>
  </conditionalFormatting>
  <conditionalFormatting sqref="X16">
    <cfRule type="expression" dxfId="1135" priority="483">
      <formula>WEEKDAY(X$3,2)=7</formula>
    </cfRule>
    <cfRule type="expression" dxfId="1134" priority="484">
      <formula>WEEKDAY(X$3,2)=6</formula>
    </cfRule>
  </conditionalFormatting>
  <conditionalFormatting sqref="X16">
    <cfRule type="expression" dxfId="1133" priority="482">
      <formula>SEARCH("X", $A$8) &gt; 0</formula>
    </cfRule>
  </conditionalFormatting>
  <conditionalFormatting sqref="X16">
    <cfRule type="expression" dxfId="1132" priority="481" stopIfTrue="1">
      <formula>SEARCH("國", X$13) &gt; 0</formula>
    </cfRule>
  </conditionalFormatting>
  <conditionalFormatting sqref="AC17:AD17">
    <cfRule type="expression" dxfId="1131" priority="479">
      <formula>WEEKDAY(AC$3,2)=7</formula>
    </cfRule>
    <cfRule type="expression" dxfId="1130" priority="480">
      <formula>WEEKDAY(AC$3,2)=6</formula>
    </cfRule>
  </conditionalFormatting>
  <conditionalFormatting sqref="AC17:AD17">
    <cfRule type="expression" dxfId="1129" priority="478">
      <formula>SEARCH("X", $A$16) &gt; 0</formula>
    </cfRule>
  </conditionalFormatting>
  <conditionalFormatting sqref="AC17:AD17">
    <cfRule type="expression" dxfId="1128" priority="477" stopIfTrue="1">
      <formula>SEARCH("國", AC$10) &gt; 0</formula>
    </cfRule>
  </conditionalFormatting>
  <conditionalFormatting sqref="AE16:AF16">
    <cfRule type="expression" dxfId="1127" priority="475">
      <formula>WEEKDAY(AE$3,2)=7</formula>
    </cfRule>
    <cfRule type="expression" dxfId="1126" priority="476">
      <formula>WEEKDAY(AE$3,2)=6</formula>
    </cfRule>
  </conditionalFormatting>
  <conditionalFormatting sqref="AE16:AF16">
    <cfRule type="expression" dxfId="1125" priority="474">
      <formula>SEARCH("X", $A$16) &gt; 0</formula>
    </cfRule>
  </conditionalFormatting>
  <conditionalFormatting sqref="AE16:AF16">
    <cfRule type="expression" dxfId="1124" priority="473" stopIfTrue="1">
      <formula>SEARCH("國", AE$10) &gt; 0</formula>
    </cfRule>
  </conditionalFormatting>
  <conditionalFormatting sqref="AC15">
    <cfRule type="expression" dxfId="1123" priority="467">
      <formula>WEEKDAY(AC$3,2)=7</formula>
    </cfRule>
    <cfRule type="expression" dxfId="1122" priority="468">
      <formula>WEEKDAY(AC$3,2)=6</formula>
    </cfRule>
  </conditionalFormatting>
  <conditionalFormatting sqref="AC15">
    <cfRule type="expression" dxfId="1121" priority="466">
      <formula>SEARCH("X", $A$16) &gt; 0</formula>
    </cfRule>
  </conditionalFormatting>
  <conditionalFormatting sqref="AC15">
    <cfRule type="expression" dxfId="1120" priority="465" stopIfTrue="1">
      <formula>SEARCH("國", AC$10) &gt; 0</formula>
    </cfRule>
  </conditionalFormatting>
  <conditionalFormatting sqref="Z15">
    <cfRule type="expression" dxfId="1119" priority="463">
      <formula>WEEKDAY(Z$3,2)=7</formula>
    </cfRule>
    <cfRule type="expression" dxfId="1118" priority="464">
      <formula>WEEKDAY(Z$3,2)=6</formula>
    </cfRule>
  </conditionalFormatting>
  <conditionalFormatting sqref="Z15">
    <cfRule type="expression" dxfId="1117" priority="462">
      <formula>SEARCH("X", $A$16) &gt; 0</formula>
    </cfRule>
  </conditionalFormatting>
  <conditionalFormatting sqref="Z15">
    <cfRule type="expression" dxfId="1116" priority="461" stopIfTrue="1">
      <formula>SEARCH("國", Z$10) &gt; 0</formula>
    </cfRule>
  </conditionalFormatting>
  <conditionalFormatting sqref="AE18">
    <cfRule type="expression" dxfId="1115" priority="459">
      <formula>WEEKDAY(AE$3,2)=7</formula>
    </cfRule>
    <cfRule type="expression" dxfId="1114" priority="460">
      <formula>WEEKDAY(AE$3,2)=6</formula>
    </cfRule>
  </conditionalFormatting>
  <conditionalFormatting sqref="AE18">
    <cfRule type="expression" dxfId="1113" priority="458">
      <formula>SEARCH("X", $A$16) &gt; 0</formula>
    </cfRule>
  </conditionalFormatting>
  <conditionalFormatting sqref="AE18">
    <cfRule type="expression" dxfId="1112" priority="457" stopIfTrue="1">
      <formula>SEARCH("國", AE$10) &gt; 0</formula>
    </cfRule>
  </conditionalFormatting>
  <conditionalFormatting sqref="H8">
    <cfRule type="expression" dxfId="1111" priority="455">
      <formula>WEEKDAY(H$3,2)=7</formula>
    </cfRule>
    <cfRule type="expression" dxfId="1110" priority="456">
      <formula>WEEKDAY(H$3,2)=6</formula>
    </cfRule>
  </conditionalFormatting>
  <conditionalFormatting sqref="H8">
    <cfRule type="expression" dxfId="1109" priority="454">
      <formula>SEARCH("X", $A$8) &gt; 0</formula>
    </cfRule>
  </conditionalFormatting>
  <conditionalFormatting sqref="H8">
    <cfRule type="expression" dxfId="1108" priority="453" stopIfTrue="1">
      <formula>SEARCH("國", H$13) &gt; 0</formula>
    </cfRule>
  </conditionalFormatting>
  <conditionalFormatting sqref="I8">
    <cfRule type="expression" dxfId="1107" priority="451">
      <formula>WEEKDAY(I$3,2)=7</formula>
    </cfRule>
    <cfRule type="expression" dxfId="1106" priority="452">
      <formula>WEEKDAY(I$3,2)=6</formula>
    </cfRule>
  </conditionalFormatting>
  <conditionalFormatting sqref="I8">
    <cfRule type="expression" dxfId="1105" priority="450">
      <formula>SEARCH("X", $A$8) &gt; 0</formula>
    </cfRule>
  </conditionalFormatting>
  <conditionalFormatting sqref="I8">
    <cfRule type="expression" dxfId="1104" priority="449" stopIfTrue="1">
      <formula>SEARCH("國", I$13) &gt; 0</formula>
    </cfRule>
  </conditionalFormatting>
  <conditionalFormatting sqref="H5">
    <cfRule type="expression" dxfId="1103" priority="447">
      <formula>WEEKDAY(H$3,2)=7</formula>
    </cfRule>
    <cfRule type="expression" dxfId="1102" priority="448">
      <formula>WEEKDAY(H$3,2)=6</formula>
    </cfRule>
  </conditionalFormatting>
  <conditionalFormatting sqref="H5">
    <cfRule type="expression" dxfId="1101" priority="446">
      <formula>SEARCH("X", $A$8) &gt; 0</formula>
    </cfRule>
  </conditionalFormatting>
  <conditionalFormatting sqref="H5">
    <cfRule type="expression" dxfId="1100" priority="445" stopIfTrue="1">
      <formula>SEARCH("國", H$13) &gt; 0</formula>
    </cfRule>
  </conditionalFormatting>
  <conditionalFormatting sqref="H9">
    <cfRule type="expression" dxfId="1099" priority="439">
      <formula>WEEKDAY(H$3,2)=7</formula>
    </cfRule>
    <cfRule type="expression" dxfId="1098" priority="440">
      <formula>WEEKDAY(H$3,2)=6</formula>
    </cfRule>
  </conditionalFormatting>
  <conditionalFormatting sqref="H9">
    <cfRule type="expression" dxfId="1097" priority="438">
      <formula>SEARCH("X", $A$5) &gt; 0</formula>
    </cfRule>
  </conditionalFormatting>
  <conditionalFormatting sqref="H9">
    <cfRule type="expression" dxfId="1096" priority="437" stopIfTrue="1">
      <formula>SEARCH("國", H$10) &gt; 0</formula>
    </cfRule>
  </conditionalFormatting>
  <conditionalFormatting sqref="I9">
    <cfRule type="expression" dxfId="1095" priority="435">
      <formula>WEEKDAY(I$3,2)=7</formula>
    </cfRule>
    <cfRule type="expression" dxfId="1094" priority="436">
      <formula>WEEKDAY(I$3,2)=6</formula>
    </cfRule>
  </conditionalFormatting>
  <conditionalFormatting sqref="I9">
    <cfRule type="expression" dxfId="1093" priority="434">
      <formula>SEARCH("X", $A$5) &gt; 0</formula>
    </cfRule>
  </conditionalFormatting>
  <conditionalFormatting sqref="I9">
    <cfRule type="expression" dxfId="1092" priority="433" stopIfTrue="1">
      <formula>SEARCH("國", I$10) &gt; 0</formula>
    </cfRule>
  </conditionalFormatting>
  <conditionalFormatting sqref="J8">
    <cfRule type="expression" dxfId="1091" priority="427">
      <formula>WEEKDAY(J$3,2)=7</formula>
    </cfRule>
    <cfRule type="expression" dxfId="1090" priority="428">
      <formula>WEEKDAY(J$3,2)=6</formula>
    </cfRule>
  </conditionalFormatting>
  <conditionalFormatting sqref="J8">
    <cfRule type="expression" dxfId="1089" priority="426">
      <formula>SEARCH("X", $A$8) &gt; 0</formula>
    </cfRule>
  </conditionalFormatting>
  <conditionalFormatting sqref="J8">
    <cfRule type="expression" dxfId="1088" priority="425" stopIfTrue="1">
      <formula>SEARCH("國", J$13) &gt; 0</formula>
    </cfRule>
  </conditionalFormatting>
  <conditionalFormatting sqref="J9">
    <cfRule type="expression" dxfId="1087" priority="423">
      <formula>WEEKDAY(J$3,2)=7</formula>
    </cfRule>
    <cfRule type="expression" dxfId="1086" priority="424">
      <formula>WEEKDAY(J$3,2)=6</formula>
    </cfRule>
  </conditionalFormatting>
  <conditionalFormatting sqref="J9">
    <cfRule type="expression" dxfId="1085" priority="422">
      <formula>SEARCH("X", $A$8) &gt; 0</formula>
    </cfRule>
  </conditionalFormatting>
  <conditionalFormatting sqref="J9">
    <cfRule type="expression" dxfId="1084" priority="421" stopIfTrue="1">
      <formula>SEARCH("國", J$13) &gt; 0</formula>
    </cfRule>
  </conditionalFormatting>
  <conditionalFormatting sqref="L9">
    <cfRule type="expression" dxfId="1083" priority="415">
      <formula>WEEKDAY(L$3,2)=7</formula>
    </cfRule>
    <cfRule type="expression" dxfId="1082" priority="416">
      <formula>WEEKDAY(L$3,2)=6</formula>
    </cfRule>
  </conditionalFormatting>
  <conditionalFormatting sqref="L9">
    <cfRule type="expression" dxfId="1081" priority="414">
      <formula>SEARCH("X", $A$5) &gt; 0</formula>
    </cfRule>
  </conditionalFormatting>
  <conditionalFormatting sqref="L9">
    <cfRule type="expression" dxfId="1080" priority="413" stopIfTrue="1">
      <formula>SEARCH("國", L$10) &gt; 0</formula>
    </cfRule>
  </conditionalFormatting>
  <conditionalFormatting sqref="Z5">
    <cfRule type="expression" dxfId="1079" priority="411">
      <formula>WEEKDAY(Z$3,2)=7</formula>
    </cfRule>
    <cfRule type="expression" dxfId="1078" priority="412">
      <formula>WEEKDAY(Z$3,2)=6</formula>
    </cfRule>
  </conditionalFormatting>
  <conditionalFormatting sqref="Z5">
    <cfRule type="expression" dxfId="1077" priority="410">
      <formula>SEARCH("X", $A$8) &gt; 0</formula>
    </cfRule>
  </conditionalFormatting>
  <conditionalFormatting sqref="Z5">
    <cfRule type="expression" dxfId="1076" priority="409" stopIfTrue="1">
      <formula>SEARCH("國", Z$13) &gt; 0</formula>
    </cfRule>
  </conditionalFormatting>
  <conditionalFormatting sqref="Z9">
    <cfRule type="expression" dxfId="1075" priority="407">
      <formula>WEEKDAY(Z$3,2)=7</formula>
    </cfRule>
    <cfRule type="expression" dxfId="1074" priority="408">
      <formula>WEEKDAY(Z$3,2)=6</formula>
    </cfRule>
  </conditionalFormatting>
  <conditionalFormatting sqref="Z9">
    <cfRule type="expression" dxfId="1073" priority="406">
      <formula>SEARCH("X", $A$8) &gt; 0</formula>
    </cfRule>
  </conditionalFormatting>
  <conditionalFormatting sqref="Z9">
    <cfRule type="expression" dxfId="1072" priority="405" stopIfTrue="1">
      <formula>SEARCH("國", Z$13) &gt; 0</formula>
    </cfRule>
  </conditionalFormatting>
  <conditionalFormatting sqref="AB15">
    <cfRule type="expression" dxfId="1071" priority="399">
      <formula>WEEKDAY(AB$3,2)=7</formula>
    </cfRule>
    <cfRule type="expression" dxfId="1070" priority="400">
      <formula>WEEKDAY(AB$3,2)=6</formula>
    </cfRule>
  </conditionalFormatting>
  <conditionalFormatting sqref="AB15">
    <cfRule type="expression" dxfId="1069" priority="398">
      <formula>SEARCH("X", $A$16) &gt; 0</formula>
    </cfRule>
  </conditionalFormatting>
  <conditionalFormatting sqref="AB15">
    <cfRule type="expression" dxfId="1068" priority="397" stopIfTrue="1">
      <formula>SEARCH("國", AB$10) &gt; 0</formula>
    </cfRule>
  </conditionalFormatting>
  <conditionalFormatting sqref="AB16">
    <cfRule type="expression" dxfId="1067" priority="395">
      <formula>WEEKDAY(AB$3,2)=7</formula>
    </cfRule>
    <cfRule type="expression" dxfId="1066" priority="396">
      <formula>WEEKDAY(AB$3,2)=6</formula>
    </cfRule>
  </conditionalFormatting>
  <conditionalFormatting sqref="AB16">
    <cfRule type="expression" dxfId="1065" priority="394">
      <formula>SEARCH("X", $A$16) &gt; 0</formula>
    </cfRule>
  </conditionalFormatting>
  <conditionalFormatting sqref="AB16">
    <cfRule type="expression" dxfId="1064" priority="393" stopIfTrue="1">
      <formula>SEARCH("國", AB$10) &gt; 0</formula>
    </cfRule>
  </conditionalFormatting>
  <conditionalFormatting sqref="AC16">
    <cfRule type="expression" dxfId="1063" priority="391">
      <formula>WEEKDAY(AC$3,2)=7</formula>
    </cfRule>
    <cfRule type="expression" dxfId="1062" priority="392">
      <formula>WEEKDAY(AC$3,2)=6</formula>
    </cfRule>
  </conditionalFormatting>
  <conditionalFormatting sqref="AC16">
    <cfRule type="expression" dxfId="1061" priority="390">
      <formula>SEARCH("X", $A$16) &gt; 0</formula>
    </cfRule>
  </conditionalFormatting>
  <conditionalFormatting sqref="AC16">
    <cfRule type="expression" dxfId="1060" priority="389" stopIfTrue="1">
      <formula>SEARCH("國", AC$10) &gt; 0</formula>
    </cfRule>
  </conditionalFormatting>
  <conditionalFormatting sqref="P16">
    <cfRule type="expression" dxfId="1059" priority="387">
      <formula>WEEKDAY(P$3,2)=7</formula>
    </cfRule>
    <cfRule type="expression" dxfId="1058" priority="388">
      <formula>WEEKDAY(P$3,2)=6</formula>
    </cfRule>
  </conditionalFormatting>
  <conditionalFormatting sqref="P16">
    <cfRule type="expression" dxfId="1057" priority="386">
      <formula>SEARCH("X", $A$8) &gt; 0</formula>
    </cfRule>
  </conditionalFormatting>
  <conditionalFormatting sqref="P16">
    <cfRule type="expression" dxfId="1056" priority="385" stopIfTrue="1">
      <formula>SEARCH("國", P$13) &gt; 0</formula>
    </cfRule>
  </conditionalFormatting>
  <conditionalFormatting sqref="AC9">
    <cfRule type="expression" dxfId="1055" priority="379">
      <formula>WEEKDAY(AC$3,2)=7</formula>
    </cfRule>
    <cfRule type="expression" dxfId="1054" priority="380">
      <formula>WEEKDAY(AC$3,2)=6</formula>
    </cfRule>
  </conditionalFormatting>
  <conditionalFormatting sqref="AC9">
    <cfRule type="expression" dxfId="1053" priority="378">
      <formula>SEARCH("X", $A$5) &gt; 0</formula>
    </cfRule>
  </conditionalFormatting>
  <conditionalFormatting sqref="AC9">
    <cfRule type="expression" dxfId="1052" priority="377" stopIfTrue="1">
      <formula>SEARCH("國", AC$10) &gt; 0</formula>
    </cfRule>
  </conditionalFormatting>
  <conditionalFormatting sqref="S8">
    <cfRule type="expression" dxfId="1051" priority="375">
      <formula>WEEKDAY(S$3,2)=7</formula>
    </cfRule>
    <cfRule type="expression" dxfId="1050" priority="376">
      <formula>WEEKDAY(S$3,2)=6</formula>
    </cfRule>
  </conditionalFormatting>
  <conditionalFormatting sqref="S8">
    <cfRule type="expression" dxfId="1049" priority="374">
      <formula>SEARCH("X", $A$5) &gt; 0</formula>
    </cfRule>
  </conditionalFormatting>
  <conditionalFormatting sqref="S8">
    <cfRule type="expression" dxfId="1048" priority="373" stopIfTrue="1">
      <formula>SEARCH("國", S$10) &gt; 0</formula>
    </cfRule>
  </conditionalFormatting>
  <conditionalFormatting sqref="N8">
    <cfRule type="expression" dxfId="1047" priority="371">
      <formula>WEEKDAY(N$3,2)=7</formula>
    </cfRule>
    <cfRule type="expression" dxfId="1046" priority="372">
      <formula>WEEKDAY(N$3,2)=6</formula>
    </cfRule>
  </conditionalFormatting>
  <conditionalFormatting sqref="N8">
    <cfRule type="expression" dxfId="1045" priority="370">
      <formula>SEARCH("X", $A$8) &gt; 0</formula>
    </cfRule>
  </conditionalFormatting>
  <conditionalFormatting sqref="N8">
    <cfRule type="expression" dxfId="1044" priority="369" stopIfTrue="1">
      <formula>SEARCH("國", N$13) &gt; 0</formula>
    </cfRule>
  </conditionalFormatting>
  <conditionalFormatting sqref="N9">
    <cfRule type="expression" dxfId="1043" priority="367">
      <formula>WEEKDAY(N$3,2)=7</formula>
    </cfRule>
    <cfRule type="expression" dxfId="1042" priority="368">
      <formula>WEEKDAY(N$3,2)=6</formula>
    </cfRule>
  </conditionalFormatting>
  <conditionalFormatting sqref="N9">
    <cfRule type="expression" dxfId="1041" priority="366">
      <formula>SEARCH("X", $A$5) &gt; 0</formula>
    </cfRule>
  </conditionalFormatting>
  <conditionalFormatting sqref="N9">
    <cfRule type="expression" dxfId="1040" priority="365" stopIfTrue="1">
      <formula>SEARCH("國", N$10) &gt; 0</formula>
    </cfRule>
  </conditionalFormatting>
  <conditionalFormatting sqref="Q10">
    <cfRule type="expression" dxfId="1039" priority="363">
      <formula>WEEKDAY(Q$3,2)=7</formula>
    </cfRule>
    <cfRule type="expression" dxfId="1038" priority="364">
      <formula>WEEKDAY(Q$3,2)=6</formula>
    </cfRule>
  </conditionalFormatting>
  <conditionalFormatting sqref="Q10">
    <cfRule type="expression" dxfId="1037" priority="362">
      <formula>SEARCH("X", $A$5) &gt; 0</formula>
    </cfRule>
  </conditionalFormatting>
  <conditionalFormatting sqref="Q10">
    <cfRule type="expression" dxfId="1036" priority="361" stopIfTrue="1">
      <formula>SEARCH("國", Q$10) &gt; 0</formula>
    </cfRule>
  </conditionalFormatting>
  <conditionalFormatting sqref="U9">
    <cfRule type="expression" dxfId="1035" priority="359">
      <formula>WEEKDAY(U$3,2)=7</formula>
    </cfRule>
    <cfRule type="expression" dxfId="1034" priority="360">
      <formula>WEEKDAY(U$3,2)=6</formula>
    </cfRule>
  </conditionalFormatting>
  <conditionalFormatting sqref="U9">
    <cfRule type="expression" dxfId="1033" priority="358">
      <formula>SEARCH("X", $A$5) &gt; 0</formula>
    </cfRule>
  </conditionalFormatting>
  <conditionalFormatting sqref="U9">
    <cfRule type="expression" dxfId="1032" priority="357" stopIfTrue="1">
      <formula>SEARCH("國", U$10) &gt; 0</formula>
    </cfRule>
  </conditionalFormatting>
  <conditionalFormatting sqref="U10">
    <cfRule type="expression" dxfId="1031" priority="355">
      <formula>WEEKDAY(U$3,2)=7</formula>
    </cfRule>
    <cfRule type="expression" dxfId="1030" priority="356">
      <formula>WEEKDAY(U$3,2)=6</formula>
    </cfRule>
  </conditionalFormatting>
  <conditionalFormatting sqref="U10">
    <cfRule type="expression" dxfId="1029" priority="354">
      <formula>SEARCH("X", $A$5) &gt; 0</formula>
    </cfRule>
  </conditionalFormatting>
  <conditionalFormatting sqref="U10">
    <cfRule type="expression" dxfId="1028" priority="353" stopIfTrue="1">
      <formula>SEARCH("國", U$10) &gt; 0</formula>
    </cfRule>
  </conditionalFormatting>
  <conditionalFormatting sqref="AC8">
    <cfRule type="expression" dxfId="1027" priority="351">
      <formula>WEEKDAY(AC$3,2)=7</formula>
    </cfRule>
    <cfRule type="expression" dxfId="1026" priority="352">
      <formula>WEEKDAY(AC$3,2)=6</formula>
    </cfRule>
  </conditionalFormatting>
  <conditionalFormatting sqref="AC8">
    <cfRule type="expression" dxfId="1025" priority="350">
      <formula>SEARCH("X", $A$8) &gt; 0</formula>
    </cfRule>
  </conditionalFormatting>
  <conditionalFormatting sqref="AC8">
    <cfRule type="expression" dxfId="1024" priority="349" stopIfTrue="1">
      <formula>SEARCH("國", AC$13) &gt; 0</formula>
    </cfRule>
  </conditionalFormatting>
  <conditionalFormatting sqref="AC10">
    <cfRule type="expression" dxfId="1023" priority="347">
      <formula>WEEKDAY(AC$3,2)=7</formula>
    </cfRule>
    <cfRule type="expression" dxfId="1022" priority="348">
      <formula>WEEKDAY(AC$3,2)=6</formula>
    </cfRule>
  </conditionalFormatting>
  <conditionalFormatting sqref="AC10">
    <cfRule type="expression" dxfId="1021" priority="346">
      <formula>SEARCH("X", $A$8) &gt; 0</formula>
    </cfRule>
  </conditionalFormatting>
  <conditionalFormatting sqref="AC10">
    <cfRule type="expression" dxfId="1020" priority="345" stopIfTrue="1">
      <formula>SEARCH("國", AC$13) &gt; 0</formula>
    </cfRule>
  </conditionalFormatting>
  <conditionalFormatting sqref="X10">
    <cfRule type="expression" dxfId="1019" priority="335">
      <formula>WEEKDAY(X$3,2)=7</formula>
    </cfRule>
    <cfRule type="expression" dxfId="1018" priority="336">
      <formula>WEEKDAY(X$3,2)=6</formula>
    </cfRule>
  </conditionalFormatting>
  <conditionalFormatting sqref="X10">
    <cfRule type="expression" dxfId="1017" priority="334">
      <formula>SEARCH("X", $A$5) &gt; 0</formula>
    </cfRule>
  </conditionalFormatting>
  <conditionalFormatting sqref="X10">
    <cfRule type="expression" dxfId="1016" priority="333" stopIfTrue="1">
      <formula>SEARCH("國", X$10) &gt; 0</formula>
    </cfRule>
  </conditionalFormatting>
  <conditionalFormatting sqref="AD9">
    <cfRule type="expression" dxfId="1015" priority="331">
      <formula>WEEKDAY(AD$3,2)=7</formula>
    </cfRule>
    <cfRule type="expression" dxfId="1014" priority="332">
      <formula>WEEKDAY(AD$3,2)=6</formula>
    </cfRule>
  </conditionalFormatting>
  <conditionalFormatting sqref="AD9">
    <cfRule type="expression" dxfId="1013" priority="330">
      <formula>SEARCH("X", $A$5) &gt; 0</formula>
    </cfRule>
  </conditionalFormatting>
  <conditionalFormatting sqref="AD9">
    <cfRule type="expression" dxfId="1012" priority="329" stopIfTrue="1">
      <formula>SEARCH("國", AD$10) &gt; 0</formula>
    </cfRule>
  </conditionalFormatting>
  <conditionalFormatting sqref="AD10">
    <cfRule type="expression" dxfId="1011" priority="315">
      <formula>WEEKDAY(AD$3,2)=7</formula>
    </cfRule>
    <cfRule type="expression" dxfId="1010" priority="316">
      <formula>WEEKDAY(AD$3,2)=6</formula>
    </cfRule>
  </conditionalFormatting>
  <conditionalFormatting sqref="AD10">
    <cfRule type="expression" dxfId="1009" priority="314">
      <formula>SEARCH("X", $A$8) &gt; 0</formula>
    </cfRule>
  </conditionalFormatting>
  <conditionalFormatting sqref="AD10">
    <cfRule type="expression" dxfId="1008" priority="313" stopIfTrue="1">
      <formula>SEARCH("國", AD$13) &gt; 0</formula>
    </cfRule>
  </conditionalFormatting>
  <conditionalFormatting sqref="AE10">
    <cfRule type="expression" dxfId="1007" priority="311">
      <formula>WEEKDAY(AE$3,2)=7</formula>
    </cfRule>
    <cfRule type="expression" dxfId="1006" priority="312">
      <formula>WEEKDAY(AE$3,2)=6</formula>
    </cfRule>
  </conditionalFormatting>
  <conditionalFormatting sqref="AE10">
    <cfRule type="expression" dxfId="1005" priority="310">
      <formula>SEARCH("X", $A$8) &gt; 0</formula>
    </cfRule>
  </conditionalFormatting>
  <conditionalFormatting sqref="AE10">
    <cfRule type="expression" dxfId="1004" priority="309" stopIfTrue="1">
      <formula>SEARCH("國", AE$13) &gt; 0</formula>
    </cfRule>
  </conditionalFormatting>
  <conditionalFormatting sqref="AF10">
    <cfRule type="expression" dxfId="1003" priority="307">
      <formula>WEEKDAY(AF$3,2)=7</formula>
    </cfRule>
    <cfRule type="expression" dxfId="1002" priority="308">
      <formula>WEEKDAY(AF$3,2)=6</formula>
    </cfRule>
  </conditionalFormatting>
  <conditionalFormatting sqref="AF10">
    <cfRule type="expression" dxfId="1001" priority="306">
      <formula>SEARCH("X", $A$8) &gt; 0</formula>
    </cfRule>
  </conditionalFormatting>
  <conditionalFormatting sqref="AF10">
    <cfRule type="expression" dxfId="1000" priority="305" stopIfTrue="1">
      <formula>SEARCH("國", AF$13) &gt; 0</formula>
    </cfRule>
  </conditionalFormatting>
  <conditionalFormatting sqref="V10">
    <cfRule type="expression" dxfId="999" priority="303">
      <formula>WEEKDAY(V$3,2)=7</formula>
    </cfRule>
    <cfRule type="expression" dxfId="998" priority="304">
      <formula>WEEKDAY(V$3,2)=6</formula>
    </cfRule>
  </conditionalFormatting>
  <conditionalFormatting sqref="V10">
    <cfRule type="expression" dxfId="997" priority="302">
      <formula>SEARCH("X", $A$8) &gt; 0</formula>
    </cfRule>
  </conditionalFormatting>
  <conditionalFormatting sqref="V10">
    <cfRule type="expression" dxfId="996" priority="301" stopIfTrue="1">
      <formula>SEARCH("國", V$13) &gt; 0</formula>
    </cfRule>
  </conditionalFormatting>
  <conditionalFormatting sqref="W10">
    <cfRule type="expression" dxfId="995" priority="299">
      <formula>WEEKDAY(W$3,2)=7</formula>
    </cfRule>
    <cfRule type="expression" dxfId="994" priority="300">
      <formula>WEEKDAY(W$3,2)=6</formula>
    </cfRule>
  </conditionalFormatting>
  <conditionalFormatting sqref="W10">
    <cfRule type="expression" dxfId="993" priority="298">
      <formula>SEARCH("X", $A$8) &gt; 0</formula>
    </cfRule>
  </conditionalFormatting>
  <conditionalFormatting sqref="W10">
    <cfRule type="expression" dxfId="992" priority="297" stopIfTrue="1">
      <formula>SEARCH("國", W$13) &gt; 0</formula>
    </cfRule>
  </conditionalFormatting>
  <conditionalFormatting sqref="X9">
    <cfRule type="expression" dxfId="991" priority="295">
      <formula>WEEKDAY(X$3,2)=7</formula>
    </cfRule>
    <cfRule type="expression" dxfId="990" priority="296">
      <formula>WEEKDAY(X$3,2)=6</formula>
    </cfRule>
  </conditionalFormatting>
  <conditionalFormatting sqref="X9">
    <cfRule type="expression" dxfId="989" priority="294">
      <formula>SEARCH("X", $A$8) &gt; 0</formula>
    </cfRule>
  </conditionalFormatting>
  <conditionalFormatting sqref="X9">
    <cfRule type="expression" dxfId="988" priority="293" stopIfTrue="1">
      <formula>SEARCH("國", X$13) &gt; 0</formula>
    </cfRule>
  </conditionalFormatting>
  <conditionalFormatting sqref="V9">
    <cfRule type="expression" dxfId="987" priority="283">
      <formula>WEEKDAY(V$3,2)=7</formula>
    </cfRule>
    <cfRule type="expression" dxfId="986" priority="284">
      <formula>WEEKDAY(V$3,2)=6</formula>
    </cfRule>
  </conditionalFormatting>
  <conditionalFormatting sqref="V9">
    <cfRule type="expression" dxfId="985" priority="282">
      <formula>SEARCH("X", $A$5) &gt; 0</formula>
    </cfRule>
  </conditionalFormatting>
  <conditionalFormatting sqref="V9">
    <cfRule type="expression" dxfId="984" priority="281" stopIfTrue="1">
      <formula>SEARCH("國", V$10) &gt; 0</formula>
    </cfRule>
  </conditionalFormatting>
  <conditionalFormatting sqref="AD8">
    <cfRule type="expression" dxfId="983" priority="275">
      <formula>WEEKDAY(AD$3,2)=7</formula>
    </cfRule>
    <cfRule type="expression" dxfId="982" priority="276">
      <formula>WEEKDAY(AD$3,2)=6</formula>
    </cfRule>
  </conditionalFormatting>
  <conditionalFormatting sqref="AD8">
    <cfRule type="expression" dxfId="981" priority="274">
      <formula>SEARCH("X", $A$8) &gt; 0</formula>
    </cfRule>
  </conditionalFormatting>
  <conditionalFormatting sqref="AD8">
    <cfRule type="expression" dxfId="980" priority="273" stopIfTrue="1">
      <formula>SEARCH("國", AD$13) &gt; 0</formula>
    </cfRule>
  </conditionalFormatting>
  <conditionalFormatting sqref="AF9">
    <cfRule type="expression" dxfId="979" priority="271">
      <formula>WEEKDAY(AF$3,2)=7</formula>
    </cfRule>
    <cfRule type="expression" dxfId="978" priority="272">
      <formula>WEEKDAY(AF$3,2)=6</formula>
    </cfRule>
  </conditionalFormatting>
  <conditionalFormatting sqref="AF9">
    <cfRule type="expression" dxfId="977" priority="270">
      <formula>SEARCH("X", $A$8) &gt; 0</formula>
    </cfRule>
  </conditionalFormatting>
  <conditionalFormatting sqref="AF9">
    <cfRule type="expression" dxfId="976" priority="269" stopIfTrue="1">
      <formula>SEARCH("國", AF$13) &gt; 0</formula>
    </cfRule>
  </conditionalFormatting>
  <conditionalFormatting sqref="AE8">
    <cfRule type="expression" dxfId="975" priority="267">
      <formula>WEEKDAY(AE$3,2)=7</formula>
    </cfRule>
    <cfRule type="expression" dxfId="974" priority="268">
      <formula>WEEKDAY(AE$3,2)=6</formula>
    </cfRule>
  </conditionalFormatting>
  <conditionalFormatting sqref="AE8">
    <cfRule type="expression" dxfId="973" priority="266">
      <formula>SEARCH("X", $A$8) &gt; 0</formula>
    </cfRule>
  </conditionalFormatting>
  <conditionalFormatting sqref="AE8">
    <cfRule type="expression" dxfId="972" priority="265" stopIfTrue="1">
      <formula>SEARCH("國", AE$13) &gt; 0</formula>
    </cfRule>
  </conditionalFormatting>
  <conditionalFormatting sqref="AE9">
    <cfRule type="expression" dxfId="971" priority="263">
      <formula>WEEKDAY(AE$3,2)=7</formula>
    </cfRule>
    <cfRule type="expression" dxfId="970" priority="264">
      <formula>WEEKDAY(AE$3,2)=6</formula>
    </cfRule>
  </conditionalFormatting>
  <conditionalFormatting sqref="AE9">
    <cfRule type="expression" dxfId="969" priority="262">
      <formula>SEARCH("X", $A$8) &gt; 0</formula>
    </cfRule>
  </conditionalFormatting>
  <conditionalFormatting sqref="AE9">
    <cfRule type="expression" dxfId="968" priority="261" stopIfTrue="1">
      <formula>SEARCH("國", AE$13) &gt; 0</formula>
    </cfRule>
  </conditionalFormatting>
  <conditionalFormatting sqref="AF8">
    <cfRule type="expression" dxfId="967" priority="259">
      <formula>WEEKDAY(AF$3,2)=7</formula>
    </cfRule>
    <cfRule type="expression" dxfId="966" priority="260">
      <formula>WEEKDAY(AF$3,2)=6</formula>
    </cfRule>
  </conditionalFormatting>
  <conditionalFormatting sqref="AF8">
    <cfRule type="expression" dxfId="965" priority="258">
      <formula>SEARCH("X", $A$8) &gt; 0</formula>
    </cfRule>
  </conditionalFormatting>
  <conditionalFormatting sqref="AF8">
    <cfRule type="expression" dxfId="964" priority="257" stopIfTrue="1">
      <formula>SEARCH("國", AF$13) &gt; 0</formula>
    </cfRule>
  </conditionalFormatting>
  <conditionalFormatting sqref="W9">
    <cfRule type="expression" dxfId="963" priority="255">
      <formula>WEEKDAY(W$3,2)=7</formula>
    </cfRule>
    <cfRule type="expression" dxfId="962" priority="256">
      <formula>WEEKDAY(W$3,2)=6</formula>
    </cfRule>
  </conditionalFormatting>
  <conditionalFormatting sqref="W9">
    <cfRule type="expression" dxfId="961" priority="254">
      <formula>SEARCH("X", $A$5) &gt; 0</formula>
    </cfRule>
  </conditionalFormatting>
  <conditionalFormatting sqref="W9">
    <cfRule type="expression" dxfId="960" priority="253" stopIfTrue="1">
      <formula>SEARCH("國", W$10) &gt; 0</formula>
    </cfRule>
  </conditionalFormatting>
  <conditionalFormatting sqref="W8">
    <cfRule type="expression" dxfId="959" priority="251">
      <formula>WEEKDAY(W$3,2)=7</formula>
    </cfRule>
    <cfRule type="expression" dxfId="958" priority="252">
      <formula>WEEKDAY(W$3,2)=6</formula>
    </cfRule>
  </conditionalFormatting>
  <conditionalFormatting sqref="W8">
    <cfRule type="expression" dxfId="957" priority="250">
      <formula>SEARCH("X", $A$5) &gt; 0</formula>
    </cfRule>
  </conditionalFormatting>
  <conditionalFormatting sqref="W8">
    <cfRule type="expression" dxfId="956" priority="249" stopIfTrue="1">
      <formula>SEARCH("國", W$10) &gt; 0</formula>
    </cfRule>
  </conditionalFormatting>
  <conditionalFormatting sqref="N10">
    <cfRule type="expression" dxfId="955" priority="247">
      <formula>WEEKDAY(N$3,2)=7</formula>
    </cfRule>
    <cfRule type="expression" dxfId="954" priority="248">
      <formula>WEEKDAY(N$3,2)=6</formula>
    </cfRule>
  </conditionalFormatting>
  <conditionalFormatting sqref="N10">
    <cfRule type="expression" dxfId="953" priority="246">
      <formula>SEARCH("X", $A$5) &gt; 0</formula>
    </cfRule>
  </conditionalFormatting>
  <conditionalFormatting sqref="N10">
    <cfRule type="expression" dxfId="952" priority="245" stopIfTrue="1">
      <formula>SEARCH("國", N$10) &gt; 0</formula>
    </cfRule>
  </conditionalFormatting>
  <conditionalFormatting sqref="R10">
    <cfRule type="expression" dxfId="951" priority="239">
      <formula>WEEKDAY(R$3,2)=7</formula>
    </cfRule>
    <cfRule type="expression" dxfId="950" priority="240">
      <formula>WEEKDAY(R$3,2)=6</formula>
    </cfRule>
  </conditionalFormatting>
  <conditionalFormatting sqref="R10">
    <cfRule type="expression" dxfId="949" priority="238">
      <formula>SEARCH("X", $A$5) &gt; 0</formula>
    </cfRule>
  </conditionalFormatting>
  <conditionalFormatting sqref="R10">
    <cfRule type="expression" dxfId="948" priority="237" stopIfTrue="1">
      <formula>SEARCH("國", R$10) &gt; 0</formula>
    </cfRule>
  </conditionalFormatting>
  <conditionalFormatting sqref="V8">
    <cfRule type="expression" dxfId="947" priority="231">
      <formula>WEEKDAY(V$3,2)=7</formula>
    </cfRule>
    <cfRule type="expression" dxfId="946" priority="232">
      <formula>WEEKDAY(V$3,2)=6</formula>
    </cfRule>
  </conditionalFormatting>
  <conditionalFormatting sqref="V8">
    <cfRule type="expression" dxfId="945" priority="230">
      <formula>SEARCH("X", $A$5) &gt; 0</formula>
    </cfRule>
  </conditionalFormatting>
  <conditionalFormatting sqref="V8">
    <cfRule type="expression" dxfId="944" priority="229" stopIfTrue="1">
      <formula>SEARCH("國", V$10) &gt; 0</formula>
    </cfRule>
  </conditionalFormatting>
  <conditionalFormatting sqref="X8">
    <cfRule type="expression" dxfId="943" priority="227">
      <formula>WEEKDAY(X$3,2)=7</formula>
    </cfRule>
    <cfRule type="expression" dxfId="942" priority="228">
      <formula>WEEKDAY(X$3,2)=6</formula>
    </cfRule>
  </conditionalFormatting>
  <conditionalFormatting sqref="X8">
    <cfRule type="expression" dxfId="941" priority="226">
      <formula>SEARCH("X", $A$8) &gt; 0</formula>
    </cfRule>
  </conditionalFormatting>
  <conditionalFormatting sqref="X8">
    <cfRule type="expression" dxfId="940" priority="225" stopIfTrue="1">
      <formula>SEARCH("國", X$13) &gt; 0</formula>
    </cfRule>
  </conditionalFormatting>
  <conditionalFormatting sqref="O16">
    <cfRule type="expression" dxfId="939" priority="203">
      <formula>WEEKDAY(O$3,2)=7</formula>
    </cfRule>
    <cfRule type="expression" dxfId="938" priority="204">
      <formula>WEEKDAY(O$3,2)=6</formula>
    </cfRule>
  </conditionalFormatting>
  <conditionalFormatting sqref="O16">
    <cfRule type="expression" dxfId="937" priority="202">
      <formula>SEARCH("X", $A$8) &gt; 0</formula>
    </cfRule>
  </conditionalFormatting>
  <conditionalFormatting sqref="O16">
    <cfRule type="expression" dxfId="936" priority="201" stopIfTrue="1">
      <formula>SEARCH("國", O$13) &gt; 0</formula>
    </cfRule>
  </conditionalFormatting>
  <conditionalFormatting sqref="P17">
    <cfRule type="expression" dxfId="935" priority="195">
      <formula>WEEKDAY(P$3,2)=7</formula>
    </cfRule>
    <cfRule type="expression" dxfId="934" priority="196">
      <formula>WEEKDAY(P$3,2)=6</formula>
    </cfRule>
  </conditionalFormatting>
  <conditionalFormatting sqref="P17">
    <cfRule type="expression" dxfId="933" priority="194">
      <formula>SEARCH("X", $A$8) &gt; 0</formula>
    </cfRule>
  </conditionalFormatting>
  <conditionalFormatting sqref="P17">
    <cfRule type="expression" dxfId="932" priority="193" stopIfTrue="1">
      <formula>SEARCH("國", P$13) &gt; 0</formula>
    </cfRule>
  </conditionalFormatting>
  <conditionalFormatting sqref="U18">
    <cfRule type="expression" dxfId="931" priority="191">
      <formula>WEEKDAY(U$3,2)=7</formula>
    </cfRule>
    <cfRule type="expression" dxfId="930" priority="192">
      <formula>WEEKDAY(U$3,2)=6</formula>
    </cfRule>
  </conditionalFormatting>
  <conditionalFormatting sqref="U18">
    <cfRule type="expression" dxfId="929" priority="190">
      <formula>SEARCH("X", $A$8) &gt; 0</formula>
    </cfRule>
  </conditionalFormatting>
  <conditionalFormatting sqref="U18">
    <cfRule type="expression" dxfId="928" priority="189" stopIfTrue="1">
      <formula>SEARCH("國", U$13) &gt; 0</formula>
    </cfRule>
  </conditionalFormatting>
  <conditionalFormatting sqref="I5">
    <cfRule type="expression" dxfId="927" priority="163">
      <formula>WEEKDAY(I$3,2)=7</formula>
    </cfRule>
    <cfRule type="expression" dxfId="926" priority="164">
      <formula>WEEKDAY(I$3,2)=6</formula>
    </cfRule>
  </conditionalFormatting>
  <conditionalFormatting sqref="I5">
    <cfRule type="expression" dxfId="925" priority="162">
      <formula>SEARCH("X", $A$5) &gt; 0</formula>
    </cfRule>
  </conditionalFormatting>
  <conditionalFormatting sqref="I5">
    <cfRule type="expression" dxfId="924" priority="161" stopIfTrue="1">
      <formula>SEARCH("國", I$10) &gt; 0</formula>
    </cfRule>
  </conditionalFormatting>
  <conditionalFormatting sqref="I18">
    <cfRule type="expression" dxfId="923" priority="151">
      <formula>WEEKDAY(I$3,2)=7</formula>
    </cfRule>
    <cfRule type="expression" dxfId="922" priority="152">
      <formula>WEEKDAY(I$3,2)=6</formula>
    </cfRule>
  </conditionalFormatting>
  <conditionalFormatting sqref="I18">
    <cfRule type="expression" dxfId="921" priority="150">
      <formula>SEARCH("X", $A$15) &gt; 0</formula>
    </cfRule>
  </conditionalFormatting>
  <conditionalFormatting sqref="I18">
    <cfRule type="expression" dxfId="920" priority="149" stopIfTrue="1">
      <formula>SEARCH("國", I$10) &gt; 0</formula>
    </cfRule>
  </conditionalFormatting>
  <conditionalFormatting sqref="B16">
    <cfRule type="expression" dxfId="919" priority="139">
      <formula>WEEKDAY(B$3,2)=7</formula>
    </cfRule>
    <cfRule type="expression" dxfId="918" priority="140">
      <formula>WEEKDAY(B$3,2)=6</formula>
    </cfRule>
  </conditionalFormatting>
  <conditionalFormatting sqref="B16">
    <cfRule type="expression" dxfId="917" priority="138">
      <formula>SEARCH("X", $A$17) &gt; 0</formula>
    </cfRule>
  </conditionalFormatting>
  <conditionalFormatting sqref="B16">
    <cfRule type="expression" dxfId="916" priority="137" stopIfTrue="1">
      <formula>SEARCH("國", B$10) &gt; 0</formula>
    </cfRule>
  </conditionalFormatting>
  <conditionalFormatting sqref="N18">
    <cfRule type="expression" dxfId="915" priority="135">
      <formula>WEEKDAY(N$3,2)=7</formula>
    </cfRule>
    <cfRule type="expression" dxfId="914" priority="136">
      <formula>WEEKDAY(N$3,2)=6</formula>
    </cfRule>
  </conditionalFormatting>
  <conditionalFormatting sqref="N18">
    <cfRule type="expression" dxfId="913" priority="134">
      <formula>SEARCH("X", $A$8) &gt; 0</formula>
    </cfRule>
  </conditionalFormatting>
  <conditionalFormatting sqref="N18">
    <cfRule type="expression" dxfId="912" priority="133" stopIfTrue="1">
      <formula>SEARCH("國", N$13) &gt; 0</formula>
    </cfRule>
  </conditionalFormatting>
  <conditionalFormatting sqref="D15">
    <cfRule type="expression" dxfId="911" priority="127">
      <formula>WEEKDAY(D$3,2)=7</formula>
    </cfRule>
    <cfRule type="expression" dxfId="910" priority="128">
      <formula>WEEKDAY(D$3,2)=6</formula>
    </cfRule>
  </conditionalFormatting>
  <conditionalFormatting sqref="D15">
    <cfRule type="expression" dxfId="909" priority="126">
      <formula>SEARCH("X", $A$15) &gt; 0</formula>
    </cfRule>
  </conditionalFormatting>
  <conditionalFormatting sqref="D15">
    <cfRule type="expression" dxfId="908" priority="125" stopIfTrue="1">
      <formula>SEARCH("國", D$10) &gt; 0</formula>
    </cfRule>
  </conditionalFormatting>
  <conditionalFormatting sqref="C15">
    <cfRule type="expression" dxfId="907" priority="107">
      <formula>WEEKDAY(C$3,2)=7</formula>
    </cfRule>
    <cfRule type="expression" dxfId="906" priority="108">
      <formula>WEEKDAY(C$3,2)=6</formula>
    </cfRule>
  </conditionalFormatting>
  <conditionalFormatting sqref="C15">
    <cfRule type="expression" dxfId="905" priority="106">
      <formula>SEARCH("X", $A$8) &gt; 0</formula>
    </cfRule>
  </conditionalFormatting>
  <conditionalFormatting sqref="C15">
    <cfRule type="expression" dxfId="904" priority="105" stopIfTrue="1">
      <formula>SEARCH("國", C$13) &gt; 0</formula>
    </cfRule>
  </conditionalFormatting>
  <conditionalFormatting sqref="C17">
    <cfRule type="expression" dxfId="903" priority="103">
      <formula>WEEKDAY(C$3,2)=7</formula>
    </cfRule>
    <cfRule type="expression" dxfId="902" priority="104">
      <formula>WEEKDAY(C$3,2)=6</formula>
    </cfRule>
  </conditionalFormatting>
  <conditionalFormatting sqref="C17">
    <cfRule type="expression" dxfId="901" priority="102">
      <formula>SEARCH("X", $A$17) &gt; 0</formula>
    </cfRule>
  </conditionalFormatting>
  <conditionalFormatting sqref="C17">
    <cfRule type="expression" dxfId="900" priority="101" stopIfTrue="1">
      <formula>SEARCH("國", C$10) &gt; 0</formula>
    </cfRule>
  </conditionalFormatting>
  <conditionalFormatting sqref="AF15">
    <cfRule type="expression" dxfId="899" priority="99">
      <formula>WEEKDAY(AF$3,2)=7</formula>
    </cfRule>
    <cfRule type="expression" dxfId="898" priority="100">
      <formula>WEEKDAY(AF$3,2)=6</formula>
    </cfRule>
  </conditionalFormatting>
  <conditionalFormatting sqref="AF15">
    <cfRule type="expression" dxfId="897" priority="98">
      <formula>SEARCH("X", #REF!) &gt; 0</formula>
    </cfRule>
  </conditionalFormatting>
  <conditionalFormatting sqref="AF15">
    <cfRule type="expression" dxfId="896" priority="97" stopIfTrue="1">
      <formula>SEARCH("國", AF$10) &gt; 0</formula>
    </cfRule>
  </conditionalFormatting>
  <conditionalFormatting sqref="H18">
    <cfRule type="expression" dxfId="895" priority="83">
      <formula>WEEKDAY(H$3,2)=7</formula>
    </cfRule>
    <cfRule type="expression" dxfId="894" priority="84">
      <formula>WEEKDAY(H$3,2)=6</formula>
    </cfRule>
  </conditionalFormatting>
  <conditionalFormatting sqref="H18">
    <cfRule type="expression" dxfId="893" priority="82">
      <formula>SEARCH("X", $A$8) &gt; 0</formula>
    </cfRule>
  </conditionalFormatting>
  <conditionalFormatting sqref="H18">
    <cfRule type="expression" dxfId="892" priority="81" stopIfTrue="1">
      <formula>SEARCH("國", H$13) &gt; 0</formula>
    </cfRule>
  </conditionalFormatting>
  <conditionalFormatting sqref="H16">
    <cfRule type="expression" dxfId="891" priority="79">
      <formula>WEEKDAY(H$3,2)=7</formula>
    </cfRule>
    <cfRule type="expression" dxfId="890" priority="80">
      <formula>WEEKDAY(H$3,2)=6</formula>
    </cfRule>
  </conditionalFormatting>
  <conditionalFormatting sqref="H16">
    <cfRule type="expression" dxfId="889" priority="78">
      <formula>SEARCH("X", $A$16) &gt; 0</formula>
    </cfRule>
  </conditionalFormatting>
  <conditionalFormatting sqref="H16">
    <cfRule type="expression" dxfId="888" priority="77" stopIfTrue="1">
      <formula>SEARCH("國", H$10) &gt; 0</formula>
    </cfRule>
  </conditionalFormatting>
  <conditionalFormatting sqref="AE15">
    <cfRule type="expression" dxfId="887" priority="67">
      <formula>WEEKDAY(AE$3,2)=7</formula>
    </cfRule>
    <cfRule type="expression" dxfId="886" priority="68">
      <formula>WEEKDAY(AE$3,2)=6</formula>
    </cfRule>
  </conditionalFormatting>
  <conditionalFormatting sqref="AE15">
    <cfRule type="expression" dxfId="885" priority="66">
      <formula>SEARCH("X", $A$16) &gt; 0</formula>
    </cfRule>
  </conditionalFormatting>
  <conditionalFormatting sqref="AE15">
    <cfRule type="expression" dxfId="884" priority="65" stopIfTrue="1">
      <formula>SEARCH("國", AE$10) &gt; 0</formula>
    </cfRule>
  </conditionalFormatting>
  <conditionalFormatting sqref="AF17">
    <cfRule type="expression" dxfId="883" priority="63">
      <formula>WEEKDAY(AF$3,2)=7</formula>
    </cfRule>
    <cfRule type="expression" dxfId="882" priority="64">
      <formula>WEEKDAY(AF$3,2)=6</formula>
    </cfRule>
  </conditionalFormatting>
  <conditionalFormatting sqref="AF17">
    <cfRule type="expression" dxfId="881" priority="62">
      <formula>SEARCH("X", #REF!) &gt; 0</formula>
    </cfRule>
  </conditionalFormatting>
  <conditionalFormatting sqref="AF17">
    <cfRule type="expression" dxfId="880" priority="61" stopIfTrue="1">
      <formula>SEARCH("國", AF$10) &gt; 0</formula>
    </cfRule>
  </conditionalFormatting>
  <conditionalFormatting sqref="D18">
    <cfRule type="expression" dxfId="879" priority="59">
      <formula>WEEKDAY(D$3,2)=7</formula>
    </cfRule>
    <cfRule type="expression" dxfId="878" priority="60">
      <formula>WEEKDAY(D$3,2)=6</formula>
    </cfRule>
  </conditionalFormatting>
  <conditionalFormatting sqref="D18">
    <cfRule type="expression" dxfId="877" priority="58">
      <formula>SEARCH("X", $A$8) &gt; 0</formula>
    </cfRule>
  </conditionalFormatting>
  <conditionalFormatting sqref="D18">
    <cfRule type="expression" dxfId="876" priority="57" stopIfTrue="1">
      <formula>SEARCH("國", D$13) &gt; 0</formula>
    </cfRule>
  </conditionalFormatting>
  <conditionalFormatting sqref="X17">
    <cfRule type="expression" dxfId="875" priority="55">
      <formula>WEEKDAY(X$3,2)=7</formula>
    </cfRule>
    <cfRule type="expression" dxfId="874" priority="56">
      <formula>WEEKDAY(X$3,2)=6</formula>
    </cfRule>
  </conditionalFormatting>
  <conditionalFormatting sqref="X17">
    <cfRule type="expression" dxfId="873" priority="54">
      <formula>SEARCH("X", $A$8) &gt; 0</formula>
    </cfRule>
  </conditionalFormatting>
  <conditionalFormatting sqref="X17">
    <cfRule type="expression" dxfId="872" priority="53" stopIfTrue="1">
      <formula>SEARCH("國", X$13) &gt; 0</formula>
    </cfRule>
  </conditionalFormatting>
  <conditionalFormatting sqref="W16">
    <cfRule type="expression" dxfId="871" priority="35">
      <formula>WEEKDAY(W$3,2)=7</formula>
    </cfRule>
    <cfRule type="expression" dxfId="870" priority="36">
      <formula>WEEKDAY(W$3,2)=6</formula>
    </cfRule>
  </conditionalFormatting>
  <conditionalFormatting sqref="W16">
    <cfRule type="expression" dxfId="869" priority="34">
      <formula>SEARCH("X", $A$8) &gt; 0</formula>
    </cfRule>
  </conditionalFormatting>
  <conditionalFormatting sqref="W16">
    <cfRule type="expression" dxfId="868" priority="33" stopIfTrue="1">
      <formula>SEARCH("國", W$13) &gt; 0</formula>
    </cfRule>
  </conditionalFormatting>
  <conditionalFormatting sqref="W17">
    <cfRule type="expression" dxfId="867" priority="31">
      <formula>WEEKDAY(W$3,2)=7</formula>
    </cfRule>
    <cfRule type="expression" dxfId="866" priority="32">
      <formula>WEEKDAY(W$3,2)=6</formula>
    </cfRule>
  </conditionalFormatting>
  <conditionalFormatting sqref="W17">
    <cfRule type="expression" dxfId="865" priority="30">
      <formula>SEARCH("X", $A$15) &gt; 0</formula>
    </cfRule>
  </conditionalFormatting>
  <conditionalFormatting sqref="W17">
    <cfRule type="expression" dxfId="864" priority="29" stopIfTrue="1">
      <formula>SEARCH("國", W$10) &gt; 0</formula>
    </cfRule>
  </conditionalFormatting>
  <conditionalFormatting sqref="J15">
    <cfRule type="expression" dxfId="863" priority="27">
      <formula>WEEKDAY(J$3,2)=7</formula>
    </cfRule>
    <cfRule type="expression" dxfId="862" priority="28">
      <formula>WEEKDAY(J$3,2)=6</formula>
    </cfRule>
  </conditionalFormatting>
  <conditionalFormatting sqref="J15">
    <cfRule type="expression" dxfId="861" priority="26">
      <formula>SEARCH("X", $A$8) &gt; 0</formula>
    </cfRule>
  </conditionalFormatting>
  <conditionalFormatting sqref="J15">
    <cfRule type="expression" dxfId="860" priority="25" stopIfTrue="1">
      <formula>SEARCH("國", J$13) &gt; 0</formula>
    </cfRule>
  </conditionalFormatting>
  <conditionalFormatting sqref="I16">
    <cfRule type="expression" dxfId="859" priority="23">
      <formula>WEEKDAY(I$3,2)=7</formula>
    </cfRule>
    <cfRule type="expression" dxfId="858" priority="24">
      <formula>WEEKDAY(I$3,2)=6</formula>
    </cfRule>
  </conditionalFormatting>
  <conditionalFormatting sqref="I16">
    <cfRule type="expression" dxfId="857" priority="22">
      <formula>SEARCH("X", $A$8) &gt; 0</formula>
    </cfRule>
  </conditionalFormatting>
  <conditionalFormatting sqref="I16">
    <cfRule type="expression" dxfId="856" priority="21" stopIfTrue="1">
      <formula>SEARCH("國", I$13) &gt; 0</formula>
    </cfRule>
  </conditionalFormatting>
  <conditionalFormatting sqref="I15">
    <cfRule type="expression" dxfId="855" priority="19">
      <formula>WEEKDAY(I$3,2)=7</formula>
    </cfRule>
    <cfRule type="expression" dxfId="854" priority="20">
      <formula>WEEKDAY(I$3,2)=6</formula>
    </cfRule>
  </conditionalFormatting>
  <conditionalFormatting sqref="I15">
    <cfRule type="expression" dxfId="853" priority="18">
      <formula>SEARCH("X", $A$16) &gt; 0</formula>
    </cfRule>
  </conditionalFormatting>
  <conditionalFormatting sqref="I15">
    <cfRule type="expression" dxfId="852" priority="17" stopIfTrue="1">
      <formula>SEARCH("國", I$10) &gt; 0</formula>
    </cfRule>
  </conditionalFormatting>
  <conditionalFormatting sqref="J17">
    <cfRule type="expression" dxfId="851" priority="15">
      <formula>WEEKDAY(J$3,2)=7</formula>
    </cfRule>
    <cfRule type="expression" dxfId="850" priority="16">
      <formula>WEEKDAY(J$3,2)=6</formula>
    </cfRule>
  </conditionalFormatting>
  <conditionalFormatting sqref="J17">
    <cfRule type="expression" dxfId="849" priority="14">
      <formula>SEARCH("X", $A$16) &gt; 0</formula>
    </cfRule>
  </conditionalFormatting>
  <conditionalFormatting sqref="J17">
    <cfRule type="expression" dxfId="848" priority="13" stopIfTrue="1">
      <formula>SEARCH("國", J$10) &gt; 0</formula>
    </cfRule>
  </conditionalFormatting>
  <conditionalFormatting sqref="AB18">
    <cfRule type="expression" dxfId="847" priority="11">
      <formula>WEEKDAY(AB$3,2)=7</formula>
    </cfRule>
    <cfRule type="expression" dxfId="846" priority="12">
      <formula>WEEKDAY(AB$3,2)=6</formula>
    </cfRule>
  </conditionalFormatting>
  <conditionalFormatting sqref="AB18">
    <cfRule type="expression" dxfId="845" priority="10">
      <formula>SEARCH("X", #REF!) &gt; 0</formula>
    </cfRule>
  </conditionalFormatting>
  <conditionalFormatting sqref="AB18">
    <cfRule type="expression" dxfId="844" priority="9" stopIfTrue="1">
      <formula>SEARCH("國", AB$10) &gt; 0</formula>
    </cfRule>
  </conditionalFormatting>
  <conditionalFormatting sqref="Q18">
    <cfRule type="expression" dxfId="843" priority="7">
      <formula>WEEKDAY(Q$3,2)=7</formula>
    </cfRule>
    <cfRule type="expression" dxfId="842" priority="8">
      <formula>WEEKDAY(Q$3,2)=6</formula>
    </cfRule>
  </conditionalFormatting>
  <conditionalFormatting sqref="Q18">
    <cfRule type="expression" dxfId="841" priority="6">
      <formula>SEARCH("X", $A$8) &gt; 0</formula>
    </cfRule>
  </conditionalFormatting>
  <conditionalFormatting sqref="Q18">
    <cfRule type="expression" dxfId="840" priority="5" stopIfTrue="1">
      <formula>SEARCH("國", Q$13) &gt; 0</formula>
    </cfRule>
  </conditionalFormatting>
  <conditionalFormatting sqref="Q16">
    <cfRule type="expression" dxfId="839" priority="3">
      <formula>WEEKDAY(Q$3,2)=7</formula>
    </cfRule>
    <cfRule type="expression" dxfId="838" priority="4">
      <formula>WEEKDAY(Q$3,2)=6</formula>
    </cfRule>
  </conditionalFormatting>
  <conditionalFormatting sqref="Q16">
    <cfRule type="expression" dxfId="837" priority="2">
      <formula>SEARCH("X", $A$8) &gt; 0</formula>
    </cfRule>
  </conditionalFormatting>
  <conditionalFormatting sqref="Q16">
    <cfRule type="expression" dxfId="836" priority="1" stopIfTrue="1">
      <formula>SEARCH("國", Q$13) &gt; 0</formula>
    </cfRule>
  </conditionalFormatting>
  <dataValidations count="12">
    <dataValidation type="list" allowBlank="1" showInputMessage="1" sqref="A12:A14" xr:uid="{159EE6E2-23AD-42BF-912A-59E885BAE0E2}">
      <formula1>$AI$27:$AJ$27</formula1>
    </dataValidation>
    <dataValidation type="list" allowBlank="1" showInputMessage="1" showErrorMessage="1" sqref="C20:D31" xr:uid="{5E985A0B-2644-4854-8442-D51797D8012C}">
      <formula1>$AM$21:$AM$24</formula1>
    </dataValidation>
    <dataValidation type="list" allowBlank="1" showInputMessage="1" sqref="B5:C5 U17:V17 V15 V10:W10 W16 K5 U18 J18:R19 S19:X19 B9:F10 AF6:AF9 G10:J10 AE5:AE9 AA19:AB19 L10 AB8:AB10 G8:G9 H19:I19 Y5:Z5 K15:K17 X15:Y17 G15:G17 Y18:Z19 AF18:AF19 AD19:AE19 H8:K8 J9 K9:K10 Y8:Z10 S9:S10 N8 G5:H5 AC8:AD8 AC10:AF10 X8:X9 C15 J15 O16 P16:P17 B18:G19 H18 I16 AC18:AC19 Q16" xr:uid="{4C2698DA-51E4-4391-B6DD-ABFEAF0FCD72}">
      <formula1>$AH$13:$AH$28</formula1>
    </dataValidation>
    <dataValidation type="list" allowBlank="1" showInputMessage="1" showErrorMessage="1" sqref="A6" xr:uid="{A2D7B806-002E-4BB8-A60A-DEFD9CB83BCC}">
      <formula1>$AK$25:$AL$25</formula1>
    </dataValidation>
    <dataValidation type="list" allowBlank="1" showInputMessage="1" showErrorMessage="1" sqref="A5" xr:uid="{FF847D3B-96DC-4BB9-B5EA-7F517F72B8BE}">
      <formula1>$AK$24:$AL$24</formula1>
    </dataValidation>
    <dataValidation type="list" allowBlank="1" showInputMessage="1" showErrorMessage="1" sqref="A15" xr:uid="{67E4BCEC-C63F-485F-91A2-FFC93E58C08C}">
      <formula1>$AI$21:$AJ$21</formula1>
    </dataValidation>
    <dataValidation type="list" allowBlank="1" showInputMessage="1" showErrorMessage="1" sqref="A17" xr:uid="{76A73770-7025-4A3C-8858-D34433178AAB}">
      <formula1>$AK$23:$AL$23</formula1>
    </dataValidation>
    <dataValidation type="list" allowBlank="1" showInputMessage="1" showErrorMessage="1" sqref="A16" xr:uid="{4A01FB1D-07DB-4961-9685-D2157F01FA99}">
      <formula1>$AI$22:$AJ$22</formula1>
    </dataValidation>
    <dataValidation type="list" allowBlank="1" showInputMessage="1" showErrorMessage="1" sqref="A7" xr:uid="{6261AE81-97B6-415A-B44C-F7458BF56437}">
      <formula1>$AK$26:$AL$26</formula1>
    </dataValidation>
    <dataValidation type="list" allowBlank="1" showInputMessage="1" showErrorMessage="1" sqref="A8" xr:uid="{37CDB5B8-D149-4945-BB9F-B7EFF159B7BE}">
      <formula1>$AI$27:$AJ$27</formula1>
    </dataValidation>
    <dataValidation type="list" allowBlank="1" showInputMessage="1" showErrorMessage="1" sqref="E20:F27" xr:uid="{B47D5C98-1082-407D-ADAA-8AA4F7C1989F}">
      <formula1>$A$5:$A$8</formula1>
    </dataValidation>
    <dataValidation type="list" allowBlank="1" showInputMessage="1" sqref="X5:X7 U15 W17 U16:V16 B6:C8 AA18:AB18 Q17 AA5:AA10 O17 V18:X18 O5 N6:Q7 AD18:AE18 D5:F8 Y6:Z7 AB5:AD7 P10:R10 K6:K7 AF5 L5:M8 R5:R7 S5:T8 L9 D15:F17 C16:C17 J5:J7 G6:I7 H9:I9 AC9:AD9 Z15:AF17 H15:H17 U6:U7 M9:N10 T9:U10 X10 V5:W9 I5 J16:J17 L15:N17 S18:T18 B15:B17 R15:T17 O15:Q15 W15 I17:I18 I15" xr:uid="{7EFCD945-4B43-4B8B-AEB6-C3662330F1D6}">
      <formula1>$AH$10:$AH$25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74BAB-0BB7-4CCB-B15D-2EF2D36A6030}">
  <sheetPr codeName="工作表15">
    <pageSetUpPr fitToPage="1"/>
  </sheetPr>
  <dimension ref="A1:AM44"/>
  <sheetViews>
    <sheetView zoomScale="50" zoomScaleNormal="50" workbookViewId="0">
      <selection activeCell="N34" sqref="N34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2"/>
      <c r="B1" s="22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165" t="s">
        <v>355</v>
      </c>
      <c r="B2" s="1"/>
      <c r="C2" s="1"/>
      <c r="D2" s="1"/>
      <c r="F2" s="1"/>
      <c r="G2" s="27">
        <v>2025</v>
      </c>
      <c r="H2" s="27" t="str">
        <f>"("&amp;YEAR(B3)-1911&amp;" 年 "&amp;")"</f>
        <v>(114 年 )</v>
      </c>
      <c r="I2" s="22"/>
      <c r="J2" s="23">
        <v>8</v>
      </c>
      <c r="K2" s="23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F2" s="175"/>
    </row>
    <row r="3" spans="1:39" ht="27.5">
      <c r="A3" s="19" t="s">
        <v>1</v>
      </c>
      <c r="B3" s="250">
        <f>DATE($G$2,$J$2,1)</f>
        <v>45870</v>
      </c>
      <c r="C3" s="167">
        <f>B3+1</f>
        <v>45871</v>
      </c>
      <c r="D3" s="167">
        <f t="shared" ref="D3:AB3" si="0">C3+1</f>
        <v>45872</v>
      </c>
      <c r="E3" s="30">
        <f t="shared" si="0"/>
        <v>45873</v>
      </c>
      <c r="F3" s="30">
        <f t="shared" si="0"/>
        <v>45874</v>
      </c>
      <c r="G3" s="30">
        <f t="shared" si="0"/>
        <v>45875</v>
      </c>
      <c r="H3" s="30">
        <f t="shared" si="0"/>
        <v>45876</v>
      </c>
      <c r="I3" s="30">
        <f t="shared" si="0"/>
        <v>45877</v>
      </c>
      <c r="J3" s="167">
        <f t="shared" si="0"/>
        <v>45878</v>
      </c>
      <c r="K3" s="167">
        <f t="shared" si="0"/>
        <v>45879</v>
      </c>
      <c r="L3" s="30">
        <f t="shared" si="0"/>
        <v>45880</v>
      </c>
      <c r="M3" s="30">
        <f t="shared" si="0"/>
        <v>45881</v>
      </c>
      <c r="N3" s="30">
        <f t="shared" si="0"/>
        <v>45882</v>
      </c>
      <c r="O3" s="30">
        <f t="shared" si="0"/>
        <v>45883</v>
      </c>
      <c r="P3" s="30">
        <f t="shared" si="0"/>
        <v>45884</v>
      </c>
      <c r="Q3" s="167">
        <f t="shared" si="0"/>
        <v>45885</v>
      </c>
      <c r="R3" s="167">
        <f>Q3+1</f>
        <v>45886</v>
      </c>
      <c r="S3" s="30">
        <f t="shared" si="0"/>
        <v>45887</v>
      </c>
      <c r="T3" s="30">
        <f t="shared" si="0"/>
        <v>45888</v>
      </c>
      <c r="U3" s="30">
        <f t="shared" si="0"/>
        <v>45889</v>
      </c>
      <c r="V3" s="30">
        <f t="shared" si="0"/>
        <v>45890</v>
      </c>
      <c r="W3" s="30">
        <f t="shared" si="0"/>
        <v>45891</v>
      </c>
      <c r="X3" s="167">
        <f t="shared" si="0"/>
        <v>45892</v>
      </c>
      <c r="Y3" s="167">
        <f t="shared" si="0"/>
        <v>45893</v>
      </c>
      <c r="Z3" s="30">
        <f t="shared" si="0"/>
        <v>45894</v>
      </c>
      <c r="AA3" s="30">
        <f t="shared" si="0"/>
        <v>45895</v>
      </c>
      <c r="AB3" s="30">
        <f t="shared" si="0"/>
        <v>45896</v>
      </c>
      <c r="AC3" s="30">
        <f>IFERROR(IF(MONTH(AB3+1)=$J$2,AB3+1,""),"")</f>
        <v>45897</v>
      </c>
      <c r="AD3" s="30">
        <f>IFERROR(IF(MONTH(AC3+1)=$J$2,AC3+1,""),"")</f>
        <v>45898</v>
      </c>
      <c r="AE3" s="167">
        <f>IFERROR(IF(MONTH(AD3+1)=$J$2,AD3+1,""),"")</f>
        <v>45899</v>
      </c>
      <c r="AF3" s="167">
        <f>IFERROR(IF(MONTH(AE3+1)=$J$2,AE3+1,""),"")</f>
        <v>45900</v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3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5</v>
      </c>
      <c r="C4" s="168">
        <f>IFERROR(IF(WEEKDAY(C3,2)=7,"日",WEEKDAY(C3,2)),"")</f>
        <v>6</v>
      </c>
      <c r="D4" s="168" t="str">
        <f t="shared" si="1"/>
        <v>日</v>
      </c>
      <c r="E4" s="31">
        <f t="shared" si="1"/>
        <v>1</v>
      </c>
      <c r="F4" s="31">
        <f t="shared" si="1"/>
        <v>2</v>
      </c>
      <c r="G4" s="31">
        <f t="shared" si="1"/>
        <v>3</v>
      </c>
      <c r="H4" s="31">
        <f t="shared" si="1"/>
        <v>4</v>
      </c>
      <c r="I4" s="31">
        <f t="shared" si="1"/>
        <v>5</v>
      </c>
      <c r="J4" s="168">
        <f t="shared" si="1"/>
        <v>6</v>
      </c>
      <c r="K4" s="168" t="str">
        <f t="shared" si="1"/>
        <v>日</v>
      </c>
      <c r="L4" s="31">
        <f t="shared" si="1"/>
        <v>1</v>
      </c>
      <c r="M4" s="31">
        <f t="shared" si="1"/>
        <v>2</v>
      </c>
      <c r="N4" s="31">
        <f t="shared" si="1"/>
        <v>3</v>
      </c>
      <c r="O4" s="31">
        <f t="shared" si="1"/>
        <v>4</v>
      </c>
      <c r="P4" s="31">
        <f t="shared" si="1"/>
        <v>5</v>
      </c>
      <c r="Q4" s="168">
        <f t="shared" si="1"/>
        <v>6</v>
      </c>
      <c r="R4" s="168" t="str">
        <f t="shared" si="1"/>
        <v>日</v>
      </c>
      <c r="S4" s="31">
        <f t="shared" si="1"/>
        <v>1</v>
      </c>
      <c r="T4" s="31">
        <f t="shared" si="1"/>
        <v>2</v>
      </c>
      <c r="U4" s="31">
        <f t="shared" si="1"/>
        <v>3</v>
      </c>
      <c r="V4" s="31">
        <f t="shared" si="1"/>
        <v>4</v>
      </c>
      <c r="W4" s="31">
        <f t="shared" si="1"/>
        <v>5</v>
      </c>
      <c r="X4" s="168">
        <f t="shared" si="1"/>
        <v>6</v>
      </c>
      <c r="Y4" s="168" t="str">
        <f t="shared" si="1"/>
        <v>日</v>
      </c>
      <c r="Z4" s="31">
        <f t="shared" si="1"/>
        <v>1</v>
      </c>
      <c r="AA4" s="31">
        <f t="shared" si="1"/>
        <v>2</v>
      </c>
      <c r="AB4" s="31">
        <f t="shared" si="1"/>
        <v>3</v>
      </c>
      <c r="AC4" s="31">
        <f t="shared" si="1"/>
        <v>4</v>
      </c>
      <c r="AD4" s="31">
        <f t="shared" si="1"/>
        <v>5</v>
      </c>
      <c r="AE4" s="168">
        <f t="shared" si="1"/>
        <v>6</v>
      </c>
      <c r="AF4" s="168" t="str">
        <f t="shared" si="1"/>
        <v>日</v>
      </c>
      <c r="AG4" s="377" t="s">
        <v>42</v>
      </c>
      <c r="AH4" s="377"/>
      <c r="AI4" s="377"/>
      <c r="AJ4" s="377"/>
      <c r="AK4" s="377"/>
      <c r="AL4" s="377"/>
      <c r="AM4" s="174"/>
    </row>
    <row r="5" spans="1:39" ht="21.5" hidden="1">
      <c r="A5" s="6" t="s">
        <v>9</v>
      </c>
      <c r="B5" s="33"/>
      <c r="C5" s="33"/>
      <c r="D5" s="88"/>
      <c r="E5" s="88"/>
      <c r="F5" s="88"/>
      <c r="G5" s="88"/>
      <c r="H5" s="88"/>
      <c r="I5" s="33"/>
      <c r="J5" s="33"/>
      <c r="K5" s="33"/>
      <c r="L5" s="33"/>
      <c r="M5" s="88"/>
      <c r="N5" s="88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88"/>
      <c r="AD5" s="88"/>
      <c r="AE5" s="83"/>
      <c r="AF5" s="88"/>
      <c r="AG5" s="3">
        <f>(AH5*12)+(AI5*12)+(AK5*8)+(AL5*4)</f>
        <v>228</v>
      </c>
      <c r="AH5" s="3">
        <f t="shared" ref="AH5:AH15" si="2">COUNTIF(B5:AF5,"D")</f>
        <v>0</v>
      </c>
      <c r="AI5" s="3">
        <f t="shared" ref="AI5:AI15" si="3">COUNTIF(B5:AF5,"N")</f>
        <v>0</v>
      </c>
      <c r="AJ5" s="3">
        <f t="shared" ref="AJ5:AJ15" si="4">COUNTIF(B5:AF5,"OFF")+COUNTIF(B5:AF5,"上課")</f>
        <v>0</v>
      </c>
      <c r="AK5" s="3">
        <f t="shared" ref="AK5:AK15" si="5">COUNTIF(B5:AF5,"")-AL5+COUNTIF(B5:AF5,"h3")</f>
        <v>26</v>
      </c>
      <c r="AL5" s="3">
        <f t="shared" ref="AL5:AL15" si="6">COUNTIFS($B$4:$AF$4,"6",B5:AF5,"")+COUNTIF(B5:AF5,"h3")</f>
        <v>5</v>
      </c>
      <c r="AM5" s="3">
        <f t="array" ref="AM5">SUMPRODUCT(($B$4:$AF$4=6)*(B5:AF5="off"))</f>
        <v>0</v>
      </c>
    </row>
    <row r="6" spans="1:39" ht="21.5">
      <c r="A6" s="6" t="s">
        <v>45</v>
      </c>
      <c r="B6" s="33" t="s">
        <v>10</v>
      </c>
      <c r="C6" s="33" t="s">
        <v>334</v>
      </c>
      <c r="D6" s="88" t="s">
        <v>3</v>
      </c>
      <c r="E6" s="88" t="s">
        <v>5</v>
      </c>
      <c r="F6" s="88" t="s">
        <v>5</v>
      </c>
      <c r="G6" s="88" t="s">
        <v>4</v>
      </c>
      <c r="H6" s="88" t="s">
        <v>4</v>
      </c>
      <c r="I6" s="88" t="s">
        <v>5</v>
      </c>
      <c r="J6" s="261" t="s">
        <v>5</v>
      </c>
      <c r="K6" s="261" t="s">
        <v>5</v>
      </c>
      <c r="L6" s="88" t="s">
        <v>4</v>
      </c>
      <c r="M6" s="88" t="s">
        <v>4</v>
      </c>
      <c r="N6" s="88"/>
      <c r="O6" s="88" t="s">
        <v>3</v>
      </c>
      <c r="P6" s="88" t="s">
        <v>4</v>
      </c>
      <c r="Q6" s="88"/>
      <c r="R6" s="90" t="s">
        <v>3</v>
      </c>
      <c r="S6" s="88"/>
      <c r="T6" s="263" t="s">
        <v>3</v>
      </c>
      <c r="V6" s="88" t="s">
        <v>3</v>
      </c>
      <c r="W6" s="88" t="s">
        <v>4</v>
      </c>
      <c r="X6" s="88" t="s">
        <v>3</v>
      </c>
      <c r="Y6" s="88" t="s">
        <v>3</v>
      </c>
      <c r="Z6" s="88"/>
      <c r="AA6" s="88" t="s">
        <v>3</v>
      </c>
      <c r="AB6" s="88" t="s">
        <v>4</v>
      </c>
      <c r="AC6" s="88" t="s">
        <v>4</v>
      </c>
      <c r="AD6" s="88" t="s">
        <v>5</v>
      </c>
      <c r="AE6" s="90" t="s">
        <v>5</v>
      </c>
      <c r="AF6" s="90" t="s">
        <v>4</v>
      </c>
      <c r="AG6" s="253" t="e">
        <f>(AH6*12)+(AI6*12)+(AK6*8)+(AL6*4)</f>
        <v>#VALUE!</v>
      </c>
      <c r="AH6" s="3">
        <f>COUNTIF(B6:AD6,"D")</f>
        <v>8</v>
      </c>
      <c r="AI6" s="3">
        <v>7</v>
      </c>
      <c r="AJ6" s="3">
        <v>10</v>
      </c>
      <c r="AK6" s="3" t="e">
        <f>COUNTIF(B6:AD6,"")-AL6+COUNTIF(B6:AD6,"h3")</f>
        <v>#VALUE!</v>
      </c>
      <c r="AL6" s="3" t="e">
        <f>COUNTIFS($B$4:$AF$4,"6",B6:AD6,"")+COUNTIF(B6:AD6,"h3")</f>
        <v>#VALUE!</v>
      </c>
      <c r="AM6" s="3" t="e">
        <f t="array" ref="AM6">SUMPRODUCT(($B$4:$AF$4=6)*(B6:AD6="off"))</f>
        <v>#N/A</v>
      </c>
    </row>
    <row r="7" spans="1:39" s="245" customFormat="1" ht="21.5">
      <c r="A7" s="280" t="s">
        <v>17</v>
      </c>
      <c r="B7" s="203"/>
      <c r="C7" s="203"/>
      <c r="D7" s="203"/>
      <c r="E7" s="203"/>
      <c r="F7" s="203" t="s">
        <v>39</v>
      </c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 t="s">
        <v>40</v>
      </c>
      <c r="Y7" s="203"/>
      <c r="Z7" s="203"/>
      <c r="AA7" s="203"/>
      <c r="AB7" s="203"/>
      <c r="AC7" s="203"/>
      <c r="AD7" s="203"/>
      <c r="AE7" s="203"/>
      <c r="AF7" s="203"/>
      <c r="AG7" s="3">
        <f>(AH7*12)+(AI7*12)+(AK7*8)+(AL7*4)</f>
        <v>220</v>
      </c>
      <c r="AH7" s="282">
        <f t="shared" si="2"/>
        <v>0</v>
      </c>
      <c r="AI7" s="282">
        <f t="shared" si="3"/>
        <v>0</v>
      </c>
      <c r="AJ7" s="282">
        <f t="shared" si="4"/>
        <v>0</v>
      </c>
      <c r="AK7" s="282">
        <f t="shared" si="5"/>
        <v>25</v>
      </c>
      <c r="AL7" s="282">
        <f t="shared" si="6"/>
        <v>5</v>
      </c>
      <c r="AM7" s="282">
        <f t="array" ref="AM7">SUMPRODUCT(($B$4:$AF$4=6)*(B7:AF7="off"))</f>
        <v>0</v>
      </c>
    </row>
    <row r="8" spans="1:39" ht="21.5">
      <c r="A8" s="6" t="s">
        <v>46</v>
      </c>
      <c r="B8" s="281" t="s">
        <v>3</v>
      </c>
      <c r="C8" s="283" t="s">
        <v>334</v>
      </c>
      <c r="D8" s="283" t="s">
        <v>2</v>
      </c>
      <c r="E8" s="283" t="s">
        <v>2</v>
      </c>
      <c r="F8" s="283" t="s">
        <v>4</v>
      </c>
      <c r="G8" s="281" t="s">
        <v>5</v>
      </c>
      <c r="H8" s="281" t="s">
        <v>5</v>
      </c>
      <c r="I8" s="281" t="s">
        <v>4</v>
      </c>
      <c r="J8" s="284" t="s">
        <v>4</v>
      </c>
      <c r="K8" s="281" t="s">
        <v>3</v>
      </c>
      <c r="L8" s="285"/>
      <c r="M8" s="285" t="s">
        <v>3</v>
      </c>
      <c r="N8" s="281" t="s">
        <v>4</v>
      </c>
      <c r="O8" s="281" t="s">
        <v>5</v>
      </c>
      <c r="P8" s="281" t="s">
        <v>4</v>
      </c>
      <c r="Q8" s="281" t="s">
        <v>360</v>
      </c>
      <c r="R8" s="281" t="s">
        <v>4</v>
      </c>
      <c r="S8" s="281" t="s">
        <v>3</v>
      </c>
      <c r="T8" s="281" t="s">
        <v>5</v>
      </c>
      <c r="U8" s="281" t="s">
        <v>5</v>
      </c>
      <c r="V8" s="281" t="s">
        <v>4</v>
      </c>
      <c r="W8" s="281" t="s">
        <v>3</v>
      </c>
      <c r="X8" s="281" t="s">
        <v>361</v>
      </c>
      <c r="Y8" s="281" t="s">
        <v>361</v>
      </c>
      <c r="Z8" s="281" t="s">
        <v>5</v>
      </c>
      <c r="AA8" s="281" t="s">
        <v>4</v>
      </c>
      <c r="AB8" s="281" t="s">
        <v>3</v>
      </c>
      <c r="AC8" s="281"/>
      <c r="AD8" s="281" t="s">
        <v>3</v>
      </c>
      <c r="AE8" s="283"/>
      <c r="AF8" s="281" t="s">
        <v>4</v>
      </c>
      <c r="AG8" s="3">
        <f>(AH8*12)+(AI8*12)+(AK8*8)+(AL8*4)</f>
        <v>176</v>
      </c>
      <c r="AH8" s="3">
        <f t="shared" si="2"/>
        <v>7</v>
      </c>
      <c r="AI8" s="3">
        <f t="shared" si="3"/>
        <v>6</v>
      </c>
      <c r="AJ8" s="3">
        <f t="shared" si="4"/>
        <v>11</v>
      </c>
      <c r="AK8" s="3">
        <f t="shared" si="5"/>
        <v>2</v>
      </c>
      <c r="AL8" s="3">
        <f t="shared" si="6"/>
        <v>1</v>
      </c>
      <c r="AM8" s="3">
        <f t="array" ref="AM8">SUMPRODUCT(($B$4:$AF$4=6)*(B8:AF8="off"))</f>
        <v>1</v>
      </c>
    </row>
    <row r="9" spans="1:39" ht="21.5">
      <c r="A9" s="280" t="s">
        <v>12</v>
      </c>
      <c r="B9" s="203"/>
      <c r="C9" s="203" t="s">
        <v>5</v>
      </c>
      <c r="D9" s="203" t="s">
        <v>5</v>
      </c>
      <c r="E9" s="203"/>
      <c r="F9" s="204"/>
      <c r="G9" s="204"/>
      <c r="H9" s="204"/>
      <c r="I9" s="204"/>
      <c r="J9" s="204"/>
      <c r="K9" s="204"/>
      <c r="L9" s="204"/>
      <c r="M9" s="203"/>
      <c r="N9" s="203"/>
      <c r="O9" s="203"/>
      <c r="P9" s="204"/>
      <c r="Q9" s="204" t="s">
        <v>334</v>
      </c>
      <c r="R9" s="203"/>
      <c r="S9" s="203"/>
      <c r="T9" s="203" t="s">
        <v>39</v>
      </c>
      <c r="U9" s="203"/>
      <c r="V9" s="203"/>
      <c r="W9" s="203"/>
      <c r="X9" s="251"/>
      <c r="Y9" s="251"/>
      <c r="Z9" s="203"/>
      <c r="AA9" s="203"/>
      <c r="AB9" s="203"/>
      <c r="AC9" s="203"/>
      <c r="AD9" s="203" t="s">
        <v>39</v>
      </c>
      <c r="AE9" s="203"/>
      <c r="AF9" s="203"/>
      <c r="AG9" s="3">
        <f>(AH9*12)+(AI9*12)+(AK9*8)+(AL9*4)</f>
        <v>220</v>
      </c>
      <c r="AH9" s="3">
        <f t="shared" si="2"/>
        <v>0</v>
      </c>
      <c r="AI9" s="3">
        <f t="shared" si="3"/>
        <v>2</v>
      </c>
      <c r="AJ9" s="3">
        <f t="shared" si="4"/>
        <v>0</v>
      </c>
      <c r="AK9" s="3">
        <f t="shared" si="5"/>
        <v>23</v>
      </c>
      <c r="AL9" s="3">
        <f t="shared" si="6"/>
        <v>3</v>
      </c>
      <c r="AM9" s="3">
        <f t="array" ref="AM9">SUMPRODUCT(($B$4:$AF$4=6)*(B9:AF9="off"))</f>
        <v>0</v>
      </c>
    </row>
    <row r="10" spans="1:39" ht="21.5" hidden="1">
      <c r="A10" s="280" t="s">
        <v>303</v>
      </c>
      <c r="B10" s="203"/>
      <c r="C10" s="203"/>
      <c r="D10" s="203"/>
      <c r="E10" s="203"/>
      <c r="F10" s="203"/>
      <c r="G10" s="203"/>
      <c r="H10" s="203"/>
      <c r="I10" s="204"/>
      <c r="J10" s="203"/>
      <c r="K10" s="204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3">
        <f t="shared" ref="AG10:AG15" si="7">(AH10*12)+(AI10*12)+(AK10*8)+(AL10*4)</f>
        <v>228</v>
      </c>
      <c r="AH10" s="3">
        <f t="shared" si="2"/>
        <v>0</v>
      </c>
      <c r="AI10" s="3">
        <f t="shared" si="3"/>
        <v>0</v>
      </c>
      <c r="AJ10" s="3">
        <f t="shared" si="4"/>
        <v>0</v>
      </c>
      <c r="AK10" s="3">
        <f t="shared" si="5"/>
        <v>26</v>
      </c>
      <c r="AL10" s="3">
        <f t="shared" si="6"/>
        <v>5</v>
      </c>
      <c r="AM10" s="3">
        <f t="array" ref="AM10">SUMPRODUCT(($B$4:$AF$4=6)*(B10:AF10="off"))</f>
        <v>0</v>
      </c>
    </row>
    <row r="11" spans="1:39" ht="21.5" hidden="1">
      <c r="A11" s="280" t="s">
        <v>269</v>
      </c>
      <c r="B11" s="203"/>
      <c r="C11" s="203"/>
      <c r="D11" s="203"/>
      <c r="E11" s="203"/>
      <c r="F11" s="203"/>
      <c r="G11" s="203"/>
      <c r="H11" s="203"/>
      <c r="I11" s="204"/>
      <c r="J11" s="204"/>
      <c r="K11" s="204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3">
        <f t="shared" si="7"/>
        <v>228</v>
      </c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26</v>
      </c>
      <c r="AL11" s="3">
        <f t="shared" si="6"/>
        <v>5</v>
      </c>
      <c r="AM11" s="3">
        <f t="array" ref="AM11">SUMPRODUCT(($B$4:$AF$4=6)*(B11:AF11="off"))</f>
        <v>0</v>
      </c>
    </row>
    <row r="12" spans="1:39" ht="21.5">
      <c r="A12" s="280" t="s">
        <v>51</v>
      </c>
      <c r="B12" s="203"/>
      <c r="C12" s="203"/>
      <c r="D12" s="203"/>
      <c r="E12" s="204"/>
      <c r="F12" s="204"/>
      <c r="G12" s="203"/>
      <c r="H12" s="203"/>
      <c r="I12" s="203"/>
      <c r="J12" s="203"/>
      <c r="K12" s="203"/>
      <c r="L12" s="204"/>
      <c r="M12" s="204"/>
      <c r="N12" s="203"/>
      <c r="O12" s="203"/>
      <c r="P12" s="203" t="s">
        <v>39</v>
      </c>
      <c r="Q12" s="204" t="s">
        <v>334</v>
      </c>
      <c r="R12" s="203"/>
      <c r="S12" s="203"/>
      <c r="T12" s="203"/>
      <c r="U12" s="203"/>
      <c r="V12" s="203"/>
      <c r="W12" s="204"/>
      <c r="X12" s="203"/>
      <c r="Y12" s="203"/>
      <c r="Z12" s="203"/>
      <c r="AA12" s="203"/>
      <c r="AB12" s="203"/>
      <c r="AC12" s="203"/>
      <c r="AD12" s="203"/>
      <c r="AE12" s="203"/>
      <c r="AF12" s="203"/>
      <c r="AG12" s="3">
        <f t="shared" si="7"/>
        <v>216</v>
      </c>
      <c r="AH12" s="3">
        <f t="shared" si="2"/>
        <v>0</v>
      </c>
      <c r="AI12" s="3">
        <f t="shared" si="3"/>
        <v>0</v>
      </c>
      <c r="AJ12" s="3">
        <f t="shared" si="4"/>
        <v>0</v>
      </c>
      <c r="AK12" s="3">
        <f t="shared" si="5"/>
        <v>25</v>
      </c>
      <c r="AL12" s="3">
        <f t="shared" si="6"/>
        <v>4</v>
      </c>
      <c r="AM12" s="3">
        <f t="array" ref="AM12">SUMPRODUCT(($B$4:$AF$4=6)*(B12:AF12="off"))</f>
        <v>0</v>
      </c>
    </row>
    <row r="13" spans="1:39" ht="21.5">
      <c r="A13" s="280" t="s">
        <v>310</v>
      </c>
      <c r="B13" s="203"/>
      <c r="C13" s="203" t="s">
        <v>40</v>
      </c>
      <c r="D13" s="203"/>
      <c r="E13" s="203" t="s">
        <v>39</v>
      </c>
      <c r="F13" s="203"/>
      <c r="G13" s="204"/>
      <c r="H13" s="204"/>
      <c r="I13" s="204"/>
      <c r="J13" s="203"/>
      <c r="K13" s="203"/>
      <c r="L13" s="204"/>
      <c r="M13" s="204"/>
      <c r="N13" s="204"/>
      <c r="O13" s="203"/>
      <c r="P13" s="204"/>
      <c r="Q13" s="203"/>
      <c r="R13" s="203"/>
      <c r="S13" s="204"/>
      <c r="T13" s="203"/>
      <c r="U13" s="203"/>
      <c r="V13" s="203"/>
      <c r="W13" s="203"/>
      <c r="X13" s="203"/>
      <c r="Y13" s="203"/>
      <c r="Z13" s="204"/>
      <c r="AA13" s="203"/>
      <c r="AB13" s="203" t="s">
        <v>39</v>
      </c>
      <c r="AC13" s="203"/>
      <c r="AD13" s="203"/>
      <c r="AE13" s="203"/>
      <c r="AF13" s="203"/>
      <c r="AG13" s="3">
        <f t="shared" si="7"/>
        <v>212</v>
      </c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24</v>
      </c>
      <c r="AL13" s="3">
        <f t="shared" si="6"/>
        <v>5</v>
      </c>
      <c r="AM13" s="3">
        <f t="array" ref="AM13">SUMPRODUCT(($B$4:$AF$4=6)*(B13:AF13="off"))</f>
        <v>0</v>
      </c>
    </row>
    <row r="14" spans="1:39" s="254" customFormat="1" ht="21.5">
      <c r="A14" s="252" t="s">
        <v>311</v>
      </c>
      <c r="B14" s="90" t="s">
        <v>5</v>
      </c>
      <c r="C14" s="33" t="s">
        <v>2</v>
      </c>
      <c r="D14" s="88" t="s">
        <v>4</v>
      </c>
      <c r="E14" s="90" t="s">
        <v>3</v>
      </c>
      <c r="F14" s="33" t="s">
        <v>2</v>
      </c>
      <c r="G14" s="90" t="s">
        <v>3</v>
      </c>
      <c r="H14" s="90"/>
      <c r="I14" s="88" t="s">
        <v>3</v>
      </c>
      <c r="J14" s="90"/>
      <c r="K14" s="88" t="s">
        <v>4</v>
      </c>
      <c r="L14" s="90" t="s">
        <v>5</v>
      </c>
      <c r="M14" s="90" t="s">
        <v>5</v>
      </c>
      <c r="N14" s="90" t="s">
        <v>5</v>
      </c>
      <c r="O14" s="90" t="s">
        <v>4</v>
      </c>
      <c r="P14" s="90" t="s">
        <v>5</v>
      </c>
      <c r="Q14" s="90" t="s">
        <v>5</v>
      </c>
      <c r="R14" s="90" t="s">
        <v>5</v>
      </c>
      <c r="S14" s="90" t="s">
        <v>5</v>
      </c>
      <c r="T14" s="90" t="s">
        <v>4</v>
      </c>
      <c r="U14" s="88" t="s">
        <v>3</v>
      </c>
      <c r="V14" s="90"/>
      <c r="W14" s="90"/>
      <c r="X14" s="33" t="s">
        <v>2</v>
      </c>
      <c r="Y14" s="33" t="s">
        <v>2</v>
      </c>
      <c r="Z14" s="90" t="s">
        <v>3</v>
      </c>
      <c r="AA14" s="90"/>
      <c r="AB14" s="90" t="s">
        <v>4</v>
      </c>
      <c r="AC14" s="90" t="s">
        <v>3</v>
      </c>
      <c r="AD14" s="90" t="s">
        <v>4</v>
      </c>
      <c r="AE14" s="90" t="s">
        <v>3</v>
      </c>
      <c r="AF14" s="88" t="s">
        <v>3</v>
      </c>
      <c r="AG14" s="253">
        <f t="shared" si="7"/>
        <v>228</v>
      </c>
      <c r="AH14" s="253">
        <f t="shared" si="2"/>
        <v>8</v>
      </c>
      <c r="AI14" s="253">
        <f t="shared" si="3"/>
        <v>8</v>
      </c>
      <c r="AJ14" s="253">
        <f t="shared" si="4"/>
        <v>10</v>
      </c>
      <c r="AK14" s="253">
        <f t="shared" si="5"/>
        <v>4</v>
      </c>
      <c r="AL14" s="253">
        <f t="shared" si="6"/>
        <v>1</v>
      </c>
      <c r="AM14" s="253">
        <f t="array" ref="AM14">SUMPRODUCT(($B$4:$AF$4=6)*(B14:AF14="off"))</f>
        <v>2</v>
      </c>
    </row>
    <row r="15" spans="1:39" ht="21.5">
      <c r="A15" s="6" t="s">
        <v>312</v>
      </c>
      <c r="B15" s="33"/>
      <c r="C15" s="62" t="s">
        <v>3</v>
      </c>
      <c r="D15" s="33" t="s">
        <v>2</v>
      </c>
      <c r="E15" s="33" t="s">
        <v>2</v>
      </c>
      <c r="F15" s="88" t="s">
        <v>3</v>
      </c>
      <c r="G15" s="88" t="s">
        <v>4</v>
      </c>
      <c r="H15" s="88" t="s">
        <v>3</v>
      </c>
      <c r="I15" s="88"/>
      <c r="J15" s="225" t="s">
        <v>3</v>
      </c>
      <c r="K15" s="88" t="s">
        <v>4</v>
      </c>
      <c r="L15" s="88" t="s">
        <v>3</v>
      </c>
      <c r="M15" s="88"/>
      <c r="N15" s="88" t="s">
        <v>3</v>
      </c>
      <c r="O15" s="88"/>
      <c r="P15" s="88" t="s">
        <v>3</v>
      </c>
      <c r="Q15" s="88" t="s">
        <v>3</v>
      </c>
      <c r="R15" s="33" t="s">
        <v>2</v>
      </c>
      <c r="S15" s="33" t="s">
        <v>2</v>
      </c>
      <c r="T15" s="33" t="s">
        <v>2</v>
      </c>
      <c r="U15" s="33" t="s">
        <v>2</v>
      </c>
      <c r="V15" s="33" t="s">
        <v>6</v>
      </c>
      <c r="W15" s="83" t="s">
        <v>5</v>
      </c>
      <c r="X15" s="88" t="s">
        <v>5</v>
      </c>
      <c r="Y15" s="83" t="s">
        <v>5</v>
      </c>
      <c r="Z15" s="88" t="s">
        <v>4</v>
      </c>
      <c r="AA15" s="88" t="s">
        <v>5</v>
      </c>
      <c r="AB15" s="88" t="s">
        <v>5</v>
      </c>
      <c r="AC15" s="88" t="s">
        <v>5</v>
      </c>
      <c r="AD15" s="33" t="s">
        <v>4</v>
      </c>
      <c r="AE15" s="33" t="s">
        <v>2</v>
      </c>
      <c r="AF15" s="33" t="s">
        <v>2</v>
      </c>
      <c r="AG15" s="3">
        <f t="shared" si="7"/>
        <v>212</v>
      </c>
      <c r="AH15" s="3">
        <f t="shared" si="2"/>
        <v>8</v>
      </c>
      <c r="AI15" s="3">
        <f t="shared" si="3"/>
        <v>7</v>
      </c>
      <c r="AJ15" s="3">
        <f t="shared" si="4"/>
        <v>12</v>
      </c>
      <c r="AK15" s="3">
        <f t="shared" si="5"/>
        <v>4</v>
      </c>
      <c r="AL15" s="3">
        <f t="shared" si="6"/>
        <v>0</v>
      </c>
      <c r="AM15" s="3">
        <f t="array" ref="AM15">SUMPRODUCT(($B$4:$AF$4=6)*(B15:AF15="off"))</f>
        <v>1</v>
      </c>
    </row>
    <row r="16" spans="1:39" ht="21.5">
      <c r="A16" s="6"/>
      <c r="B16" s="172"/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3"/>
      <c r="AH16" s="3"/>
      <c r="AI16" s="3"/>
      <c r="AJ16" s="3"/>
      <c r="AK16" s="3"/>
      <c r="AL16" s="3"/>
      <c r="AM16" s="174"/>
    </row>
    <row r="17" spans="1:39" ht="19.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9" ht="21.5">
      <c r="A18" s="6" t="s">
        <v>17</v>
      </c>
      <c r="B18" s="264" t="s">
        <v>362</v>
      </c>
      <c r="C18" s="265" t="s">
        <v>363</v>
      </c>
      <c r="D18" s="266" t="s">
        <v>363</v>
      </c>
      <c r="E18" s="264" t="s">
        <v>363</v>
      </c>
      <c r="F18" s="267" t="s">
        <v>364</v>
      </c>
      <c r="G18" s="264" t="s">
        <v>363</v>
      </c>
      <c r="H18" s="264" t="s">
        <v>362</v>
      </c>
      <c r="I18" s="264" t="s">
        <v>365</v>
      </c>
      <c r="J18" s="265" t="s">
        <v>365</v>
      </c>
      <c r="K18" s="266" t="s">
        <v>365</v>
      </c>
      <c r="L18" s="264" t="s">
        <v>365</v>
      </c>
      <c r="M18" s="264" t="s">
        <v>362</v>
      </c>
      <c r="N18" s="264" t="s">
        <v>365</v>
      </c>
      <c r="O18" s="33" t="s">
        <v>365</v>
      </c>
      <c r="P18" s="33" t="s">
        <v>362</v>
      </c>
      <c r="Q18" s="268" t="s">
        <v>362</v>
      </c>
      <c r="R18" s="269" t="s">
        <v>2</v>
      </c>
      <c r="S18" s="33" t="s">
        <v>2</v>
      </c>
      <c r="T18" s="33" t="s">
        <v>2</v>
      </c>
      <c r="U18" s="33" t="s">
        <v>2</v>
      </c>
      <c r="V18" s="33" t="s">
        <v>2</v>
      </c>
      <c r="W18" s="264" t="s">
        <v>363</v>
      </c>
      <c r="X18" s="270" t="s">
        <v>366</v>
      </c>
      <c r="Y18" s="266" t="s">
        <v>363</v>
      </c>
      <c r="Z18" s="264" t="s">
        <v>363</v>
      </c>
      <c r="AA18" s="264" t="s">
        <v>362</v>
      </c>
      <c r="AB18" s="264" t="s">
        <v>363</v>
      </c>
      <c r="AC18" s="264" t="s">
        <v>365</v>
      </c>
      <c r="AD18" s="264" t="s">
        <v>365</v>
      </c>
      <c r="AE18" s="265" t="s">
        <v>362</v>
      </c>
      <c r="AF18" s="266" t="s">
        <v>362</v>
      </c>
      <c r="AG18" s="3">
        <f>(AH18*12)+(AI18*12)+(AK18*8)+(AL18*4)</f>
        <v>196</v>
      </c>
      <c r="AH18" s="3">
        <f>COUNTIF(B18:AF18,"D")</f>
        <v>8</v>
      </c>
      <c r="AI18" s="3">
        <f>COUNTIF(B18:AF18,"N")</f>
        <v>8</v>
      </c>
      <c r="AJ18" s="3">
        <f>COUNTIF(B18:AF18,"OFF")+COUNTIF(B18:AF18,"上課")</f>
        <v>13</v>
      </c>
      <c r="AK18" s="3">
        <f>COUNTIF(B18:AF18,"")-AL18+COUNTIF(B18:AF18,"h3")</f>
        <v>0</v>
      </c>
      <c r="AL18" s="3">
        <f>COUNTIFS($B$4:$AF$4,"6",B18:AF18,"")+COUNTIF(B18:AF18,"h3")</f>
        <v>1</v>
      </c>
      <c r="AM18" s="3">
        <f t="array" ref="AM18">SUMPRODUCT(($B$4:$AF$4=6)*(B18:AF18="off"))</f>
        <v>2</v>
      </c>
    </row>
    <row r="19" spans="1:39" ht="21.5">
      <c r="A19" s="6" t="s">
        <v>12</v>
      </c>
      <c r="B19" s="264" t="s">
        <v>362</v>
      </c>
      <c r="C19" s="270" t="s">
        <v>367</v>
      </c>
      <c r="D19" s="271" t="s">
        <v>367</v>
      </c>
      <c r="E19" s="264" t="s">
        <v>365</v>
      </c>
      <c r="F19" s="264" t="s">
        <v>365</v>
      </c>
      <c r="G19" s="264" t="s">
        <v>362</v>
      </c>
      <c r="H19" s="264" t="s">
        <v>363</v>
      </c>
      <c r="I19" s="264" t="s">
        <v>363</v>
      </c>
      <c r="J19" s="265" t="s">
        <v>362</v>
      </c>
      <c r="K19" s="266" t="s">
        <v>362</v>
      </c>
      <c r="L19" s="264" t="s">
        <v>363</v>
      </c>
      <c r="M19" s="264" t="s">
        <v>363</v>
      </c>
      <c r="N19" s="264" t="s">
        <v>362</v>
      </c>
      <c r="O19" s="264" t="s">
        <v>362</v>
      </c>
      <c r="P19" s="264" t="s">
        <v>363</v>
      </c>
      <c r="Q19" s="272" t="s">
        <v>362</v>
      </c>
      <c r="R19" s="266" t="s">
        <v>363</v>
      </c>
      <c r="S19" s="264" t="s">
        <v>363</v>
      </c>
      <c r="T19" s="267" t="s">
        <v>364</v>
      </c>
      <c r="U19" s="264" t="s">
        <v>362</v>
      </c>
      <c r="V19" s="264" t="s">
        <v>365</v>
      </c>
      <c r="W19" s="264" t="s">
        <v>365</v>
      </c>
      <c r="X19" s="265" t="s">
        <v>362</v>
      </c>
      <c r="Y19" s="266" t="s">
        <v>362</v>
      </c>
      <c r="Z19" s="264" t="s">
        <v>362</v>
      </c>
      <c r="AA19" s="264" t="s">
        <v>362</v>
      </c>
      <c r="AB19" s="264" t="s">
        <v>365</v>
      </c>
      <c r="AC19" s="264" t="s">
        <v>362</v>
      </c>
      <c r="AD19" s="267" t="s">
        <v>364</v>
      </c>
      <c r="AE19" s="265" t="s">
        <v>362</v>
      </c>
      <c r="AF19" s="266" t="s">
        <v>363</v>
      </c>
      <c r="AG19" s="3">
        <f>(AH19*12)+(AI19*12)+(AK19*8)+(AL19*4)</f>
        <v>180</v>
      </c>
      <c r="AH19" s="3">
        <f>COUNTIF(B19:AF19,"D")</f>
        <v>8</v>
      </c>
      <c r="AI19" s="3">
        <v>7</v>
      </c>
      <c r="AJ19" s="3">
        <f>COUNTIF(B19:AF19,"OFF")+COUNTIF(B19:AF19,"上課")</f>
        <v>14</v>
      </c>
      <c r="AK19" s="3">
        <f>COUNTIF(B19:AF19,"")-AL19+COUNTIF(B19:AF19,"h3")</f>
        <v>0</v>
      </c>
      <c r="AL19" s="3">
        <f>COUNTIFS($B$4:$AF$4,"6",B19:AF19,"")+COUNTIF(B19:AF19,"h3")</f>
        <v>0</v>
      </c>
      <c r="AM19" s="3">
        <f t="array" ref="AM19">SUMPRODUCT(($B$4:$AF$4=6)*(B19:AF19="off"))</f>
        <v>4</v>
      </c>
    </row>
    <row r="20" spans="1:39" ht="21.5">
      <c r="A20" s="6" t="s">
        <v>51</v>
      </c>
      <c r="B20" s="264" t="s">
        <v>365</v>
      </c>
      <c r="C20" s="265" t="s">
        <v>365</v>
      </c>
      <c r="D20" s="266" t="s">
        <v>365</v>
      </c>
      <c r="E20" s="273" t="s">
        <v>362</v>
      </c>
      <c r="F20" s="273" t="s">
        <v>362</v>
      </c>
      <c r="G20" s="279" t="s">
        <v>364</v>
      </c>
      <c r="H20" s="273" t="s">
        <v>362</v>
      </c>
      <c r="I20" s="264" t="s">
        <v>362</v>
      </c>
      <c r="J20" s="265" t="s">
        <v>363</v>
      </c>
      <c r="K20" s="266" t="s">
        <v>363</v>
      </c>
      <c r="L20" s="273" t="s">
        <v>362</v>
      </c>
      <c r="M20" s="273" t="s">
        <v>362</v>
      </c>
      <c r="N20" s="264" t="s">
        <v>363</v>
      </c>
      <c r="O20" s="264" t="s">
        <v>363</v>
      </c>
      <c r="P20" s="267" t="s">
        <v>364</v>
      </c>
      <c r="Q20" s="272" t="s">
        <v>362</v>
      </c>
      <c r="R20" s="266" t="s">
        <v>362</v>
      </c>
      <c r="S20" s="264" t="s">
        <v>365</v>
      </c>
      <c r="T20" s="264" t="s">
        <v>365</v>
      </c>
      <c r="U20" s="264" t="s">
        <v>365</v>
      </c>
      <c r="V20" s="264" t="s">
        <v>362</v>
      </c>
      <c r="W20" s="264" t="s">
        <v>362</v>
      </c>
      <c r="X20" s="265" t="s">
        <v>363</v>
      </c>
      <c r="Y20" s="266" t="s">
        <v>362</v>
      </c>
      <c r="Z20" s="264" t="s">
        <v>365</v>
      </c>
      <c r="AA20" s="264" t="s">
        <v>365</v>
      </c>
      <c r="AB20" s="264" t="s">
        <v>362</v>
      </c>
      <c r="AC20" s="264" t="s">
        <v>362</v>
      </c>
      <c r="AD20" s="264" t="s">
        <v>363</v>
      </c>
      <c r="AE20" s="265" t="s">
        <v>363</v>
      </c>
      <c r="AF20" s="278" t="s">
        <v>367</v>
      </c>
      <c r="AG20" s="3">
        <f>(AH20*12)+(AI20*12)+(AK20*8)+(AL20*4)</f>
        <v>180</v>
      </c>
      <c r="AH20" s="3">
        <f>COUNTIF(B20:AF20,"D")</f>
        <v>7</v>
      </c>
      <c r="AI20" s="3">
        <f>COUNTIF(B20:AF20,"N")</f>
        <v>8</v>
      </c>
      <c r="AJ20" s="3">
        <f>COUNTIF(B20:AF20,"OFF")+COUNTIF(B20:AF20,"上課")</f>
        <v>13</v>
      </c>
      <c r="AK20" s="3">
        <f>COUNTIF(B20:AF20,"")-AL20+COUNTIF(B20:AF20,"h3")</f>
        <v>0</v>
      </c>
      <c r="AL20" s="3">
        <f>COUNTIFS($B$4:$AF$4,"6",B20:AF20,"")+COUNTIF(B20:AF20,"h3")</f>
        <v>0</v>
      </c>
      <c r="AM20" s="3">
        <f t="array" ref="AM20">SUMPRODUCT(($B$4:$AF$4=6)*(B20:AF20="off"))</f>
        <v>1</v>
      </c>
    </row>
    <row r="21" spans="1:39" ht="21.5">
      <c r="A21" s="6" t="s">
        <v>310</v>
      </c>
      <c r="B21" s="264" t="s">
        <v>363</v>
      </c>
      <c r="C21" s="270" t="s">
        <v>366</v>
      </c>
      <c r="D21" s="274" t="s">
        <v>362</v>
      </c>
      <c r="E21" s="267" t="s">
        <v>364</v>
      </c>
      <c r="F21" s="264" t="s">
        <v>363</v>
      </c>
      <c r="G21" s="264" t="s">
        <v>365</v>
      </c>
      <c r="H21" s="264" t="s">
        <v>365</v>
      </c>
      <c r="I21" s="264" t="s">
        <v>362</v>
      </c>
      <c r="J21" s="265" t="s">
        <v>362</v>
      </c>
      <c r="K21" s="266" t="s">
        <v>362</v>
      </c>
      <c r="L21" s="273" t="s">
        <v>362</v>
      </c>
      <c r="M21" s="264" t="s">
        <v>365</v>
      </c>
      <c r="N21" s="264" t="s">
        <v>362</v>
      </c>
      <c r="O21" s="264" t="s">
        <v>362</v>
      </c>
      <c r="P21" s="264" t="s">
        <v>365</v>
      </c>
      <c r="Q21" s="265" t="s">
        <v>365</v>
      </c>
      <c r="R21" s="266" t="s">
        <v>365</v>
      </c>
      <c r="S21" s="273" t="s">
        <v>362</v>
      </c>
      <c r="T21" s="264" t="s">
        <v>363</v>
      </c>
      <c r="U21" s="264" t="s">
        <v>363</v>
      </c>
      <c r="V21" s="264" t="s">
        <v>363</v>
      </c>
      <c r="W21" s="264" t="s">
        <v>362</v>
      </c>
      <c r="X21" s="265" t="s">
        <v>362</v>
      </c>
      <c r="Y21" s="266" t="s">
        <v>362</v>
      </c>
      <c r="Z21" s="273" t="s">
        <v>362</v>
      </c>
      <c r="AA21" s="264" t="s">
        <v>363</v>
      </c>
      <c r="AB21" s="267" t="s">
        <v>364</v>
      </c>
      <c r="AC21" s="264" t="s">
        <v>363</v>
      </c>
      <c r="AD21" s="264" t="s">
        <v>362</v>
      </c>
      <c r="AE21" s="265" t="s">
        <v>365</v>
      </c>
      <c r="AF21" s="266" t="s">
        <v>365</v>
      </c>
      <c r="AG21" s="3">
        <f>(AH21*12)+(AI21*12)+(AK21*8)+(AL21*4)</f>
        <v>184</v>
      </c>
      <c r="AH21" s="3">
        <f>COUNTIF(B21:AF21,"D")</f>
        <v>7</v>
      </c>
      <c r="AI21" s="3">
        <f>COUNTIF(B21:AF21,"N")</f>
        <v>8</v>
      </c>
      <c r="AJ21" s="3">
        <f>COUNTIF(B21:AF21,"OFF")+COUNTIF(B21:AF21,"上課")</f>
        <v>13</v>
      </c>
      <c r="AK21" s="3">
        <f>COUNTIF(B21:AF21,"")-AL21+COUNTIF(B21:AF21,"h3")</f>
        <v>0</v>
      </c>
      <c r="AL21" s="3">
        <f>COUNTIFS($B$4:$AF$4,"6",B21:AF21,"")+COUNTIF(B21:AF21,"h3")</f>
        <v>1</v>
      </c>
      <c r="AM21" s="3">
        <f t="array" ref="AM21">SUMPRODUCT(($B$4:$AF$4=6)*(B21:AF21="off"))</f>
        <v>2</v>
      </c>
    </row>
    <row r="22" spans="1:39" ht="21.5">
      <c r="A22" s="6"/>
      <c r="B22" s="235"/>
      <c r="C22" s="235"/>
      <c r="D22" s="235"/>
      <c r="E22" s="235"/>
      <c r="F22" s="275"/>
      <c r="G22" s="235"/>
      <c r="H22" s="235"/>
      <c r="I22" s="276"/>
      <c r="J22" s="235"/>
      <c r="K22" s="235"/>
      <c r="L22" s="235"/>
      <c r="M22" s="235"/>
      <c r="N22" s="235"/>
      <c r="O22" s="235"/>
      <c r="P22" s="235"/>
      <c r="Q22" s="277" t="s">
        <v>368</v>
      </c>
      <c r="R22" s="264"/>
      <c r="S22" s="235"/>
      <c r="T22" s="235"/>
      <c r="U22" s="235"/>
      <c r="V22" s="235"/>
      <c r="W22" s="235"/>
      <c r="X22" s="277" t="s">
        <v>369</v>
      </c>
      <c r="Y22" s="277" t="s">
        <v>369</v>
      </c>
      <c r="Z22" s="235"/>
      <c r="AA22" s="235"/>
      <c r="AB22" s="235"/>
      <c r="AC22" s="235"/>
      <c r="AD22" s="235"/>
      <c r="AE22" s="235"/>
      <c r="AF22" s="235"/>
      <c r="AG22" s="3">
        <f>(AH22*12)+(AI22*12)+(AK22*8)+(AL22*4)</f>
        <v>212</v>
      </c>
      <c r="AH22" s="3">
        <f>COUNTIF(B22:AF22,"D")</f>
        <v>0</v>
      </c>
      <c r="AI22" s="3">
        <f>COUNTIF(B22:AF22,"N")</f>
        <v>0</v>
      </c>
      <c r="AJ22" s="3">
        <f>COUNTIF(B22:AF22,"OFF")+COUNTIF(B22:AF22,"上課")</f>
        <v>0</v>
      </c>
      <c r="AK22" s="3">
        <f>COUNTIF(B22:AF22,"")-AL22+COUNTIF(B22:AF22,"h3")</f>
        <v>25</v>
      </c>
      <c r="AL22" s="3">
        <f>COUNTIFS($B$4:$AF$4,"6",B22:AF22,"")+COUNTIF(B22:AF22,"h3")</f>
        <v>3</v>
      </c>
      <c r="AM22" s="3">
        <f t="array" ref="AM22">SUMPRODUCT(($B$4:$AF$4=6)*(B22:AF22="off"))</f>
        <v>0</v>
      </c>
    </row>
    <row r="31" spans="1:39" ht="25">
      <c r="Y31" s="14"/>
      <c r="Z31" s="14"/>
      <c r="AA31" s="14"/>
      <c r="AB31" s="14"/>
      <c r="AE31" s="133"/>
      <c r="AG31" s="255"/>
      <c r="AI31" s="38"/>
    </row>
    <row r="32" spans="1:39">
      <c r="AB32" s="14"/>
    </row>
    <row r="33" spans="1:36" ht="32">
      <c r="A33" s="4"/>
      <c r="B33" s="36"/>
      <c r="C33" s="425" t="s">
        <v>9</v>
      </c>
      <c r="D33" s="425"/>
      <c r="E33" s="91" t="s">
        <v>3</v>
      </c>
      <c r="F33" s="91" t="s">
        <v>5</v>
      </c>
      <c r="G33" t="s">
        <v>4</v>
      </c>
      <c r="H33" s="13" t="s">
        <v>358</v>
      </c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4"/>
      <c r="W33" s="14"/>
      <c r="X33" s="14"/>
      <c r="Y33" s="14"/>
      <c r="Z33" s="14"/>
      <c r="AC33" s="133"/>
      <c r="AE33" s="255"/>
      <c r="AG33" s="38"/>
      <c r="AH33" s="256"/>
      <c r="AI33" s="257"/>
      <c r="AJ33" s="258"/>
    </row>
    <row r="34" spans="1:36" ht="32">
      <c r="A34" s="4"/>
      <c r="B34" s="36">
        <v>1</v>
      </c>
      <c r="C34" s="425" t="s">
        <v>16</v>
      </c>
      <c r="D34" s="425"/>
      <c r="E34" s="42">
        <v>8</v>
      </c>
      <c r="F34" s="13">
        <v>8</v>
      </c>
      <c r="G34" s="13">
        <v>9</v>
      </c>
      <c r="H34" s="13">
        <v>2</v>
      </c>
      <c r="I34" s="4"/>
      <c r="J34" s="13"/>
      <c r="K34" s="13"/>
      <c r="L34" s="13"/>
      <c r="M34" s="13"/>
      <c r="N34" s="13"/>
      <c r="O34" s="7"/>
      <c r="Q34" s="7"/>
      <c r="R34" s="13"/>
      <c r="S34" s="13"/>
      <c r="U34" s="13"/>
      <c r="V34" s="8"/>
      <c r="Z34" s="14"/>
      <c r="AH34" s="55"/>
      <c r="AI34" s="258"/>
      <c r="AJ34" s="258"/>
    </row>
    <row r="35" spans="1:36" ht="32">
      <c r="A35" s="4"/>
      <c r="B35" s="262">
        <v>2</v>
      </c>
      <c r="C35" s="446" t="s">
        <v>17</v>
      </c>
      <c r="D35" s="446"/>
      <c r="E35" s="42"/>
      <c r="F35" s="13"/>
      <c r="H35" s="13"/>
      <c r="J35" s="13"/>
      <c r="K35" s="13"/>
      <c r="L35" s="13"/>
      <c r="M35" s="13"/>
      <c r="N35" s="13"/>
      <c r="O35" s="7"/>
      <c r="Q35" s="183"/>
      <c r="R35" s="13"/>
      <c r="S35" s="13" t="s">
        <v>349</v>
      </c>
      <c r="T35" t="s">
        <v>356</v>
      </c>
      <c r="V35" s="8"/>
      <c r="W35" s="14"/>
      <c r="X35" s="14"/>
      <c r="Y35" s="14"/>
      <c r="Z35" s="14"/>
      <c r="AC35" s="133"/>
      <c r="AE35" s="255"/>
      <c r="AG35" s="38"/>
      <c r="AH35" s="55"/>
      <c r="AI35" s="258"/>
      <c r="AJ35" s="258"/>
    </row>
    <row r="36" spans="1:36" ht="32">
      <c r="A36" s="4"/>
      <c r="B36" s="36">
        <v>3</v>
      </c>
      <c r="C36" s="425" t="s">
        <v>14</v>
      </c>
      <c r="D36" s="425"/>
      <c r="E36">
        <v>8</v>
      </c>
      <c r="F36">
        <v>8</v>
      </c>
      <c r="G36">
        <v>9</v>
      </c>
      <c r="H36">
        <v>1</v>
      </c>
      <c r="J36" s="13"/>
      <c r="K36" s="13"/>
      <c r="L36" s="13"/>
      <c r="M36" s="13"/>
      <c r="N36" s="13"/>
      <c r="O36" s="13"/>
      <c r="Q36" s="13"/>
      <c r="S36" t="s">
        <v>357</v>
      </c>
      <c r="V36" s="8"/>
      <c r="Z36" s="14"/>
      <c r="AH36" s="55"/>
      <c r="AI36" s="258"/>
      <c r="AJ36" s="258"/>
    </row>
    <row r="37" spans="1:36" ht="32">
      <c r="A37" s="4"/>
      <c r="B37" s="262">
        <v>4</v>
      </c>
      <c r="C37" s="446" t="s">
        <v>13</v>
      </c>
      <c r="D37" s="446"/>
      <c r="E37" s="42"/>
      <c r="F37" s="5"/>
      <c r="G37" s="5"/>
      <c r="H37" s="5"/>
      <c r="I37" s="5"/>
      <c r="J37" s="13"/>
      <c r="K37" s="13"/>
      <c r="L37" s="13"/>
      <c r="M37" s="13"/>
      <c r="N37" s="13"/>
      <c r="O37" s="13"/>
      <c r="P37" s="13"/>
      <c r="Q37" s="13"/>
      <c r="R37" s="13"/>
      <c r="S37" s="13" t="s">
        <v>359</v>
      </c>
      <c r="T37" s="13"/>
      <c r="U37" s="7"/>
      <c r="V37" s="8"/>
      <c r="W37" s="14"/>
      <c r="X37" s="14"/>
      <c r="Y37" s="14"/>
      <c r="Z37" s="14"/>
      <c r="AC37" s="133"/>
      <c r="AE37" s="255"/>
      <c r="AG37" s="38"/>
      <c r="AH37" s="55"/>
      <c r="AI37" s="258"/>
      <c r="AJ37" s="258"/>
    </row>
    <row r="38" spans="1:36" ht="33.5">
      <c r="A38" s="4"/>
      <c r="B38" s="36"/>
      <c r="C38" s="425" t="s">
        <v>303</v>
      </c>
      <c r="D38" s="425"/>
      <c r="E38" s="42"/>
      <c r="F38" s="4"/>
      <c r="G38" s="4"/>
      <c r="H38" s="4"/>
      <c r="I38" s="4"/>
      <c r="L38" s="13"/>
      <c r="M38" s="13"/>
      <c r="P38" s="102"/>
      <c r="Q38" s="13"/>
      <c r="R38" s="13"/>
      <c r="S38" s="13"/>
      <c r="T38" s="13"/>
      <c r="U38" s="13"/>
      <c r="V38" s="8"/>
      <c r="Z38" s="14"/>
      <c r="AH38" s="55"/>
      <c r="AI38" s="258"/>
      <c r="AJ38" s="258"/>
    </row>
    <row r="39" spans="1:36" ht="32">
      <c r="A39" s="4"/>
      <c r="B39" s="36"/>
      <c r="C39" s="425" t="s">
        <v>269</v>
      </c>
      <c r="D39" s="425"/>
      <c r="E39" s="42"/>
      <c r="L39" s="13"/>
      <c r="N39" s="13"/>
      <c r="R39" s="13"/>
      <c r="S39" s="13"/>
      <c r="T39" s="13"/>
      <c r="U39" s="13"/>
      <c r="V39" s="8"/>
      <c r="W39" s="14"/>
      <c r="X39" s="14"/>
      <c r="Y39" s="14"/>
      <c r="Z39" s="14"/>
      <c r="AC39" s="133"/>
      <c r="AE39" s="255"/>
      <c r="AG39" s="38"/>
      <c r="AH39" s="55"/>
      <c r="AI39" s="258"/>
      <c r="AJ39" s="258"/>
    </row>
    <row r="40" spans="1:36" ht="32">
      <c r="B40" s="262">
        <v>5</v>
      </c>
      <c r="C40" s="446" t="s">
        <v>27</v>
      </c>
      <c r="D40" s="446"/>
      <c r="E40" s="42"/>
      <c r="F40" s="13"/>
      <c r="G40" s="13"/>
      <c r="H40" s="13"/>
      <c r="I40" s="13"/>
      <c r="J40" s="13"/>
      <c r="K40" s="13"/>
      <c r="M40" s="13"/>
      <c r="N40" s="4"/>
      <c r="O40" s="57"/>
      <c r="P40" s="17"/>
      <c r="Q40" s="21"/>
      <c r="R40" s="385"/>
      <c r="S40" s="385"/>
      <c r="T40" s="385"/>
      <c r="V40" s="8"/>
      <c r="Z40" s="14"/>
      <c r="AH40" s="55"/>
      <c r="AI40" s="258"/>
      <c r="AJ40" s="258"/>
    </row>
    <row r="41" spans="1:36" ht="31">
      <c r="B41" s="262">
        <v>6</v>
      </c>
      <c r="C41" s="444" t="s">
        <v>304</v>
      </c>
      <c r="D41" s="444"/>
      <c r="V41" s="8"/>
      <c r="W41" s="14"/>
      <c r="X41" s="14"/>
      <c r="Y41" s="14"/>
      <c r="Z41" s="14"/>
      <c r="AC41" s="133"/>
      <c r="AE41" s="255"/>
      <c r="AG41" s="38"/>
      <c r="AH41" s="55"/>
    </row>
    <row r="42" spans="1:36" ht="32">
      <c r="B42" s="36">
        <v>7</v>
      </c>
      <c r="C42" s="439" t="s">
        <v>305</v>
      </c>
      <c r="D42" s="439"/>
      <c r="E42">
        <v>8</v>
      </c>
      <c r="F42">
        <v>8</v>
      </c>
      <c r="G42">
        <v>9</v>
      </c>
      <c r="H42">
        <v>1</v>
      </c>
      <c r="K42" s="13"/>
      <c r="L42" s="445"/>
      <c r="M42" s="445"/>
      <c r="N42" s="445"/>
      <c r="O42" s="445"/>
      <c r="P42" s="445"/>
      <c r="V42" s="8"/>
      <c r="Z42" s="14"/>
      <c r="AH42" s="55"/>
      <c r="AI42" s="259"/>
    </row>
    <row r="43" spans="1:36" ht="27.75" customHeight="1">
      <c r="B43" s="36">
        <v>8</v>
      </c>
      <c r="C43" s="439" t="s">
        <v>306</v>
      </c>
      <c r="D43" s="439"/>
      <c r="E43">
        <v>7</v>
      </c>
      <c r="F43">
        <v>7</v>
      </c>
      <c r="G43">
        <v>9</v>
      </c>
      <c r="H43">
        <v>1</v>
      </c>
      <c r="L43" s="260"/>
      <c r="M43" s="260"/>
      <c r="N43" s="260"/>
      <c r="O43" s="260"/>
      <c r="P43" s="260"/>
      <c r="V43" s="8"/>
      <c r="W43" s="14"/>
      <c r="X43" s="14"/>
      <c r="Y43" s="14"/>
      <c r="Z43" s="14"/>
      <c r="AC43" s="133"/>
      <c r="AE43" s="255"/>
      <c r="AG43" s="38"/>
      <c r="AH43" s="55"/>
      <c r="AI43" s="259"/>
    </row>
    <row r="44" spans="1:36" ht="31">
      <c r="N44" s="260"/>
      <c r="O44" s="260"/>
      <c r="P44" s="260"/>
      <c r="Q44" s="260"/>
      <c r="R44" s="260"/>
      <c r="X44" s="8"/>
      <c r="AB44" s="14"/>
    </row>
  </sheetData>
  <mergeCells count="14">
    <mergeCell ref="AG4:AL4"/>
    <mergeCell ref="C33:D33"/>
    <mergeCell ref="C34:D34"/>
    <mergeCell ref="C38:D38"/>
    <mergeCell ref="C39:D39"/>
    <mergeCell ref="C35:D35"/>
    <mergeCell ref="C36:D36"/>
    <mergeCell ref="C37:D37"/>
    <mergeCell ref="C43:D43"/>
    <mergeCell ref="R40:T40"/>
    <mergeCell ref="C41:D41"/>
    <mergeCell ref="C42:D42"/>
    <mergeCell ref="L42:P42"/>
    <mergeCell ref="C40:D40"/>
  </mergeCells>
  <phoneticPr fontId="11" type="noConversion"/>
  <dataValidations count="16">
    <dataValidation type="list" allowBlank="1" showInputMessage="1" showErrorMessage="1" sqref="C33:D40" xr:uid="{5E48DB5A-E380-48C2-A475-E27DF3583A42}">
      <formula1>$A$5:$A$12</formula1>
    </dataValidation>
    <dataValidation type="list" allowBlank="1" showInputMessage="1" showErrorMessage="1" sqref="A10" xr:uid="{0BF5F18C-FE1D-4709-8805-D559523C3463}">
      <formula1>$AI$38:$AJ$38</formula1>
    </dataValidation>
    <dataValidation type="list" allowBlank="1" showInputMessage="1" showErrorMessage="1" sqref="A9" xr:uid="{B9616427-7AF9-4D6A-8685-E07A3E3DB361}">
      <formula1>$AI$37:$AJ$37</formula1>
    </dataValidation>
    <dataValidation type="list" allowBlank="1" showInputMessage="1" showErrorMessage="1" sqref="A6" xr:uid="{F9961BEC-8C7E-4D9B-BD08-EE4A0C8F82D3}">
      <formula1>$AG$34:$AH$34</formula1>
    </dataValidation>
    <dataValidation type="list" allowBlank="1" showInputMessage="1" showErrorMessage="1" sqref="A8" xr:uid="{C01C1942-C659-4D84-80AF-F745B37FEDD1}">
      <formula1>$AI$36:$AJ$36</formula1>
    </dataValidation>
    <dataValidation type="list" allowBlank="1" showInputMessage="1" showErrorMessage="1" sqref="A7" xr:uid="{4C6A4C2F-38D4-4FCB-A158-6503D2F71536}">
      <formula1>$AG$35:$AH$35</formula1>
    </dataValidation>
    <dataValidation type="list" allowBlank="1" showInputMessage="1" showErrorMessage="1" sqref="A5" xr:uid="{67C9042B-694E-4F2F-BBA7-89F17A4E52BF}">
      <formula1>$AI$33:$AJ$33</formula1>
    </dataValidation>
    <dataValidation type="list" allowBlank="1" showInputMessage="1" showErrorMessage="1" sqref="A11" xr:uid="{394770A7-C159-4B16-9F59-FC693ED57379}">
      <formula1>$AI$39:$AJ$39</formula1>
    </dataValidation>
    <dataValidation type="list" allowBlank="1" showInputMessage="1" showErrorMessage="1" sqref="A12" xr:uid="{F90E33A5-5E73-4FED-9E64-4D4A888DDE66}">
      <formula1>$AG$40:$AH$40</formula1>
    </dataValidation>
    <dataValidation type="list" allowBlank="1" showInputMessage="1" sqref="A16" xr:uid="{0467BA4E-6B6C-4574-B3DA-0B04167BAAF7}">
      <formula1>$AG$40:$AH$40</formula1>
    </dataValidation>
    <dataValidation type="list" allowBlank="1" showInputMessage="1" sqref="B13:B15 Y6:Y8 AC13:AC15 Z13:AA15 R6 U13 U15 S13:T15 Q15:R15 R8:R14 X10:Y13 F13 G13:I15 E13:E15 C6:C13 K15:M15 J7:K7 D6:D15 C15 X15:Y15 AE5:AF15 X7:X8 V13:W15 L13:M13 F15 J9:K14 N13:P15 Q12:Q14 K8 Q9 AD14:AD15 AB15" xr:uid="{0BA23DD7-AFE0-4097-AA3E-B10FD90EDCEB}">
      <formula1>$AH$17:$AH$41</formula1>
    </dataValidation>
    <dataValidation type="list" allowBlank="1" showInputMessage="1" sqref="AB5:AC6 S8:V12 Q6:Q8 S6 AB7:AB9 U14 E6:I12 F14 C14 X14:Y14 AD5:AD13 V6 AC7:AC12 B6:B12 Q10:Q11 X6 B5:AA5 Z6:AA9 Z10:AB12 L14:M14 L6:P12 W6:W12 R7:V7 AB13:AB14" xr:uid="{452AB4C8-E956-4A98-AB57-6838D1ECB9A8}">
      <formula1>$AH$14:$AH$38</formula1>
    </dataValidation>
    <dataValidation type="list" allowBlank="1" showInputMessage="1" sqref="O18:V18" xr:uid="{CD85256D-FEB2-4163-96FD-177D1637660F}">
      <formula1>$AH$14:$AH$25</formula1>
    </dataValidation>
    <dataValidation type="list" allowBlank="1" showInputMessage="1" showErrorMessage="1" sqref="A22 A19" xr:uid="{86BA8A25-42FD-40CC-8E44-800D85A3EE88}">
      <formula1>$AK$23:$AL$23</formula1>
    </dataValidation>
    <dataValidation type="list" allowBlank="1" showInputMessage="1" showErrorMessage="1" sqref="A18" xr:uid="{3F9B2FC3-7515-4CC7-BEE2-B7CED75FEB1F}">
      <formula1>$AI$21:$AJ$21</formula1>
    </dataValidation>
    <dataValidation type="list" allowBlank="1" showInputMessage="1" showErrorMessage="1" sqref="A20" xr:uid="{5551EF0C-0046-45CA-8065-95FE89B7D2B5}">
      <formula1>$AI$26:$AJ$26</formula1>
    </dataValidation>
  </dataValidations>
  <pageMargins left="0.7" right="0.7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321D8-0973-4CD9-88C4-8F8557642055}">
  <sheetPr codeName="工作表16">
    <pageSetUpPr fitToPage="1"/>
  </sheetPr>
  <dimension ref="A1:AM31"/>
  <sheetViews>
    <sheetView zoomScale="40" zoomScaleNormal="40" workbookViewId="0">
      <selection activeCell="Z8" sqref="Z8"/>
    </sheetView>
  </sheetViews>
  <sheetFormatPr defaultRowHeight="17"/>
  <cols>
    <col min="1" max="1" width="12.5" bestFit="1" customWidth="1"/>
    <col min="2" max="38" width="7.58203125" customWidth="1"/>
  </cols>
  <sheetData>
    <row r="1" spans="1:39" ht="33.5">
      <c r="A1" s="380" t="s">
        <v>0</v>
      </c>
      <c r="B1" s="380"/>
      <c r="C1" s="2"/>
      <c r="D1" s="22"/>
      <c r="E1" s="22"/>
      <c r="F1" s="22"/>
      <c r="G1" s="22"/>
      <c r="H1" s="22"/>
      <c r="I1" s="22"/>
      <c r="K1" s="23"/>
      <c r="L1" s="24"/>
      <c r="M1" s="1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</row>
    <row r="2" spans="1:39" ht="33.5">
      <c r="A2" s="380"/>
      <c r="B2" s="380"/>
      <c r="C2" s="1"/>
      <c r="D2" s="1"/>
      <c r="F2" s="1"/>
      <c r="G2" s="27">
        <v>2025</v>
      </c>
      <c r="H2" s="27" t="str">
        <f>"("&amp;YEAR(B3)-1911&amp;" 年 "&amp;")"</f>
        <v>(114 年 )</v>
      </c>
      <c r="I2" s="22"/>
      <c r="J2" s="23">
        <v>9</v>
      </c>
      <c r="K2" s="23" t="s">
        <v>33</v>
      </c>
      <c r="L2" s="29"/>
      <c r="M2" s="99"/>
      <c r="N2" s="25"/>
      <c r="O2" s="25"/>
      <c r="P2" s="100"/>
      <c r="Q2" s="25"/>
      <c r="R2" s="25"/>
      <c r="S2" s="15"/>
      <c r="T2" s="16"/>
      <c r="U2" s="15"/>
      <c r="V2" s="1"/>
      <c r="W2" s="11"/>
      <c r="X2" s="11"/>
      <c r="Y2" s="11"/>
      <c r="Z2" s="11"/>
      <c r="AA2" s="11"/>
      <c r="AB2" s="11"/>
      <c r="AC2" s="11"/>
      <c r="AD2" s="11"/>
      <c r="AF2" s="175"/>
    </row>
    <row r="3" spans="1:39" ht="27.5">
      <c r="A3" s="19" t="s">
        <v>1</v>
      </c>
      <c r="B3" s="30">
        <f>DATE($G$2,$J$2,1)</f>
        <v>45901</v>
      </c>
      <c r="C3" s="30">
        <f>B3+1</f>
        <v>45902</v>
      </c>
      <c r="D3" s="30">
        <f t="shared" ref="D3:AB3" si="0">C3+1</f>
        <v>45903</v>
      </c>
      <c r="E3" s="30">
        <f t="shared" si="0"/>
        <v>45904</v>
      </c>
      <c r="F3" s="30">
        <f t="shared" si="0"/>
        <v>45905</v>
      </c>
      <c r="G3" s="30">
        <f t="shared" si="0"/>
        <v>45906</v>
      </c>
      <c r="H3" s="30">
        <f t="shared" si="0"/>
        <v>45907</v>
      </c>
      <c r="I3" s="30">
        <f t="shared" si="0"/>
        <v>45908</v>
      </c>
      <c r="J3" s="30">
        <f t="shared" si="0"/>
        <v>45909</v>
      </c>
      <c r="K3" s="30">
        <f t="shared" si="0"/>
        <v>45910</v>
      </c>
      <c r="L3" s="30">
        <f t="shared" si="0"/>
        <v>45911</v>
      </c>
      <c r="M3" s="30">
        <f t="shared" si="0"/>
        <v>45912</v>
      </c>
      <c r="N3" s="30">
        <f t="shared" si="0"/>
        <v>45913</v>
      </c>
      <c r="O3" s="30">
        <f t="shared" si="0"/>
        <v>45914</v>
      </c>
      <c r="P3" s="30">
        <f t="shared" si="0"/>
        <v>45915</v>
      </c>
      <c r="Q3" s="30">
        <f t="shared" si="0"/>
        <v>45916</v>
      </c>
      <c r="R3" s="30">
        <f t="shared" si="0"/>
        <v>45917</v>
      </c>
      <c r="S3" s="30">
        <f t="shared" si="0"/>
        <v>45918</v>
      </c>
      <c r="T3" s="30">
        <f t="shared" si="0"/>
        <v>45919</v>
      </c>
      <c r="U3" s="30">
        <f t="shared" si="0"/>
        <v>45920</v>
      </c>
      <c r="V3" s="30">
        <f t="shared" si="0"/>
        <v>45921</v>
      </c>
      <c r="W3" s="30">
        <f t="shared" si="0"/>
        <v>45922</v>
      </c>
      <c r="X3" s="30">
        <f t="shared" si="0"/>
        <v>45923</v>
      </c>
      <c r="Y3" s="30">
        <f t="shared" si="0"/>
        <v>45924</v>
      </c>
      <c r="Z3" s="30">
        <f t="shared" si="0"/>
        <v>45925</v>
      </c>
      <c r="AA3" s="30">
        <f t="shared" si="0"/>
        <v>45926</v>
      </c>
      <c r="AB3" s="30">
        <f t="shared" si="0"/>
        <v>45927</v>
      </c>
      <c r="AC3" s="30">
        <f>IFERROR(IF(MONTH(AB3+1)=$J$2,AB3+1,""),"")</f>
        <v>45928</v>
      </c>
      <c r="AD3" s="84">
        <f>IFERROR(IF(MONTH(AC3+1)=$J$2,AC3+1,""),"")</f>
        <v>45929</v>
      </c>
      <c r="AE3" s="30">
        <f>IFERROR(IF(MONTH(AD3+1)=$J$2,AD3+1,""),"")</f>
        <v>45930</v>
      </c>
      <c r="AF3" s="30" t="str">
        <f>IFERROR(IF(MONTH(AE3+1)=$J$2,AE3+1,""),"")</f>
        <v/>
      </c>
      <c r="AG3" s="3" t="s">
        <v>35</v>
      </c>
      <c r="AH3" s="3" t="s">
        <v>3</v>
      </c>
      <c r="AI3" s="3" t="s">
        <v>5</v>
      </c>
      <c r="AJ3" s="3" t="s">
        <v>4</v>
      </c>
      <c r="AK3" s="3" t="s">
        <v>39</v>
      </c>
      <c r="AL3" s="3" t="s">
        <v>40</v>
      </c>
      <c r="AM3" s="3" t="s">
        <v>252</v>
      </c>
    </row>
    <row r="4" spans="1:39" ht="27.5">
      <c r="A4" s="19" t="s">
        <v>41</v>
      </c>
      <c r="B4" s="31">
        <f t="shared" ref="B4:AF4" si="1">IFERROR(IF(WEEKDAY(B3,2)=7,"日",WEEKDAY(B3,2)),"")</f>
        <v>1</v>
      </c>
      <c r="C4" s="31">
        <f>IFERROR(IF(WEEKDAY(C3,2)=7,"日",WEEKDAY(C3,2)),"")</f>
        <v>2</v>
      </c>
      <c r="D4" s="31">
        <f t="shared" si="1"/>
        <v>3</v>
      </c>
      <c r="E4" s="31">
        <f t="shared" si="1"/>
        <v>4</v>
      </c>
      <c r="F4" s="31">
        <f t="shared" si="1"/>
        <v>5</v>
      </c>
      <c r="G4" s="31">
        <f t="shared" si="1"/>
        <v>6</v>
      </c>
      <c r="H4" s="31" t="str">
        <f t="shared" si="1"/>
        <v>日</v>
      </c>
      <c r="I4" s="31">
        <f t="shared" si="1"/>
        <v>1</v>
      </c>
      <c r="J4" s="31">
        <f t="shared" si="1"/>
        <v>2</v>
      </c>
      <c r="K4" s="31">
        <f t="shared" si="1"/>
        <v>3</v>
      </c>
      <c r="L4" s="31">
        <f t="shared" si="1"/>
        <v>4</v>
      </c>
      <c r="M4" s="31">
        <f t="shared" si="1"/>
        <v>5</v>
      </c>
      <c r="N4" s="31">
        <f t="shared" si="1"/>
        <v>6</v>
      </c>
      <c r="O4" s="31" t="str">
        <f t="shared" si="1"/>
        <v>日</v>
      </c>
      <c r="P4" s="31">
        <f t="shared" si="1"/>
        <v>1</v>
      </c>
      <c r="Q4" s="31">
        <f t="shared" si="1"/>
        <v>2</v>
      </c>
      <c r="R4" s="31">
        <f t="shared" si="1"/>
        <v>3</v>
      </c>
      <c r="S4" s="31">
        <f t="shared" si="1"/>
        <v>4</v>
      </c>
      <c r="T4" s="31">
        <f t="shared" si="1"/>
        <v>5</v>
      </c>
      <c r="U4" s="31">
        <f t="shared" si="1"/>
        <v>6</v>
      </c>
      <c r="V4" s="31" t="str">
        <f t="shared" si="1"/>
        <v>日</v>
      </c>
      <c r="W4" s="31">
        <f t="shared" si="1"/>
        <v>1</v>
      </c>
      <c r="X4" s="31">
        <f t="shared" si="1"/>
        <v>2</v>
      </c>
      <c r="Y4" s="31">
        <f t="shared" si="1"/>
        <v>3</v>
      </c>
      <c r="Z4" s="31">
        <f t="shared" si="1"/>
        <v>4</v>
      </c>
      <c r="AA4" s="31">
        <f t="shared" si="1"/>
        <v>5</v>
      </c>
      <c r="AB4" s="31">
        <f t="shared" si="1"/>
        <v>6</v>
      </c>
      <c r="AC4" s="31" t="str">
        <f t="shared" si="1"/>
        <v>日</v>
      </c>
      <c r="AD4" s="31">
        <f t="shared" si="1"/>
        <v>1</v>
      </c>
      <c r="AE4" s="31">
        <f t="shared" si="1"/>
        <v>2</v>
      </c>
      <c r="AF4" s="31" t="str">
        <f t="shared" si="1"/>
        <v/>
      </c>
      <c r="AG4" s="377" t="s">
        <v>42</v>
      </c>
      <c r="AH4" s="377"/>
      <c r="AI4" s="377"/>
      <c r="AJ4" s="377"/>
      <c r="AK4" s="377"/>
      <c r="AL4" s="377"/>
      <c r="AM4" s="174"/>
    </row>
    <row r="5" spans="1:39" ht="21.5" hidden="1">
      <c r="A5" s="6" t="s">
        <v>9</v>
      </c>
      <c r="B5" s="33"/>
      <c r="C5" s="33"/>
      <c r="D5" s="88"/>
      <c r="E5" s="88"/>
      <c r="F5" s="88"/>
      <c r="G5" s="88"/>
      <c r="H5" s="88"/>
      <c r="I5" s="33"/>
      <c r="J5" s="33"/>
      <c r="K5" s="33"/>
      <c r="L5" s="33"/>
      <c r="M5" s="88"/>
      <c r="N5" s="33" t="s">
        <v>334</v>
      </c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88"/>
      <c r="AD5" s="88"/>
      <c r="AE5" s="83"/>
      <c r="AF5" s="88"/>
      <c r="AG5" s="3">
        <f>(AH5*12)+(AI5*12)+(AK5*8)+(AL5*4)</f>
        <v>228</v>
      </c>
      <c r="AH5" s="3">
        <f t="shared" ref="AH5:AH15" si="2">COUNTIF(B5:AF5,"D")</f>
        <v>0</v>
      </c>
      <c r="AI5" s="3">
        <f t="shared" ref="AI5:AI15" si="3">COUNTIF(B5:AF5,"N")</f>
        <v>0</v>
      </c>
      <c r="AJ5" s="3">
        <f t="shared" ref="AJ5:AJ15" si="4">COUNTIF(B5:AF5,"OFF")+COUNTIF(B5:AF5,"上課")</f>
        <v>0</v>
      </c>
      <c r="AK5" s="3">
        <f t="shared" ref="AK5:AK15" si="5">COUNTIF(B5:AF5,"")-AL5+COUNTIF(B5:AF5,"h3")</f>
        <v>27</v>
      </c>
      <c r="AL5" s="3">
        <f t="shared" ref="AL5:AL15" si="6">COUNTIFS($B$4:$AF$4,"6",B5:AF5,"")+COUNTIF(B5:AF5,"h3")</f>
        <v>3</v>
      </c>
      <c r="AM5" s="3">
        <f t="array" ref="AM5">SUMPRODUCT(($B$4:$AF$4=6)*(B5:AF5="off"))</f>
        <v>0</v>
      </c>
    </row>
    <row r="6" spans="1:39" ht="21.5">
      <c r="A6" s="6" t="s">
        <v>45</v>
      </c>
      <c r="B6" s="201" t="s">
        <v>2</v>
      </c>
      <c r="C6" s="201" t="s">
        <v>2</v>
      </c>
      <c r="D6" s="33" t="s">
        <v>4</v>
      </c>
      <c r="E6" s="33" t="s">
        <v>370</v>
      </c>
      <c r="F6" s="88" t="s">
        <v>370</v>
      </c>
      <c r="G6" s="88" t="s">
        <v>3</v>
      </c>
      <c r="H6" s="88" t="s">
        <v>4</v>
      </c>
      <c r="I6" s="88" t="s">
        <v>370</v>
      </c>
      <c r="J6" s="88" t="s">
        <v>372</v>
      </c>
      <c r="K6" s="88" t="s">
        <v>5</v>
      </c>
      <c r="L6" s="88" t="s">
        <v>5</v>
      </c>
      <c r="M6" s="88" t="s">
        <v>5</v>
      </c>
      <c r="N6" s="88" t="s">
        <v>4</v>
      </c>
      <c r="O6" s="88" t="s">
        <v>4</v>
      </c>
      <c r="P6" s="88" t="s">
        <v>370</v>
      </c>
      <c r="Q6" s="88" t="s">
        <v>4</v>
      </c>
      <c r="R6" s="88" t="s">
        <v>3</v>
      </c>
      <c r="S6" s="88" t="s">
        <v>372</v>
      </c>
      <c r="T6" s="88" t="s">
        <v>372</v>
      </c>
      <c r="U6" s="33" t="s">
        <v>40</v>
      </c>
      <c r="V6" s="62" t="s">
        <v>4</v>
      </c>
      <c r="W6" s="88" t="s">
        <v>370</v>
      </c>
      <c r="X6" s="88" t="s">
        <v>370</v>
      </c>
      <c r="Y6" s="88" t="s">
        <v>370</v>
      </c>
      <c r="Z6" s="88" t="s">
        <v>372</v>
      </c>
      <c r="AA6" s="33" t="s">
        <v>4</v>
      </c>
      <c r="AB6" s="33" t="s">
        <v>4</v>
      </c>
      <c r="AC6" s="88" t="s">
        <v>3</v>
      </c>
      <c r="AD6" s="88" t="s">
        <v>2</v>
      </c>
      <c r="AE6" s="62" t="s">
        <v>3</v>
      </c>
      <c r="AF6" s="88"/>
      <c r="AG6" s="3">
        <v>176</v>
      </c>
      <c r="AH6" s="3">
        <f t="shared" si="2"/>
        <v>4</v>
      </c>
      <c r="AI6" s="3">
        <f t="shared" si="3"/>
        <v>3</v>
      </c>
      <c r="AJ6" s="3">
        <f t="shared" si="4"/>
        <v>11</v>
      </c>
      <c r="AK6" s="3">
        <f t="shared" si="5"/>
        <v>1</v>
      </c>
      <c r="AL6" s="3">
        <f t="shared" si="6"/>
        <v>1</v>
      </c>
      <c r="AM6" s="3">
        <f t="array" ref="AM6">SUMPRODUCT(($B$4:$AF$4=6)*(B6:AF6="off"))</f>
        <v>2</v>
      </c>
    </row>
    <row r="7" spans="1:39" ht="21.5">
      <c r="A7" s="6" t="s">
        <v>17</v>
      </c>
      <c r="B7" s="88" t="s">
        <v>370</v>
      </c>
      <c r="C7" s="88" t="s">
        <v>370</v>
      </c>
      <c r="D7" s="88" t="s">
        <v>370</v>
      </c>
      <c r="E7" s="88" t="s">
        <v>3</v>
      </c>
      <c r="F7" s="88" t="s">
        <v>4</v>
      </c>
      <c r="G7" s="88" t="s">
        <v>4</v>
      </c>
      <c r="H7" s="88" t="s">
        <v>4</v>
      </c>
      <c r="I7" s="88" t="s">
        <v>5</v>
      </c>
      <c r="J7" s="88" t="s">
        <v>5</v>
      </c>
      <c r="K7" s="33" t="s">
        <v>2</v>
      </c>
      <c r="L7" s="33" t="s">
        <v>370</v>
      </c>
      <c r="M7" s="33" t="s">
        <v>370</v>
      </c>
      <c r="N7" s="33" t="s">
        <v>334</v>
      </c>
      <c r="O7" s="88" t="s">
        <v>4</v>
      </c>
      <c r="P7" s="88" t="s">
        <v>370</v>
      </c>
      <c r="Q7" s="88" t="s">
        <v>370</v>
      </c>
      <c r="R7" s="88" t="s">
        <v>4</v>
      </c>
      <c r="S7" s="88" t="s">
        <v>370</v>
      </c>
      <c r="T7" s="88" t="s">
        <v>370</v>
      </c>
      <c r="U7" s="88" t="s">
        <v>3</v>
      </c>
      <c r="V7" s="88" t="s">
        <v>4</v>
      </c>
      <c r="W7" s="88" t="s">
        <v>5</v>
      </c>
      <c r="X7" s="88" t="s">
        <v>5</v>
      </c>
      <c r="Y7" s="88" t="s">
        <v>4</v>
      </c>
      <c r="Z7" s="88" t="s">
        <v>370</v>
      </c>
      <c r="AA7" s="88" t="s">
        <v>3</v>
      </c>
      <c r="AB7" s="88" t="s">
        <v>40</v>
      </c>
      <c r="AC7" s="62" t="s">
        <v>4</v>
      </c>
      <c r="AD7" s="88" t="s">
        <v>3</v>
      </c>
      <c r="AE7" s="88" t="s">
        <v>4</v>
      </c>
      <c r="AF7" s="33"/>
      <c r="AG7" s="3">
        <v>188</v>
      </c>
      <c r="AH7" s="3">
        <f t="shared" si="2"/>
        <v>4</v>
      </c>
      <c r="AI7" s="3">
        <f t="shared" si="3"/>
        <v>4</v>
      </c>
      <c r="AJ7" s="3">
        <f t="shared" si="4"/>
        <v>10</v>
      </c>
      <c r="AK7" s="3">
        <f t="shared" si="5"/>
        <v>1</v>
      </c>
      <c r="AL7" s="3">
        <f t="shared" si="6"/>
        <v>1</v>
      </c>
      <c r="AM7" s="3">
        <f t="array" ref="AM7">SUMPRODUCT(($B$4:$AF$4=6)*(B7:AF7="off"))</f>
        <v>1</v>
      </c>
    </row>
    <row r="8" spans="1:39" ht="21.5">
      <c r="A8" s="6" t="s">
        <v>46</v>
      </c>
      <c r="B8" s="88" t="s">
        <v>3</v>
      </c>
      <c r="C8" s="88" t="s">
        <v>370</v>
      </c>
      <c r="D8" s="88" t="s">
        <v>4</v>
      </c>
      <c r="E8" s="88" t="s">
        <v>5</v>
      </c>
      <c r="F8" s="88" t="s">
        <v>5</v>
      </c>
      <c r="G8" s="88" t="s">
        <v>5</v>
      </c>
      <c r="H8" s="88" t="s">
        <v>5</v>
      </c>
      <c r="I8" s="88" t="s">
        <v>4</v>
      </c>
      <c r="J8" s="88" t="s">
        <v>370</v>
      </c>
      <c r="K8" s="88" t="s">
        <v>370</v>
      </c>
      <c r="L8" s="88" t="s">
        <v>370</v>
      </c>
      <c r="M8" s="88" t="s">
        <v>4</v>
      </c>
      <c r="N8" s="88" t="s">
        <v>3</v>
      </c>
      <c r="O8" s="88" t="s">
        <v>4</v>
      </c>
      <c r="P8" s="88" t="s">
        <v>4</v>
      </c>
      <c r="Q8" s="88" t="s">
        <v>370</v>
      </c>
      <c r="R8" s="88" t="s">
        <v>370</v>
      </c>
      <c r="S8" s="88" t="s">
        <v>370</v>
      </c>
      <c r="T8" s="88" t="s">
        <v>370</v>
      </c>
      <c r="U8" s="88" t="s">
        <v>4</v>
      </c>
      <c r="V8" s="88" t="s">
        <v>4</v>
      </c>
      <c r="W8" s="88" t="s">
        <v>370</v>
      </c>
      <c r="X8" s="88" t="s">
        <v>370</v>
      </c>
      <c r="Y8" s="88" t="s">
        <v>3</v>
      </c>
      <c r="Z8" s="88" t="s">
        <v>370</v>
      </c>
      <c r="AA8" s="88" t="s">
        <v>4</v>
      </c>
      <c r="AB8" s="88" t="s">
        <v>2</v>
      </c>
      <c r="AC8" s="88" t="s">
        <v>4</v>
      </c>
      <c r="AD8" s="88" t="s">
        <v>4</v>
      </c>
      <c r="AE8" s="88" t="s">
        <v>4</v>
      </c>
      <c r="AF8" s="88"/>
      <c r="AG8" s="3">
        <v>176</v>
      </c>
      <c r="AH8" s="3">
        <f t="shared" si="2"/>
        <v>3</v>
      </c>
      <c r="AI8" s="3">
        <f t="shared" si="3"/>
        <v>4</v>
      </c>
      <c r="AJ8" s="3">
        <f t="shared" si="4"/>
        <v>12</v>
      </c>
      <c r="AK8" s="3">
        <f t="shared" si="5"/>
        <v>1</v>
      </c>
      <c r="AL8" s="3">
        <f t="shared" si="6"/>
        <v>0</v>
      </c>
      <c r="AM8" s="3">
        <f t="array" ref="AM8">SUMPRODUCT(($B$4:$AF$4=6)*(B8:AF8="off"))</f>
        <v>2</v>
      </c>
    </row>
    <row r="9" spans="1:39" ht="21.5">
      <c r="A9" s="288" t="s">
        <v>12</v>
      </c>
      <c r="B9" s="286" t="s">
        <v>370</v>
      </c>
      <c r="C9" s="286" t="s">
        <v>370</v>
      </c>
      <c r="D9" s="286" t="s">
        <v>370</v>
      </c>
      <c r="E9" s="286" t="s">
        <v>4</v>
      </c>
      <c r="F9" s="289" t="s">
        <v>370</v>
      </c>
      <c r="G9" s="289" t="s">
        <v>370</v>
      </c>
      <c r="H9" s="289" t="s">
        <v>370</v>
      </c>
      <c r="I9" s="289" t="s">
        <v>370</v>
      </c>
      <c r="J9" s="289" t="s">
        <v>3</v>
      </c>
      <c r="K9" s="286" t="s">
        <v>4</v>
      </c>
      <c r="L9" s="286" t="s">
        <v>4</v>
      </c>
      <c r="M9" s="286" t="s">
        <v>4</v>
      </c>
      <c r="N9" s="286" t="s">
        <v>5</v>
      </c>
      <c r="O9" s="286" t="s">
        <v>5</v>
      </c>
      <c r="P9" s="286" t="s">
        <v>5</v>
      </c>
      <c r="Q9" s="286" t="s">
        <v>5</v>
      </c>
      <c r="R9" s="286" t="s">
        <v>4</v>
      </c>
      <c r="S9" s="286" t="s">
        <v>4</v>
      </c>
      <c r="T9" s="286" t="s">
        <v>370</v>
      </c>
      <c r="U9" s="286" t="s">
        <v>370</v>
      </c>
      <c r="V9" s="286" t="s">
        <v>4</v>
      </c>
      <c r="W9" s="286" t="s">
        <v>370</v>
      </c>
      <c r="X9" s="286" t="s">
        <v>3</v>
      </c>
      <c r="Y9" s="286" t="s">
        <v>4</v>
      </c>
      <c r="Z9" s="289" t="s">
        <v>4</v>
      </c>
      <c r="AA9" s="286" t="s">
        <v>370</v>
      </c>
      <c r="AB9" s="286" t="s">
        <v>3</v>
      </c>
      <c r="AC9" s="286" t="s">
        <v>370</v>
      </c>
      <c r="AD9" s="286" t="s">
        <v>4</v>
      </c>
      <c r="AE9" s="286" t="s">
        <v>370</v>
      </c>
      <c r="AF9" s="286"/>
      <c r="AG9" s="3">
        <v>188</v>
      </c>
      <c r="AH9" s="3">
        <f t="shared" si="2"/>
        <v>3</v>
      </c>
      <c r="AI9" s="3">
        <f t="shared" si="3"/>
        <v>4</v>
      </c>
      <c r="AJ9" s="3">
        <f t="shared" si="4"/>
        <v>10</v>
      </c>
      <c r="AK9" s="3">
        <f t="shared" si="5"/>
        <v>1</v>
      </c>
      <c r="AL9" s="3">
        <f t="shared" si="6"/>
        <v>0</v>
      </c>
      <c r="AM9" s="3">
        <f t="array" ref="AM9">SUMPRODUCT(($B$4:$AF$4=6)*(B9:AF9="off"))</f>
        <v>0</v>
      </c>
    </row>
    <row r="10" spans="1:39" ht="21.5" hidden="1">
      <c r="A10" s="288" t="s">
        <v>303</v>
      </c>
      <c r="B10" s="286"/>
      <c r="C10" s="286"/>
      <c r="D10" s="286"/>
      <c r="E10" s="286"/>
      <c r="F10" s="286"/>
      <c r="G10" s="286"/>
      <c r="H10" s="286"/>
      <c r="I10" s="287"/>
      <c r="J10" s="287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3">
        <f>(AH10*12)+(AI10*12)+(AK10*8)+(AL10*4)</f>
        <v>232</v>
      </c>
      <c r="AH10" s="3">
        <f t="shared" si="2"/>
        <v>0</v>
      </c>
      <c r="AI10" s="3">
        <f t="shared" si="3"/>
        <v>0</v>
      </c>
      <c r="AJ10" s="3">
        <f t="shared" si="4"/>
        <v>0</v>
      </c>
      <c r="AK10" s="3">
        <f t="shared" si="5"/>
        <v>27</v>
      </c>
      <c r="AL10" s="3">
        <f t="shared" si="6"/>
        <v>4</v>
      </c>
      <c r="AM10" s="3">
        <f t="array" ref="AM10">SUMPRODUCT(($B$4:$AF$4=6)*(B10:AF10="off"))</f>
        <v>0</v>
      </c>
    </row>
    <row r="11" spans="1:39" ht="21.5" hidden="1">
      <c r="A11" s="288" t="s">
        <v>269</v>
      </c>
      <c r="B11" s="286"/>
      <c r="C11" s="286"/>
      <c r="D11" s="286"/>
      <c r="E11" s="286"/>
      <c r="F11" s="286"/>
      <c r="G11" s="286"/>
      <c r="H11" s="286"/>
      <c r="I11" s="287"/>
      <c r="J11" s="287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3">
        <f>(AH11*12)+(AI11*12)+(AK11*8)+(AL11*4)</f>
        <v>232</v>
      </c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27</v>
      </c>
      <c r="AL11" s="3">
        <f t="shared" si="6"/>
        <v>4</v>
      </c>
      <c r="AM11" s="3">
        <f t="array" ref="AM11">SUMPRODUCT(($B$4:$AF$4=6)*(B11:AF11="off"))</f>
        <v>0</v>
      </c>
    </row>
    <row r="12" spans="1:39" ht="21.5">
      <c r="A12" s="288" t="s">
        <v>51</v>
      </c>
      <c r="B12" s="287" t="s">
        <v>2</v>
      </c>
      <c r="C12" s="287" t="s">
        <v>2</v>
      </c>
      <c r="D12" s="286" t="s">
        <v>3</v>
      </c>
      <c r="E12" s="286" t="s">
        <v>370</v>
      </c>
      <c r="F12" s="286" t="s">
        <v>3</v>
      </c>
      <c r="G12" s="286" t="s">
        <v>4</v>
      </c>
      <c r="H12" s="286" t="s">
        <v>370</v>
      </c>
      <c r="I12" s="287" t="s">
        <v>2</v>
      </c>
      <c r="J12" s="287" t="s">
        <v>370</v>
      </c>
      <c r="K12" s="289" t="s">
        <v>2</v>
      </c>
      <c r="L12" s="287" t="s">
        <v>2</v>
      </c>
      <c r="M12" s="287" t="s">
        <v>370</v>
      </c>
      <c r="N12" s="286" t="s">
        <v>370</v>
      </c>
      <c r="O12" s="286" t="s">
        <v>370</v>
      </c>
      <c r="P12" s="287" t="s">
        <v>3</v>
      </c>
      <c r="Q12" s="286" t="s">
        <v>370</v>
      </c>
      <c r="R12" s="286" t="s">
        <v>4</v>
      </c>
      <c r="S12" s="286" t="s">
        <v>5</v>
      </c>
      <c r="T12" s="286" t="s">
        <v>5</v>
      </c>
      <c r="U12" s="286" t="s">
        <v>5</v>
      </c>
      <c r="V12" s="286" t="s">
        <v>5</v>
      </c>
      <c r="W12" s="286" t="s">
        <v>4</v>
      </c>
      <c r="X12" s="287" t="s">
        <v>370</v>
      </c>
      <c r="Y12" s="286" t="s">
        <v>370</v>
      </c>
      <c r="Z12" s="286" t="s">
        <v>3</v>
      </c>
      <c r="AA12" s="286" t="s">
        <v>370</v>
      </c>
      <c r="AB12" s="286" t="s">
        <v>370</v>
      </c>
      <c r="AC12" s="286" t="s">
        <v>4</v>
      </c>
      <c r="AD12" s="287" t="s">
        <v>2</v>
      </c>
      <c r="AE12" s="287" t="s">
        <v>2</v>
      </c>
      <c r="AF12" s="286"/>
      <c r="AG12" s="3">
        <v>184</v>
      </c>
      <c r="AH12" s="3">
        <f t="shared" si="2"/>
        <v>4</v>
      </c>
      <c r="AI12" s="3">
        <f t="shared" si="3"/>
        <v>4</v>
      </c>
      <c r="AJ12" s="3">
        <f t="shared" si="4"/>
        <v>11</v>
      </c>
      <c r="AK12" s="3">
        <f t="shared" si="5"/>
        <v>1</v>
      </c>
      <c r="AL12" s="3">
        <f t="shared" si="6"/>
        <v>0</v>
      </c>
      <c r="AM12" s="3">
        <f t="array" ref="AM12">SUMPRODUCT(($B$4:$AF$4=6)*(B12:AF12="off"))</f>
        <v>1</v>
      </c>
    </row>
    <row r="13" spans="1:39" ht="21.5">
      <c r="A13" s="288" t="s">
        <v>310</v>
      </c>
      <c r="B13" s="286" t="s">
        <v>2</v>
      </c>
      <c r="C13" s="286" t="s">
        <v>370</v>
      </c>
      <c r="D13" s="286" t="s">
        <v>373</v>
      </c>
      <c r="E13" s="286" t="s">
        <v>4</v>
      </c>
      <c r="F13" s="286" t="s">
        <v>4</v>
      </c>
      <c r="G13" s="289" t="s">
        <v>370</v>
      </c>
      <c r="H13" s="286" t="s">
        <v>3</v>
      </c>
      <c r="I13" s="287" t="s">
        <v>370</v>
      </c>
      <c r="J13" s="286" t="s">
        <v>370</v>
      </c>
      <c r="K13" s="286" t="s">
        <v>4</v>
      </c>
      <c r="L13" s="289" t="s">
        <v>4</v>
      </c>
      <c r="M13" s="286" t="s">
        <v>3</v>
      </c>
      <c r="N13" s="286" t="s">
        <v>370</v>
      </c>
      <c r="O13" s="286" t="s">
        <v>370</v>
      </c>
      <c r="P13" s="286" t="s">
        <v>370</v>
      </c>
      <c r="Q13" s="286" t="s">
        <v>4</v>
      </c>
      <c r="R13" s="286" t="s">
        <v>370</v>
      </c>
      <c r="S13" s="286" t="s">
        <v>3</v>
      </c>
      <c r="T13" s="286" t="s">
        <v>370</v>
      </c>
      <c r="U13" s="286" t="s">
        <v>4</v>
      </c>
      <c r="V13" s="286" t="s">
        <v>370</v>
      </c>
      <c r="W13" s="286" t="s">
        <v>3</v>
      </c>
      <c r="X13" s="286" t="s">
        <v>4</v>
      </c>
      <c r="Y13" s="286" t="s">
        <v>371</v>
      </c>
      <c r="Z13" s="289" t="s">
        <v>370</v>
      </c>
      <c r="AA13" s="286" t="s">
        <v>4</v>
      </c>
      <c r="AB13" s="286" t="s">
        <v>5</v>
      </c>
      <c r="AC13" s="286" t="s">
        <v>5</v>
      </c>
      <c r="AD13" s="286" t="s">
        <v>5</v>
      </c>
      <c r="AE13" s="286" t="s">
        <v>5</v>
      </c>
      <c r="AF13" s="286"/>
      <c r="AG13" s="3">
        <v>200</v>
      </c>
      <c r="AH13" s="3">
        <f t="shared" si="2"/>
        <v>4</v>
      </c>
      <c r="AI13" s="3">
        <f t="shared" si="3"/>
        <v>4</v>
      </c>
      <c r="AJ13" s="3">
        <f t="shared" si="4"/>
        <v>9</v>
      </c>
      <c r="AK13" s="3">
        <f t="shared" si="5"/>
        <v>1</v>
      </c>
      <c r="AL13" s="3">
        <f t="shared" si="6"/>
        <v>0</v>
      </c>
      <c r="AM13" s="3">
        <f t="array" ref="AM13">SUMPRODUCT(($B$4:$AF$4=6)*(B13:AF13="off"))</f>
        <v>1</v>
      </c>
    </row>
    <row r="14" spans="1:39" ht="21.5">
      <c r="A14" s="288" t="s">
        <v>311</v>
      </c>
      <c r="B14" s="286" t="s">
        <v>4</v>
      </c>
      <c r="C14" s="286" t="s">
        <v>3</v>
      </c>
      <c r="D14" s="286" t="s">
        <v>370</v>
      </c>
      <c r="E14" s="286" t="s">
        <v>370</v>
      </c>
      <c r="F14" s="289" t="s">
        <v>371</v>
      </c>
      <c r="G14" s="289" t="s">
        <v>4</v>
      </c>
      <c r="H14" s="289" t="s">
        <v>4</v>
      </c>
      <c r="I14" s="289" t="s">
        <v>4</v>
      </c>
      <c r="J14" s="289" t="s">
        <v>4</v>
      </c>
      <c r="K14" s="289" t="s">
        <v>370</v>
      </c>
      <c r="L14" s="289" t="s">
        <v>3</v>
      </c>
      <c r="M14" s="289" t="s">
        <v>370</v>
      </c>
      <c r="N14" s="289" t="s">
        <v>4</v>
      </c>
      <c r="O14" s="289" t="s">
        <v>3</v>
      </c>
      <c r="P14" s="289" t="s">
        <v>370</v>
      </c>
      <c r="Q14" s="289" t="s">
        <v>3</v>
      </c>
      <c r="R14" s="286" t="s">
        <v>4</v>
      </c>
      <c r="S14" s="286" t="s">
        <v>4</v>
      </c>
      <c r="T14" s="286" t="s">
        <v>3</v>
      </c>
      <c r="U14" s="286" t="s">
        <v>370</v>
      </c>
      <c r="V14" s="286" t="s">
        <v>370</v>
      </c>
      <c r="W14" s="287" t="s">
        <v>2</v>
      </c>
      <c r="X14" s="289" t="s">
        <v>4</v>
      </c>
      <c r="Y14" s="289" t="s">
        <v>5</v>
      </c>
      <c r="Z14" s="289" t="s">
        <v>5</v>
      </c>
      <c r="AA14" s="287" t="s">
        <v>2</v>
      </c>
      <c r="AB14" s="286" t="s">
        <v>370</v>
      </c>
      <c r="AC14" s="286" t="s">
        <v>370</v>
      </c>
      <c r="AD14" s="286" t="s">
        <v>370</v>
      </c>
      <c r="AE14" s="286" t="s">
        <v>4</v>
      </c>
      <c r="AF14" s="286"/>
      <c r="AG14" s="3">
        <v>172</v>
      </c>
      <c r="AH14" s="3">
        <f t="shared" si="2"/>
        <v>5</v>
      </c>
      <c r="AI14" s="3">
        <f t="shared" si="3"/>
        <v>2</v>
      </c>
      <c r="AJ14" s="3">
        <f t="shared" si="4"/>
        <v>12</v>
      </c>
      <c r="AK14" s="3">
        <f t="shared" si="5"/>
        <v>1</v>
      </c>
      <c r="AL14" s="3">
        <f t="shared" si="6"/>
        <v>0</v>
      </c>
      <c r="AM14" s="3">
        <f t="array" ref="AM14">SUMPRODUCT(($B$4:$AF$4=6)*(B14:AF14="off"))</f>
        <v>2</v>
      </c>
    </row>
    <row r="15" spans="1:39" ht="21.5">
      <c r="A15" s="6" t="s">
        <v>312</v>
      </c>
      <c r="B15" s="88" t="s">
        <v>5</v>
      </c>
      <c r="C15" s="88" t="s">
        <v>5</v>
      </c>
      <c r="D15" s="88" t="s">
        <v>5</v>
      </c>
      <c r="E15" s="88" t="s">
        <v>4</v>
      </c>
      <c r="F15" s="88" t="s">
        <v>370</v>
      </c>
      <c r="G15" s="83" t="s">
        <v>40</v>
      </c>
      <c r="H15" s="33" t="s">
        <v>4</v>
      </c>
      <c r="I15" s="83" t="s">
        <v>3</v>
      </c>
      <c r="J15" s="83" t="s">
        <v>370</v>
      </c>
      <c r="K15" s="83" t="s">
        <v>3</v>
      </c>
      <c r="L15" s="83" t="s">
        <v>4</v>
      </c>
      <c r="M15" s="83" t="s">
        <v>370</v>
      </c>
      <c r="N15" s="83" t="s">
        <v>40</v>
      </c>
      <c r="O15" s="88" t="s">
        <v>4</v>
      </c>
      <c r="P15" s="83" t="s">
        <v>372</v>
      </c>
      <c r="Q15" s="88" t="s">
        <v>372</v>
      </c>
      <c r="R15" s="88" t="s">
        <v>5</v>
      </c>
      <c r="S15" s="88" t="s">
        <v>4</v>
      </c>
      <c r="T15" s="88" t="s">
        <v>4</v>
      </c>
      <c r="U15" s="88" t="s">
        <v>4</v>
      </c>
      <c r="V15" s="88" t="s">
        <v>3</v>
      </c>
      <c r="W15" s="83" t="s">
        <v>4</v>
      </c>
      <c r="X15" s="83" t="s">
        <v>372</v>
      </c>
      <c r="Y15" s="88" t="s">
        <v>372</v>
      </c>
      <c r="Z15" s="88" t="s">
        <v>372</v>
      </c>
      <c r="AA15" s="88" t="s">
        <v>5</v>
      </c>
      <c r="AB15" s="88" t="s">
        <v>4</v>
      </c>
      <c r="AC15" s="62" t="s">
        <v>4</v>
      </c>
      <c r="AD15" s="88" t="s">
        <v>4</v>
      </c>
      <c r="AE15" s="88" t="s">
        <v>370</v>
      </c>
      <c r="AF15" s="88"/>
      <c r="AG15" s="3">
        <v>164</v>
      </c>
      <c r="AH15" s="3">
        <f t="shared" si="2"/>
        <v>3</v>
      </c>
      <c r="AI15" s="3">
        <f t="shared" si="3"/>
        <v>5</v>
      </c>
      <c r="AJ15" s="3">
        <f t="shared" si="4"/>
        <v>11</v>
      </c>
      <c r="AK15" s="3">
        <f t="shared" si="5"/>
        <v>1</v>
      </c>
      <c r="AL15" s="3">
        <f t="shared" si="6"/>
        <v>2</v>
      </c>
      <c r="AM15" s="3">
        <f t="array" ref="AM15">SUMPRODUCT(($B$4:$AF$4=6)*(B15:AF15="off"))</f>
        <v>2</v>
      </c>
    </row>
    <row r="16" spans="1:39" ht="21.5">
      <c r="A16" s="6" t="s">
        <v>277</v>
      </c>
      <c r="B16" s="172">
        <f>IF(B4="","",IF(B$17="國",COUNTA($B$19:$B$29)-$J$21,IF(B4="日",COUNTA($B$19:$B$29)-$J$21,IF(B4=6,COUNTA($B$19:$B$29)-$J$19,IF(B4&lt;6,COUNTA($B$19:$B$29)-$J$19)))))</f>
        <v>6</v>
      </c>
      <c r="C16" s="172">
        <f t="shared" ref="C16:AF16" si="7">IF(C4="","",IF(C$17="國",COUNTA($B$19:$B$29)-$J$21,IF(C4="日",COUNTA($B$19:$B$29)-$J$21,IF(C4=6,COUNTA($B$19:$B$29)-$J$19,IF(C4&lt;6,COUNTA($B$19:$B$29)-$J$19)))))</f>
        <v>6</v>
      </c>
      <c r="D16" s="172">
        <f t="shared" si="7"/>
        <v>6</v>
      </c>
      <c r="E16" s="172">
        <f t="shared" si="7"/>
        <v>6</v>
      </c>
      <c r="F16" s="172">
        <f t="shared" si="7"/>
        <v>6</v>
      </c>
      <c r="G16" s="172">
        <f t="shared" si="7"/>
        <v>6</v>
      </c>
      <c r="H16" s="172">
        <f t="shared" si="7"/>
        <v>7</v>
      </c>
      <c r="I16" s="172">
        <f t="shared" si="7"/>
        <v>6</v>
      </c>
      <c r="J16" s="172">
        <f t="shared" si="7"/>
        <v>6</v>
      </c>
      <c r="K16" s="172">
        <f t="shared" si="7"/>
        <v>6</v>
      </c>
      <c r="L16" s="172">
        <f t="shared" si="7"/>
        <v>6</v>
      </c>
      <c r="M16" s="172">
        <f t="shared" si="7"/>
        <v>6</v>
      </c>
      <c r="N16" s="172">
        <f t="shared" si="7"/>
        <v>6</v>
      </c>
      <c r="O16" s="172">
        <f t="shared" si="7"/>
        <v>7</v>
      </c>
      <c r="P16" s="172">
        <f t="shared" si="7"/>
        <v>6</v>
      </c>
      <c r="Q16" s="172">
        <f t="shared" si="7"/>
        <v>6</v>
      </c>
      <c r="R16" s="172">
        <f t="shared" si="7"/>
        <v>6</v>
      </c>
      <c r="S16" s="172">
        <f t="shared" si="7"/>
        <v>6</v>
      </c>
      <c r="T16" s="172">
        <f t="shared" si="7"/>
        <v>6</v>
      </c>
      <c r="U16" s="172">
        <f t="shared" si="7"/>
        <v>6</v>
      </c>
      <c r="V16" s="172">
        <f t="shared" si="7"/>
        <v>7</v>
      </c>
      <c r="W16" s="172">
        <f t="shared" si="7"/>
        <v>6</v>
      </c>
      <c r="X16" s="172">
        <f t="shared" si="7"/>
        <v>6</v>
      </c>
      <c r="Y16" s="172">
        <f t="shared" si="7"/>
        <v>6</v>
      </c>
      <c r="Z16" s="172">
        <f t="shared" si="7"/>
        <v>6</v>
      </c>
      <c r="AA16" s="172">
        <f t="shared" si="7"/>
        <v>6</v>
      </c>
      <c r="AB16" s="172">
        <f t="shared" si="7"/>
        <v>6</v>
      </c>
      <c r="AC16" s="172">
        <f t="shared" si="7"/>
        <v>7</v>
      </c>
      <c r="AD16" s="172">
        <f t="shared" si="7"/>
        <v>6</v>
      </c>
      <c r="AE16" s="172">
        <f t="shared" si="7"/>
        <v>6</v>
      </c>
      <c r="AF16" s="172" t="str">
        <f t="shared" si="7"/>
        <v/>
      </c>
      <c r="AG16" s="3"/>
      <c r="AH16" s="3"/>
      <c r="AI16" s="3"/>
      <c r="AJ16" s="3"/>
      <c r="AK16" s="3"/>
      <c r="AL16" s="3"/>
      <c r="AM16" s="174"/>
    </row>
    <row r="17" spans="1:39" ht="20.5">
      <c r="A17" s="6" t="s">
        <v>251</v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 t="s">
        <v>374</v>
      </c>
      <c r="AE17" s="173"/>
      <c r="AF17" s="173"/>
      <c r="AG17" s="3"/>
      <c r="AH17" s="3"/>
      <c r="AI17" s="3"/>
      <c r="AJ17" s="3"/>
      <c r="AK17" s="3"/>
      <c r="AL17" s="3"/>
      <c r="AM17" s="174"/>
    </row>
    <row r="18" spans="1:39" ht="28" thickBot="1">
      <c r="A18" s="4"/>
      <c r="B18" s="436" t="s">
        <v>158</v>
      </c>
      <c r="C18" s="436"/>
      <c r="D18" s="91"/>
      <c r="E18" s="91"/>
      <c r="F18" s="91"/>
      <c r="G18" s="91"/>
      <c r="H18" s="4"/>
      <c r="I18" s="4"/>
      <c r="J18" s="12"/>
      <c r="K18" s="4"/>
      <c r="AB18" s="14"/>
    </row>
    <row r="19" spans="1:39" ht="32.5" thickBot="1">
      <c r="A19" s="4"/>
      <c r="B19" s="36">
        <v>1</v>
      </c>
      <c r="C19" s="423"/>
      <c r="D19" s="423"/>
      <c r="E19" s="425" t="s">
        <v>9</v>
      </c>
      <c r="F19" s="425"/>
      <c r="G19" s="14" t="s">
        <v>52</v>
      </c>
      <c r="J19" s="37">
        <f>J20+J21</f>
        <v>3</v>
      </c>
      <c r="K19" s="13" t="s">
        <v>53</v>
      </c>
      <c r="L19" s="13" t="s">
        <v>54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4"/>
      <c r="X19" s="14"/>
      <c r="Y19" s="14"/>
      <c r="Z19" s="14"/>
      <c r="AA19" s="14"/>
      <c r="AB19" s="14"/>
      <c r="AD19" t="s">
        <v>256</v>
      </c>
      <c r="AE19" s="133" t="s">
        <v>254</v>
      </c>
      <c r="AF19" s="174" t="s">
        <v>255</v>
      </c>
      <c r="AG19" s="105" t="s">
        <v>237</v>
      </c>
      <c r="AH19" t="s">
        <v>4</v>
      </c>
      <c r="AI19" s="38" t="s">
        <v>55</v>
      </c>
      <c r="AJ19" s="103" t="s">
        <v>56</v>
      </c>
      <c r="AK19" s="39" t="s">
        <v>9</v>
      </c>
      <c r="AL19" s="92" t="s">
        <v>57</v>
      </c>
    </row>
    <row r="20" spans="1:39" ht="32.5" thickBot="1">
      <c r="A20" s="4"/>
      <c r="B20" s="36">
        <v>2</v>
      </c>
      <c r="C20" s="423"/>
      <c r="D20" s="423"/>
      <c r="E20" s="425" t="s">
        <v>16</v>
      </c>
      <c r="F20" s="425"/>
      <c r="G20" s="42"/>
      <c r="H20" s="13" t="s">
        <v>59</v>
      </c>
      <c r="I20" s="13"/>
      <c r="J20" s="37">
        <v>1</v>
      </c>
      <c r="K20" s="4"/>
      <c r="L20" s="13" t="s">
        <v>60</v>
      </c>
      <c r="M20" s="13"/>
      <c r="N20" s="13"/>
      <c r="O20" s="13"/>
      <c r="P20" s="13"/>
      <c r="Q20" s="7"/>
      <c r="S20" s="43" t="str">
        <f>QUOTIENT((COUNTA(B3:AF3)-COUNTIF(AD3:AF3,"")),COUNTA(B19:B29))&amp;" ... "&amp;MOD((COUNTA(B3:AF3)-COUNTIF(AD3:AF3,"")),COUNTA(B19:B29))</f>
        <v>3 ... 3</v>
      </c>
      <c r="T20" s="44"/>
      <c r="U20" s="45"/>
      <c r="W20" s="13"/>
      <c r="X20" s="8" t="s">
        <v>20</v>
      </c>
      <c r="Y20" s="20" t="s">
        <v>3</v>
      </c>
      <c r="Z20" s="118">
        <v>4</v>
      </c>
      <c r="AA20" s="20" t="s">
        <v>5</v>
      </c>
      <c r="AB20" s="121">
        <v>6</v>
      </c>
      <c r="AC20" s="118"/>
      <c r="AD20" s="118"/>
      <c r="AE20" s="20"/>
      <c r="AF20" s="118">
        <v>11</v>
      </c>
      <c r="AG20" s="176">
        <v>2</v>
      </c>
      <c r="AH20" t="s">
        <v>3</v>
      </c>
      <c r="AI20" s="46" t="s">
        <v>61</v>
      </c>
      <c r="AJ20" s="104" t="s">
        <v>62</v>
      </c>
      <c r="AK20" s="92" t="s">
        <v>45</v>
      </c>
      <c r="AL20" s="92" t="s">
        <v>63</v>
      </c>
      <c r="AM20" t="s">
        <v>58</v>
      </c>
    </row>
    <row r="21" spans="1:39" ht="32.5" thickBot="1">
      <c r="A21" s="4"/>
      <c r="B21" s="36">
        <v>3</v>
      </c>
      <c r="C21" s="423"/>
      <c r="D21" s="423"/>
      <c r="E21" s="425" t="s">
        <v>17</v>
      </c>
      <c r="F21" s="425"/>
      <c r="G21" s="42"/>
      <c r="H21" s="13" t="s">
        <v>65</v>
      </c>
      <c r="J21" s="37">
        <v>2</v>
      </c>
      <c r="L21" s="13" t="s">
        <v>66</v>
      </c>
      <c r="M21" s="13"/>
      <c r="N21" s="13"/>
      <c r="O21" s="13"/>
      <c r="P21" s="13"/>
      <c r="Q21" s="7"/>
      <c r="S21" s="48" t="str">
        <f>QUOTIENT((COUNTA(B3:AF3)-COUNTIF(AD3:AF3,"")),COUNTA(B19:B29))&amp;" ... "&amp;MOD((COUNTA(B3:AF3)-COUNTIF(AD3:AF3,"")),COUNTA(B19:B29))</f>
        <v>3 ... 3</v>
      </c>
      <c r="T21" s="49"/>
      <c r="U21" s="45"/>
      <c r="X21" s="8" t="s">
        <v>21</v>
      </c>
      <c r="Y21" s="20" t="s">
        <v>3</v>
      </c>
      <c r="Z21" s="118">
        <v>4</v>
      </c>
      <c r="AA21" s="20" t="s">
        <v>5</v>
      </c>
      <c r="AB21" s="121">
        <v>6</v>
      </c>
      <c r="AC21" s="118"/>
      <c r="AD21" s="118"/>
      <c r="AE21" s="20"/>
      <c r="AF21" s="178">
        <v>12</v>
      </c>
      <c r="AG21" s="176">
        <v>2</v>
      </c>
      <c r="AH21" t="s">
        <v>5</v>
      </c>
      <c r="AI21" s="46" t="s">
        <v>67</v>
      </c>
      <c r="AJ21" s="104" t="s">
        <v>56</v>
      </c>
      <c r="AK21" s="92" t="s">
        <v>17</v>
      </c>
      <c r="AL21" s="92" t="s">
        <v>68</v>
      </c>
      <c r="AM21" t="s">
        <v>64</v>
      </c>
    </row>
    <row r="22" spans="1:39" ht="32.5" thickBot="1">
      <c r="A22" s="4"/>
      <c r="B22" s="36">
        <v>4</v>
      </c>
      <c r="C22" s="423"/>
      <c r="D22" s="423"/>
      <c r="E22" s="425" t="s">
        <v>14</v>
      </c>
      <c r="F22" s="425"/>
      <c r="L22" s="13" t="s">
        <v>70</v>
      </c>
      <c r="M22" s="13"/>
      <c r="N22" s="13"/>
      <c r="O22" s="13"/>
      <c r="P22" s="13"/>
      <c r="Q22" s="13"/>
      <c r="S22" s="50" t="str">
        <f>QUOTIENT(W23,COUNTA(B19:B29))&amp;" ... "&amp;MOD(W23,COUNTA(B19:B29))</f>
        <v>20 ... 4</v>
      </c>
      <c r="T22" s="51"/>
      <c r="U22" s="52"/>
      <c r="X22" s="8" t="s">
        <v>22</v>
      </c>
      <c r="Y22" s="20" t="s">
        <v>3</v>
      </c>
      <c r="Z22" s="119">
        <v>10</v>
      </c>
      <c r="AA22" s="82" t="s">
        <v>5</v>
      </c>
      <c r="AB22" s="179">
        <v>0</v>
      </c>
      <c r="AC22" s="119"/>
      <c r="AD22" s="118"/>
      <c r="AE22" s="20"/>
      <c r="AF22" s="118">
        <v>12</v>
      </c>
      <c r="AG22" s="176">
        <v>2</v>
      </c>
      <c r="AH22" t="s">
        <v>40</v>
      </c>
      <c r="AI22" s="46" t="s">
        <v>71</v>
      </c>
      <c r="AJ22" s="104" t="s">
        <v>72</v>
      </c>
      <c r="AK22" s="92" t="s">
        <v>46</v>
      </c>
      <c r="AL22" s="92" t="s">
        <v>73</v>
      </c>
      <c r="AM22" t="s">
        <v>69</v>
      </c>
    </row>
    <row r="23" spans="1:39" ht="32.5" thickBot="1">
      <c r="A23" s="4"/>
      <c r="B23" s="36">
        <v>5</v>
      </c>
      <c r="C23" s="423"/>
      <c r="D23" s="423"/>
      <c r="E23" s="425" t="s">
        <v>13</v>
      </c>
      <c r="F23" s="425"/>
      <c r="G23" s="42"/>
      <c r="H23" s="5"/>
      <c r="I23" s="5"/>
      <c r="J23" s="5"/>
      <c r="K23" s="5"/>
      <c r="L23" s="13" t="s">
        <v>75</v>
      </c>
      <c r="M23" s="13"/>
      <c r="N23" s="13" t="s">
        <v>76</v>
      </c>
      <c r="O23" s="37">
        <f>COUNTIF(B4:AF4,"日")*((COUNTA(B19:B29))-J21)</f>
        <v>28</v>
      </c>
      <c r="P23" s="13" t="s">
        <v>77</v>
      </c>
      <c r="Q23" s="13" t="s">
        <v>78</v>
      </c>
      <c r="R23" s="37">
        <f>COUNTIF(B4:AF4,"6")*((COUNTA(B19:B29))-J19)</f>
        <v>24</v>
      </c>
      <c r="S23" s="13" t="s">
        <v>79</v>
      </c>
      <c r="T23" s="53">
        <f>O23+R23</f>
        <v>52</v>
      </c>
      <c r="U23" s="13" t="s">
        <v>32</v>
      </c>
      <c r="V23" s="13"/>
      <c r="W23" s="54">
        <f>T23+T25</f>
        <v>184</v>
      </c>
      <c r="X23" s="8" t="s">
        <v>3</v>
      </c>
      <c r="Y23" s="20" t="s">
        <v>3</v>
      </c>
      <c r="Z23" s="119">
        <v>4</v>
      </c>
      <c r="AA23" s="20" t="s">
        <v>5</v>
      </c>
      <c r="AB23" s="123">
        <v>7</v>
      </c>
      <c r="AC23" s="119"/>
      <c r="AD23" s="118"/>
      <c r="AE23" s="20"/>
      <c r="AF23" s="118">
        <v>12</v>
      </c>
      <c r="AG23" s="176">
        <v>1</v>
      </c>
      <c r="AH23" t="s">
        <v>80</v>
      </c>
      <c r="AI23" s="46"/>
      <c r="AJ23" s="55"/>
      <c r="AK23" s="92" t="s">
        <v>12</v>
      </c>
      <c r="AL23" s="92" t="s">
        <v>81</v>
      </c>
      <c r="AM23" t="s">
        <v>74</v>
      </c>
    </row>
    <row r="24" spans="1:39" ht="34" thickBot="1">
      <c r="A24" s="4"/>
      <c r="B24" s="36"/>
      <c r="C24" s="423"/>
      <c r="D24" s="423"/>
      <c r="E24" s="425" t="s">
        <v>303</v>
      </c>
      <c r="F24" s="425"/>
      <c r="G24" s="42"/>
      <c r="H24" s="4"/>
      <c r="I24" s="4"/>
      <c r="J24" s="4"/>
      <c r="K24" s="4"/>
      <c r="N24" s="13" t="s">
        <v>82</v>
      </c>
      <c r="O24" s="13"/>
      <c r="Q24" s="101">
        <f>COUNTIF(B17:AF17,"*國*")</f>
        <v>0</v>
      </c>
      <c r="R24" s="102" t="s">
        <v>233</v>
      </c>
      <c r="S24" s="13"/>
      <c r="T24" s="37">
        <f>((COUNTA(B19:B29))-J21)*Q24</f>
        <v>0</v>
      </c>
      <c r="U24" s="13"/>
      <c r="V24" s="13"/>
      <c r="W24" s="13"/>
      <c r="X24" s="8" t="s">
        <v>23</v>
      </c>
      <c r="Y24" s="20" t="s">
        <v>3</v>
      </c>
      <c r="Z24" s="118">
        <v>4</v>
      </c>
      <c r="AA24" s="20" t="s">
        <v>5</v>
      </c>
      <c r="AB24" s="121">
        <v>6</v>
      </c>
      <c r="AC24" s="118"/>
      <c r="AD24" s="118"/>
      <c r="AE24" s="20"/>
      <c r="AF24" s="118">
        <v>12</v>
      </c>
      <c r="AG24" s="176">
        <v>1</v>
      </c>
      <c r="AH24" t="s">
        <v>85</v>
      </c>
      <c r="AI24" s="46" t="s">
        <v>83</v>
      </c>
      <c r="AJ24" s="104" t="s">
        <v>84</v>
      </c>
      <c r="AK24" s="92" t="s">
        <v>49</v>
      </c>
      <c r="AL24" s="92" t="s">
        <v>86</v>
      </c>
    </row>
    <row r="25" spans="1:39" ht="32.5" thickBot="1">
      <c r="A25" s="4"/>
      <c r="B25" s="36"/>
      <c r="C25" s="423"/>
      <c r="D25" s="423"/>
      <c r="E25" s="425" t="s">
        <v>269</v>
      </c>
      <c r="F25" s="425"/>
      <c r="G25" s="42"/>
      <c r="N25" s="13" t="s">
        <v>88</v>
      </c>
      <c r="P25" s="13"/>
      <c r="T25" s="37">
        <f>(SUMPRODUCT(--(B3:AF3&lt;&gt;""))-COUNTIF(B4:AF4,"日")-COUNTIF(B4:AF4,"6")-Q24)*((COUNTA(B19:B29))-J19)</f>
        <v>132</v>
      </c>
      <c r="U25" s="13"/>
      <c r="V25" s="13"/>
      <c r="W25" s="13"/>
      <c r="X25" s="8" t="s">
        <v>24</v>
      </c>
      <c r="Y25" s="82" t="s">
        <v>5</v>
      </c>
      <c r="Z25" s="82"/>
      <c r="AA25" s="82" t="s">
        <v>5</v>
      </c>
      <c r="AB25" s="82"/>
      <c r="AC25" s="119"/>
      <c r="AD25" s="118"/>
      <c r="AE25" s="20"/>
      <c r="AF25" s="82" t="s">
        <v>5</v>
      </c>
      <c r="AG25" s="82" t="s">
        <v>5</v>
      </c>
      <c r="AH25" t="s">
        <v>205</v>
      </c>
      <c r="AI25" s="56" t="s">
        <v>89</v>
      </c>
      <c r="AJ25" s="104" t="s">
        <v>90</v>
      </c>
      <c r="AK25" s="92" t="s">
        <v>50</v>
      </c>
      <c r="AL25" s="92" t="s">
        <v>92</v>
      </c>
    </row>
    <row r="26" spans="1:39" ht="32.5" thickBot="1">
      <c r="B26" s="36">
        <v>6</v>
      </c>
      <c r="C26" s="423"/>
      <c r="D26" s="423"/>
      <c r="E26" s="425" t="s">
        <v>27</v>
      </c>
      <c r="F26" s="425"/>
      <c r="G26" s="42"/>
      <c r="H26" s="13"/>
      <c r="I26" s="13"/>
      <c r="J26" s="13"/>
      <c r="K26" s="13"/>
      <c r="L26" s="13" t="s">
        <v>93</v>
      </c>
      <c r="M26" s="13"/>
      <c r="O26" s="13"/>
      <c r="P26" s="4"/>
      <c r="Q26" s="57"/>
      <c r="R26" s="17"/>
      <c r="S26" s="21"/>
      <c r="T26" s="430" t="str">
        <f>QUOTIENT(R23,COUNTA(B19:B29))&amp;" ... "&amp;MOD(R23,COUNTA(B19:B29))</f>
        <v>2 ... 6</v>
      </c>
      <c r="U26" s="431"/>
      <c r="V26" s="432"/>
      <c r="X26" s="8" t="s">
        <v>25</v>
      </c>
      <c r="Y26" s="82" t="s">
        <v>5</v>
      </c>
      <c r="Z26" s="82"/>
      <c r="AA26" s="82" t="s">
        <v>5</v>
      </c>
      <c r="AB26" s="82"/>
      <c r="AC26" s="118"/>
      <c r="AD26" s="119"/>
      <c r="AE26" s="20"/>
      <c r="AF26" s="82" t="s">
        <v>5</v>
      </c>
      <c r="AG26" s="82" t="s">
        <v>5</v>
      </c>
      <c r="AH26" t="s">
        <v>211</v>
      </c>
      <c r="AI26" s="46" t="s">
        <v>94</v>
      </c>
      <c r="AJ26" s="104" t="s">
        <v>95</v>
      </c>
      <c r="AK26" s="92" t="s">
        <v>51</v>
      </c>
      <c r="AL26" s="92" t="s">
        <v>98</v>
      </c>
    </row>
    <row r="27" spans="1:39" ht="31">
      <c r="B27" s="36">
        <v>7</v>
      </c>
      <c r="C27" s="423"/>
      <c r="D27" s="423"/>
      <c r="E27" s="439" t="s">
        <v>304</v>
      </c>
      <c r="F27" s="439"/>
      <c r="X27" s="8" t="s">
        <v>11</v>
      </c>
      <c r="Y27" s="20" t="s">
        <v>3</v>
      </c>
      <c r="Z27" s="120">
        <v>5</v>
      </c>
      <c r="AA27" s="20" t="s">
        <v>5</v>
      </c>
      <c r="AB27" s="122">
        <v>6</v>
      </c>
      <c r="AC27" s="119"/>
      <c r="AD27" s="118"/>
      <c r="AE27" s="20"/>
      <c r="AF27" s="118">
        <v>11</v>
      </c>
      <c r="AG27" s="177">
        <v>2</v>
      </c>
      <c r="AH27" t="s">
        <v>214</v>
      </c>
      <c r="AJ27" s="55" t="s">
        <v>307</v>
      </c>
      <c r="AK27" t="s">
        <v>310</v>
      </c>
    </row>
    <row r="28" spans="1:39" ht="31">
      <c r="B28" s="36">
        <v>8</v>
      </c>
      <c r="C28" s="423"/>
      <c r="D28" s="423"/>
      <c r="E28" s="439" t="s">
        <v>305</v>
      </c>
      <c r="F28" s="439"/>
      <c r="M28" s="109"/>
      <c r="N28" s="428" t="s">
        <v>234</v>
      </c>
      <c r="O28" s="428"/>
      <c r="P28" s="428"/>
      <c r="Q28" s="428"/>
      <c r="R28" s="428"/>
      <c r="X28" s="8" t="s">
        <v>307</v>
      </c>
      <c r="Y28" s="20" t="s">
        <v>3</v>
      </c>
      <c r="Z28" s="98">
        <v>1</v>
      </c>
      <c r="AA28" s="20" t="s">
        <v>5</v>
      </c>
      <c r="AB28" s="73">
        <v>2</v>
      </c>
      <c r="AC28" s="73"/>
      <c r="AD28" s="20"/>
      <c r="AH28" t="s">
        <v>215</v>
      </c>
      <c r="AJ28" s="55" t="s">
        <v>308</v>
      </c>
      <c r="AK28" s="181" t="s">
        <v>311</v>
      </c>
    </row>
    <row r="29" spans="1:39" ht="27.75" customHeight="1">
      <c r="B29" s="36">
        <v>9</v>
      </c>
      <c r="C29" s="423"/>
      <c r="D29" s="423"/>
      <c r="E29" s="439" t="s">
        <v>306</v>
      </c>
      <c r="F29" s="439"/>
      <c r="H29" s="59" t="s">
        <v>216</v>
      </c>
      <c r="I29" s="59"/>
      <c r="J29" s="60"/>
      <c r="K29" s="60"/>
      <c r="M29" s="110"/>
      <c r="N29" s="180" t="s">
        <v>253</v>
      </c>
      <c r="O29" s="180"/>
      <c r="P29" s="180"/>
      <c r="Q29" s="180"/>
      <c r="R29" s="180"/>
      <c r="X29" s="8" t="s">
        <v>308</v>
      </c>
      <c r="Y29" s="20" t="s">
        <v>3</v>
      </c>
      <c r="Z29" s="98">
        <v>1</v>
      </c>
      <c r="AA29" s="20" t="s">
        <v>5</v>
      </c>
      <c r="AB29" s="73">
        <v>1</v>
      </c>
      <c r="AC29" s="73"/>
      <c r="AD29" s="20"/>
      <c r="AH29" t="s">
        <v>102</v>
      </c>
      <c r="AJ29" s="55" t="s">
        <v>309</v>
      </c>
      <c r="AK29" s="181" t="s">
        <v>312</v>
      </c>
    </row>
    <row r="30" spans="1:39" ht="31">
      <c r="M30" s="135"/>
      <c r="N30" s="429" t="s">
        <v>257</v>
      </c>
      <c r="O30" s="429"/>
      <c r="P30" s="429"/>
      <c r="Q30" s="429"/>
      <c r="R30" s="429"/>
      <c r="X30" s="8" t="s">
        <v>309</v>
      </c>
      <c r="Y30" s="20" t="s">
        <v>3</v>
      </c>
      <c r="Z30" s="98">
        <v>5</v>
      </c>
      <c r="AA30" s="20" t="s">
        <v>5</v>
      </c>
      <c r="AB30" s="73">
        <v>2</v>
      </c>
      <c r="AC30" s="73"/>
      <c r="AD30" s="20"/>
    </row>
    <row r="31" spans="1:39">
      <c r="Z31">
        <f>SUM(Z20:Z30)</f>
        <v>38</v>
      </c>
      <c r="AB31">
        <f>SUM(AB20:AB30)</f>
        <v>36</v>
      </c>
      <c r="AC31">
        <f>SUM(AC20:AC27)</f>
        <v>0</v>
      </c>
      <c r="AD31">
        <f>SUM(AD20:AD27)</f>
        <v>0</v>
      </c>
    </row>
  </sheetData>
  <mergeCells count="28">
    <mergeCell ref="T26:V26"/>
    <mergeCell ref="C27:D27"/>
    <mergeCell ref="E27:F27"/>
    <mergeCell ref="C28:D28"/>
    <mergeCell ref="E28:F28"/>
    <mergeCell ref="N28:R28"/>
    <mergeCell ref="C26:D26"/>
    <mergeCell ref="E26:F26"/>
    <mergeCell ref="C29:D29"/>
    <mergeCell ref="E29:F29"/>
    <mergeCell ref="N30:R30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  <mergeCell ref="A1:B2"/>
    <mergeCell ref="AG4:AL4"/>
    <mergeCell ref="B18:C18"/>
    <mergeCell ref="C19:D19"/>
    <mergeCell ref="E19:F19"/>
  </mergeCells>
  <phoneticPr fontId="11" type="noConversion"/>
  <conditionalFormatting sqref="AG3">
    <cfRule type="expression" dxfId="835" priority="202" stopIfTrue="1">
      <formula>WEEKDAY(AG$3)=7</formula>
    </cfRule>
    <cfRule type="expression" dxfId="834" priority="203" stopIfTrue="1">
      <formula>WEEKDAY(AG$3)=1</formula>
    </cfRule>
    <cfRule type="expression" dxfId="833" priority="204" stopIfTrue="1">
      <formula>WEEKDAY(AG$3)=7</formula>
    </cfRule>
    <cfRule type="expression" dxfId="832" priority="205" stopIfTrue="1">
      <formula>WEEKDAY(AG$3)=1</formula>
    </cfRule>
  </conditionalFormatting>
  <conditionalFormatting sqref="B3:AF3 AE11:AF12 B15:G15 I15:AB15 AD15:AF15 B13:AF14">
    <cfRule type="expression" dxfId="831" priority="200">
      <formula>WEEKDAY(B$3,2)=7</formula>
    </cfRule>
    <cfRule type="expression" dxfId="830" priority="201">
      <formula>WEEKDAY(B$3,2)=6</formula>
    </cfRule>
  </conditionalFormatting>
  <conditionalFormatting sqref="B4:AF4 AE5:AF5 AF6 AE7:AF9">
    <cfRule type="expression" dxfId="829" priority="198">
      <formula>WEEKDAY(B$3,2)=7</formula>
    </cfRule>
    <cfRule type="expression" dxfId="828" priority="199">
      <formula>WEEKDAY(B$3,2)=6</formula>
    </cfRule>
  </conditionalFormatting>
  <conditionalFormatting sqref="AE5:AF5">
    <cfRule type="expression" dxfId="827" priority="197">
      <formula>SEARCH("X", $A$5) &gt; 0</formula>
    </cfRule>
  </conditionalFormatting>
  <conditionalFormatting sqref="AF6">
    <cfRule type="expression" dxfId="826" priority="196">
      <formula>SEARCH("X", $A$6) &gt; 0</formula>
    </cfRule>
  </conditionalFormatting>
  <conditionalFormatting sqref="AE7:AF7">
    <cfRule type="expression" dxfId="825" priority="195">
      <formula>SEARCH("X", $A$7) &gt; 0</formula>
    </cfRule>
  </conditionalFormatting>
  <conditionalFormatting sqref="AE8:AF8">
    <cfRule type="expression" dxfId="824" priority="194">
      <formula>SEARCH("X", $A$8) &gt; 0</formula>
    </cfRule>
  </conditionalFormatting>
  <conditionalFormatting sqref="AE9:AF9">
    <cfRule type="expression" dxfId="823" priority="193">
      <formula>SEARCH("X", $A$9) &gt; 0</formula>
    </cfRule>
  </conditionalFormatting>
  <conditionalFormatting sqref="AE11:AF11">
    <cfRule type="expression" dxfId="822" priority="192">
      <formula>SEARCH("X", $A$11) &gt; 0</formula>
    </cfRule>
  </conditionalFormatting>
  <conditionalFormatting sqref="AE12:AF12 B15:G15 I15:AB15 AD15:AF15 B13:AF14">
    <cfRule type="expression" dxfId="821" priority="191">
      <formula>SEARCH("X", $A$12) &gt; 0</formula>
    </cfRule>
  </conditionalFormatting>
  <conditionalFormatting sqref="B16:AF16">
    <cfRule type="expression" dxfId="820" priority="190" stopIfTrue="1">
      <formula>(COUNTIF(B$5:B$15,"off")+COUNTIF(B$5:B$15,"護"))&lt;&gt;B$16</formula>
    </cfRule>
  </conditionalFormatting>
  <conditionalFormatting sqref="Z20:Z30">
    <cfRule type="expression" dxfId="819" priority="189" stopIfTrue="1">
      <formula>COUNTIF($B5:$AF5,"D")&lt;&gt;$Z20</formula>
    </cfRule>
  </conditionalFormatting>
  <conditionalFormatting sqref="AB20:AB30">
    <cfRule type="expression" dxfId="818" priority="188" stopIfTrue="1">
      <formula>COUNTIF($B5:$AF5,"N")&lt;&gt;$AB20</formula>
    </cfRule>
  </conditionalFormatting>
  <conditionalFormatting sqref="AE6">
    <cfRule type="expression" dxfId="817" priority="186">
      <formula>WEEKDAY(AE$3,2)=7</formula>
    </cfRule>
    <cfRule type="expression" dxfId="816" priority="187">
      <formula>WEEKDAY(AE$3,2)=6</formula>
    </cfRule>
  </conditionalFormatting>
  <conditionalFormatting sqref="AE6">
    <cfRule type="expression" dxfId="815" priority="185">
      <formula>SEARCH("X", $A$6) &gt; 0</formula>
    </cfRule>
  </conditionalFormatting>
  <conditionalFormatting sqref="AE10:AF10">
    <cfRule type="expression" dxfId="814" priority="183">
      <formula>WEEKDAY(AE$3,2)=7</formula>
    </cfRule>
    <cfRule type="expression" dxfId="813" priority="184">
      <formula>WEEKDAY(AE$3,2)=6</formula>
    </cfRule>
  </conditionalFormatting>
  <conditionalFormatting sqref="AE10:AF10">
    <cfRule type="expression" dxfId="812" priority="182">
      <formula>SEARCH("X", $A$11) &gt; 0</formula>
    </cfRule>
  </conditionalFormatting>
  <conditionalFormatting sqref="B3:AF4 AE5:AF12 B15:G15 I15:AB15 AD15:AF15 B13:AF14">
    <cfRule type="expression" dxfId="811" priority="181" stopIfTrue="1">
      <formula>SEARCH("國", B$17) &gt; 0</formula>
    </cfRule>
  </conditionalFormatting>
  <conditionalFormatting sqref="B11:AD11 AA9:AB9 B12:F12 AD12 X12:AB12 U12:V12 H12:Q12">
    <cfRule type="expression" dxfId="810" priority="179">
      <formula>WEEKDAY(B$3,2)=7</formula>
    </cfRule>
    <cfRule type="expression" dxfId="809" priority="180">
      <formula>WEEKDAY(B$3,2)=6</formula>
    </cfRule>
  </conditionalFormatting>
  <conditionalFormatting sqref="AC5:AD5 B8:N8 B9:D9 AC8:AD8 I6:J6 W6:X6 B5:N5 AA6:AD6 B6:D6 F9:J9 N9:O9 T9:U9 W9:X9 AC9 B7:AD7">
    <cfRule type="expression" dxfId="808" priority="177">
      <formula>WEEKDAY(B$3,2)=7</formula>
    </cfRule>
    <cfRule type="expression" dxfId="807" priority="178">
      <formula>WEEKDAY(B$3,2)=6</formula>
    </cfRule>
  </conditionalFormatting>
  <conditionalFormatting sqref="B5:N5 AC5:AD5">
    <cfRule type="expression" dxfId="806" priority="176">
      <formula>SEARCH("X", $A$5) &gt; 0</formula>
    </cfRule>
  </conditionalFormatting>
  <conditionalFormatting sqref="I6:J6 W6:X6 AA6:AD6 B6:D6">
    <cfRule type="expression" dxfId="805" priority="175">
      <formula>SEARCH("X", $A$6) &gt; 0</formula>
    </cfRule>
  </conditionalFormatting>
  <conditionalFormatting sqref="B7:AD7">
    <cfRule type="expression" dxfId="804" priority="174">
      <formula>SEARCH("X", $A$7) &gt; 0</formula>
    </cfRule>
  </conditionalFormatting>
  <conditionalFormatting sqref="B8:N8 AC8:AD8">
    <cfRule type="expression" dxfId="803" priority="173">
      <formula>SEARCH("X", $A$8) &gt; 0</formula>
    </cfRule>
  </conditionalFormatting>
  <conditionalFormatting sqref="B9:D9 AC9 F9:J9 N9:O9 T9:U9 W9:X9">
    <cfRule type="expression" dxfId="802" priority="172">
      <formula>SEARCH("X", $A$9) &gt; 0</formula>
    </cfRule>
  </conditionalFormatting>
  <conditionalFormatting sqref="B11:AD11">
    <cfRule type="expression" dxfId="801" priority="171">
      <formula>SEARCH("X", $A$11) &gt; 0</formula>
    </cfRule>
  </conditionalFormatting>
  <conditionalFormatting sqref="B12:F12 AD12 X12:AB12 U12:V12 H12:Q12">
    <cfRule type="expression" dxfId="800" priority="170">
      <formula>SEARCH("X", $A$12) &gt; 0</formula>
    </cfRule>
  </conditionalFormatting>
  <conditionalFormatting sqref="O5 Q5:AB5">
    <cfRule type="expression" dxfId="799" priority="168">
      <formula>WEEKDAY(O$3,2)=7</formula>
    </cfRule>
    <cfRule type="expression" dxfId="798" priority="169">
      <formula>WEEKDAY(O$3,2)=6</formula>
    </cfRule>
  </conditionalFormatting>
  <conditionalFormatting sqref="O5 Q5:AB5">
    <cfRule type="expression" dxfId="797" priority="167">
      <formula>SEARCH("X", $A$5) &gt; 0</formula>
    </cfRule>
  </conditionalFormatting>
  <conditionalFormatting sqref="O8:AB8">
    <cfRule type="expression" dxfId="796" priority="165">
      <formula>WEEKDAY(O$3,2)=7</formula>
    </cfRule>
    <cfRule type="expression" dxfId="795" priority="166">
      <formula>WEEKDAY(O$3,2)=6</formula>
    </cfRule>
  </conditionalFormatting>
  <conditionalFormatting sqref="O8:AB8">
    <cfRule type="expression" dxfId="794" priority="164">
      <formula>SEARCH("X", $A$5) &gt; 0</formula>
    </cfRule>
  </conditionalFormatting>
  <conditionalFormatting sqref="P5">
    <cfRule type="expression" dxfId="793" priority="162">
      <formula>WEEKDAY(P$3,2)=7</formula>
    </cfRule>
    <cfRule type="expression" dxfId="792" priority="163">
      <formula>WEEKDAY(P$3,2)=6</formula>
    </cfRule>
  </conditionalFormatting>
  <conditionalFormatting sqref="P5">
    <cfRule type="expression" dxfId="791" priority="161">
      <formula>SEARCH("X", $A$5) &gt; 0</formula>
    </cfRule>
  </conditionalFormatting>
  <conditionalFormatting sqref="H6">
    <cfRule type="expression" dxfId="790" priority="159">
      <formula>WEEKDAY(H$3,2)=7</formula>
    </cfRule>
    <cfRule type="expression" dxfId="789" priority="160">
      <formula>WEEKDAY(H$3,2)=6</formula>
    </cfRule>
  </conditionalFormatting>
  <conditionalFormatting sqref="H6">
    <cfRule type="expression" dxfId="788" priority="158">
      <formula>SEARCH("X", $A$6) &gt; 0</formula>
    </cfRule>
  </conditionalFormatting>
  <conditionalFormatting sqref="O6">
    <cfRule type="expression" dxfId="787" priority="156">
      <formula>WEEKDAY(O$3,2)=7</formula>
    </cfRule>
    <cfRule type="expression" dxfId="786" priority="157">
      <formula>WEEKDAY(O$3,2)=6</formula>
    </cfRule>
  </conditionalFormatting>
  <conditionalFormatting sqref="O6">
    <cfRule type="expression" dxfId="785" priority="155">
      <formula>SEARCH("X", $A$6) &gt; 0</formula>
    </cfRule>
  </conditionalFormatting>
  <conditionalFormatting sqref="AB6:AC6">
    <cfRule type="expression" dxfId="784" priority="150">
      <formula>WEEKDAY(AB$3,2)=7</formula>
    </cfRule>
    <cfRule type="expression" dxfId="783" priority="151">
      <formula>WEEKDAY(AB$3,2)=6</formula>
    </cfRule>
  </conditionalFormatting>
  <conditionalFormatting sqref="AB6:AC6">
    <cfRule type="expression" dxfId="782" priority="149">
      <formula>SEARCH("X", $A$6) &gt; 0</formula>
    </cfRule>
  </conditionalFormatting>
  <conditionalFormatting sqref="D6:E6">
    <cfRule type="expression" dxfId="781" priority="147">
      <formula>WEEKDAY(D$3,2)=7</formula>
    </cfRule>
    <cfRule type="expression" dxfId="780" priority="148">
      <formula>WEEKDAY(D$3,2)=6</formula>
    </cfRule>
  </conditionalFormatting>
  <conditionalFormatting sqref="D6:E6">
    <cfRule type="expression" dxfId="779" priority="146">
      <formula>SEARCH("X", $A$6) &gt; 0</formula>
    </cfRule>
  </conditionalFormatting>
  <conditionalFormatting sqref="K6:L6">
    <cfRule type="expression" dxfId="778" priority="144">
      <formula>WEEKDAY(K$3,2)=7</formula>
    </cfRule>
    <cfRule type="expression" dxfId="777" priority="145">
      <formula>WEEKDAY(K$3,2)=6</formula>
    </cfRule>
  </conditionalFormatting>
  <conditionalFormatting sqref="K6:L6">
    <cfRule type="expression" dxfId="776" priority="143">
      <formula>SEARCH("X", $A$6) &gt; 0</formula>
    </cfRule>
  </conditionalFormatting>
  <conditionalFormatting sqref="Y6:Z6">
    <cfRule type="expression" dxfId="775" priority="138">
      <formula>WEEKDAY(Y$3,2)=7</formula>
    </cfRule>
    <cfRule type="expression" dxfId="774" priority="139">
      <formula>WEEKDAY(Y$3,2)=6</formula>
    </cfRule>
  </conditionalFormatting>
  <conditionalFormatting sqref="Y6:Z6">
    <cfRule type="expression" dxfId="773" priority="137">
      <formula>SEARCH("X", $A$6) &gt; 0</formula>
    </cfRule>
  </conditionalFormatting>
  <conditionalFormatting sqref="F6:G6">
    <cfRule type="expression" dxfId="772" priority="135">
      <formula>WEEKDAY(F$3,2)=7</formula>
    </cfRule>
    <cfRule type="expression" dxfId="771" priority="136">
      <formula>WEEKDAY(F$3,2)=6</formula>
    </cfRule>
  </conditionalFormatting>
  <conditionalFormatting sqref="F6:G6">
    <cfRule type="expression" dxfId="770" priority="134">
      <formula>SEARCH("X", $A$6) &gt; 0</formula>
    </cfRule>
  </conditionalFormatting>
  <conditionalFormatting sqref="M6:N6">
    <cfRule type="expression" dxfId="769" priority="132">
      <formula>WEEKDAY(M$3,2)=7</formula>
    </cfRule>
    <cfRule type="expression" dxfId="768" priority="133">
      <formula>WEEKDAY(M$3,2)=6</formula>
    </cfRule>
  </conditionalFormatting>
  <conditionalFormatting sqref="M6:N6">
    <cfRule type="expression" dxfId="767" priority="131">
      <formula>SEARCH("X", $A$6) &gt; 0</formula>
    </cfRule>
  </conditionalFormatting>
  <conditionalFormatting sqref="B10:AD10">
    <cfRule type="expression" dxfId="766" priority="126">
      <formula>WEEKDAY(B$3,2)=7</formula>
    </cfRule>
    <cfRule type="expression" dxfId="765" priority="127">
      <formula>WEEKDAY(B$3,2)=6</formula>
    </cfRule>
  </conditionalFormatting>
  <conditionalFormatting sqref="B10:AD10">
    <cfRule type="expression" dxfId="764" priority="125">
      <formula>SEARCH("X", $A$11) &gt; 0</formula>
    </cfRule>
  </conditionalFormatting>
  <conditionalFormatting sqref="B12:F12 AD12 X12:AB12 U12:V12 H12:Q12 B10:AD11 B9:D9 F9:J9 N9:O9 T9:U9 W9:X9 AA9:AC9 B5:AD5 W6:AD6 B7:AD8 B6:O6">
    <cfRule type="expression" dxfId="763" priority="124" stopIfTrue="1">
      <formula>SEARCH("國", B$14) &gt; 0</formula>
    </cfRule>
  </conditionalFormatting>
  <conditionalFormatting sqref="AB29">
    <cfRule type="expression" dxfId="762" priority="206" stopIfTrue="1">
      <formula>COUNTIF($B13:$AF13,"N")&lt;&gt;$AB29</formula>
    </cfRule>
  </conditionalFormatting>
  <conditionalFormatting sqref="AB30">
    <cfRule type="expression" dxfId="761" priority="207" stopIfTrue="1">
      <formula>COUNTIF($B13:$AF13,"N")&lt;&gt;$AB30</formula>
    </cfRule>
  </conditionalFormatting>
  <conditionalFormatting sqref="N5">
    <cfRule type="expression" dxfId="760" priority="123">
      <formula>SEARCH("X", $A$7) &gt; 0</formula>
    </cfRule>
  </conditionalFormatting>
  <conditionalFormatting sqref="AC12">
    <cfRule type="expression" dxfId="759" priority="121">
      <formula>WEEKDAY(AC$3,2)=7</formula>
    </cfRule>
    <cfRule type="expression" dxfId="758" priority="122">
      <formula>WEEKDAY(AC$3,2)=6</formula>
    </cfRule>
  </conditionalFormatting>
  <conditionalFormatting sqref="AC12">
    <cfRule type="expression" dxfId="757" priority="120">
      <formula>SEARCH("X", $A$12) &gt; 0</formula>
    </cfRule>
  </conditionalFormatting>
  <conditionalFormatting sqref="AC12">
    <cfRule type="expression" dxfId="756" priority="119" stopIfTrue="1">
      <formula>SEARCH("國", AC$17) &gt; 0</formula>
    </cfRule>
  </conditionalFormatting>
  <conditionalFormatting sqref="W12">
    <cfRule type="expression" dxfId="755" priority="117">
      <formula>WEEKDAY(W$3,2)=7</formula>
    </cfRule>
    <cfRule type="expression" dxfId="754" priority="118">
      <formula>WEEKDAY(W$3,2)=6</formula>
    </cfRule>
  </conditionalFormatting>
  <conditionalFormatting sqref="W12">
    <cfRule type="expression" dxfId="753" priority="116">
      <formula>SEARCH("X", $A$12) &gt; 0</formula>
    </cfRule>
  </conditionalFormatting>
  <conditionalFormatting sqref="W12">
    <cfRule type="expression" dxfId="752" priority="115" stopIfTrue="1">
      <formula>SEARCH("國", W$17) &gt; 0</formula>
    </cfRule>
  </conditionalFormatting>
  <conditionalFormatting sqref="T12">
    <cfRule type="expression" dxfId="751" priority="113">
      <formula>WEEKDAY(T$3,2)=7</formula>
    </cfRule>
    <cfRule type="expression" dxfId="750" priority="114">
      <formula>WEEKDAY(T$3,2)=6</formula>
    </cfRule>
  </conditionalFormatting>
  <conditionalFormatting sqref="T12">
    <cfRule type="expression" dxfId="749" priority="112">
      <formula>SEARCH("X", $A$12) &gt; 0</formula>
    </cfRule>
  </conditionalFormatting>
  <conditionalFormatting sqref="T12">
    <cfRule type="expression" dxfId="748" priority="111" stopIfTrue="1">
      <formula>SEARCH("國", T$17) &gt; 0</formula>
    </cfRule>
  </conditionalFormatting>
  <conditionalFormatting sqref="S12">
    <cfRule type="expression" dxfId="747" priority="109">
      <formula>WEEKDAY(S$3,2)=7</formula>
    </cfRule>
    <cfRule type="expression" dxfId="746" priority="110">
      <formula>WEEKDAY(S$3,2)=6</formula>
    </cfRule>
  </conditionalFormatting>
  <conditionalFormatting sqref="S12">
    <cfRule type="expression" dxfId="745" priority="108">
      <formula>SEARCH("X", $A$12) &gt; 0</formula>
    </cfRule>
  </conditionalFormatting>
  <conditionalFormatting sqref="S12">
    <cfRule type="expression" dxfId="744" priority="107" stopIfTrue="1">
      <formula>SEARCH("國", S$17) &gt; 0</formula>
    </cfRule>
  </conditionalFormatting>
  <conditionalFormatting sqref="R12">
    <cfRule type="expression" dxfId="743" priority="105">
      <formula>WEEKDAY(R$3,2)=7</formula>
    </cfRule>
    <cfRule type="expression" dxfId="742" priority="106">
      <formula>WEEKDAY(R$3,2)=6</formula>
    </cfRule>
  </conditionalFormatting>
  <conditionalFormatting sqref="R12">
    <cfRule type="expression" dxfId="741" priority="104">
      <formula>SEARCH("X", $A$12) &gt; 0</formula>
    </cfRule>
  </conditionalFormatting>
  <conditionalFormatting sqref="R12">
    <cfRule type="expression" dxfId="740" priority="103" stopIfTrue="1">
      <formula>SEARCH("國", R$17) &gt; 0</formula>
    </cfRule>
  </conditionalFormatting>
  <conditionalFormatting sqref="G12">
    <cfRule type="expression" dxfId="739" priority="101">
      <formula>WEEKDAY(G$3,2)=7</formula>
    </cfRule>
    <cfRule type="expression" dxfId="738" priority="102">
      <formula>WEEKDAY(G$3,2)=6</formula>
    </cfRule>
  </conditionalFormatting>
  <conditionalFormatting sqref="G12">
    <cfRule type="expression" dxfId="737" priority="100">
      <formula>SEARCH("X", $A$12) &gt; 0</formula>
    </cfRule>
  </conditionalFormatting>
  <conditionalFormatting sqref="G12">
    <cfRule type="expression" dxfId="736" priority="99" stopIfTrue="1">
      <formula>SEARCH("國", G$17) &gt; 0</formula>
    </cfRule>
  </conditionalFormatting>
  <conditionalFormatting sqref="E9">
    <cfRule type="expression" dxfId="735" priority="97">
      <formula>WEEKDAY(E$3,2)=7</formula>
    </cfRule>
    <cfRule type="expression" dxfId="734" priority="98">
      <formula>WEEKDAY(E$3,2)=6</formula>
    </cfRule>
  </conditionalFormatting>
  <conditionalFormatting sqref="E9">
    <cfRule type="expression" dxfId="733" priority="96">
      <formula>SEARCH("X", $A$12) &gt; 0</formula>
    </cfRule>
  </conditionalFormatting>
  <conditionalFormatting sqref="E9">
    <cfRule type="expression" dxfId="732" priority="95" stopIfTrue="1">
      <formula>SEARCH("國", E$17) &gt; 0</formula>
    </cfRule>
  </conditionalFormatting>
  <conditionalFormatting sqref="K9">
    <cfRule type="expression" dxfId="731" priority="93">
      <formula>WEEKDAY(K$3,2)=7</formula>
    </cfRule>
    <cfRule type="expression" dxfId="730" priority="94">
      <formula>WEEKDAY(K$3,2)=6</formula>
    </cfRule>
  </conditionalFormatting>
  <conditionalFormatting sqref="K9">
    <cfRule type="expression" dxfId="729" priority="92">
      <formula>SEARCH("X", $A$12) &gt; 0</formula>
    </cfRule>
  </conditionalFormatting>
  <conditionalFormatting sqref="K9">
    <cfRule type="expression" dxfId="728" priority="91" stopIfTrue="1">
      <formula>SEARCH("國", K$17) &gt; 0</formula>
    </cfRule>
  </conditionalFormatting>
  <conditionalFormatting sqref="L9">
    <cfRule type="expression" dxfId="727" priority="89">
      <formula>WEEKDAY(L$3,2)=7</formula>
    </cfRule>
    <cfRule type="expression" dxfId="726" priority="90">
      <formula>WEEKDAY(L$3,2)=6</formula>
    </cfRule>
  </conditionalFormatting>
  <conditionalFormatting sqref="L9">
    <cfRule type="expression" dxfId="725" priority="88">
      <formula>SEARCH("X", $A$12) &gt; 0</formula>
    </cfRule>
  </conditionalFormatting>
  <conditionalFormatting sqref="L9">
    <cfRule type="expression" dxfId="724" priority="87" stopIfTrue="1">
      <formula>SEARCH("國", L$17) &gt; 0</formula>
    </cfRule>
  </conditionalFormatting>
  <conditionalFormatting sqref="M9">
    <cfRule type="expression" dxfId="723" priority="85">
      <formula>WEEKDAY(M$3,2)=7</formula>
    </cfRule>
    <cfRule type="expression" dxfId="722" priority="86">
      <formula>WEEKDAY(M$3,2)=6</formula>
    </cfRule>
  </conditionalFormatting>
  <conditionalFormatting sqref="M9">
    <cfRule type="expression" dxfId="721" priority="84">
      <formula>SEARCH("X", $A$12) &gt; 0</formula>
    </cfRule>
  </conditionalFormatting>
  <conditionalFormatting sqref="M9">
    <cfRule type="expression" dxfId="720" priority="83" stopIfTrue="1">
      <formula>SEARCH("國", M$17) &gt; 0</formula>
    </cfRule>
  </conditionalFormatting>
  <conditionalFormatting sqref="P9">
    <cfRule type="expression" dxfId="719" priority="81">
      <formula>WEEKDAY(P$3,2)=7</formula>
    </cfRule>
    <cfRule type="expression" dxfId="718" priority="82">
      <formula>WEEKDAY(P$3,2)=6</formula>
    </cfRule>
  </conditionalFormatting>
  <conditionalFormatting sqref="P9">
    <cfRule type="expression" dxfId="717" priority="80">
      <formula>SEARCH("X", $A$12) &gt; 0</formula>
    </cfRule>
  </conditionalFormatting>
  <conditionalFormatting sqref="P9">
    <cfRule type="expression" dxfId="716" priority="79" stopIfTrue="1">
      <formula>SEARCH("國", P$17) &gt; 0</formula>
    </cfRule>
  </conditionalFormatting>
  <conditionalFormatting sqref="Q9">
    <cfRule type="expression" dxfId="715" priority="77">
      <formula>WEEKDAY(Q$3,2)=7</formula>
    </cfRule>
    <cfRule type="expression" dxfId="714" priority="78">
      <formula>WEEKDAY(Q$3,2)=6</formula>
    </cfRule>
  </conditionalFormatting>
  <conditionalFormatting sqref="Q9">
    <cfRule type="expression" dxfId="713" priority="76">
      <formula>SEARCH("X", $A$12) &gt; 0</formula>
    </cfRule>
  </conditionalFormatting>
  <conditionalFormatting sqref="Q9">
    <cfRule type="expression" dxfId="712" priority="75" stopIfTrue="1">
      <formula>SEARCH("國", Q$17) &gt; 0</formula>
    </cfRule>
  </conditionalFormatting>
  <conditionalFormatting sqref="R9">
    <cfRule type="expression" dxfId="711" priority="73">
      <formula>WEEKDAY(R$3,2)=7</formula>
    </cfRule>
    <cfRule type="expression" dxfId="710" priority="74">
      <formula>WEEKDAY(R$3,2)=6</formula>
    </cfRule>
  </conditionalFormatting>
  <conditionalFormatting sqref="R9">
    <cfRule type="expression" dxfId="709" priority="72">
      <formula>SEARCH("X", $A$12) &gt; 0</formula>
    </cfRule>
  </conditionalFormatting>
  <conditionalFormatting sqref="R9">
    <cfRule type="expression" dxfId="708" priority="71" stopIfTrue="1">
      <formula>SEARCH("國", R$17) &gt; 0</formula>
    </cfRule>
  </conditionalFormatting>
  <conditionalFormatting sqref="S9">
    <cfRule type="expression" dxfId="707" priority="69">
      <formula>WEEKDAY(S$3,2)=7</formula>
    </cfRule>
    <cfRule type="expression" dxfId="706" priority="70">
      <formula>WEEKDAY(S$3,2)=6</formula>
    </cfRule>
  </conditionalFormatting>
  <conditionalFormatting sqref="S9">
    <cfRule type="expression" dxfId="705" priority="68">
      <formula>SEARCH("X", $A$12) &gt; 0</formula>
    </cfRule>
  </conditionalFormatting>
  <conditionalFormatting sqref="S9">
    <cfRule type="expression" dxfId="704" priority="67" stopIfTrue="1">
      <formula>SEARCH("國", S$17) &gt; 0</formula>
    </cfRule>
  </conditionalFormatting>
  <conditionalFormatting sqref="V9">
    <cfRule type="expression" dxfId="703" priority="65">
      <formula>WEEKDAY(V$3,2)=7</formula>
    </cfRule>
    <cfRule type="expression" dxfId="702" priority="66">
      <formula>WEEKDAY(V$3,2)=6</formula>
    </cfRule>
  </conditionalFormatting>
  <conditionalFormatting sqref="V9">
    <cfRule type="expression" dxfId="701" priority="64">
      <formula>SEARCH("X", $A$12) &gt; 0</formula>
    </cfRule>
  </conditionalFormatting>
  <conditionalFormatting sqref="V9">
    <cfRule type="expression" dxfId="700" priority="63" stopIfTrue="1">
      <formula>SEARCH("國", V$17) &gt; 0</formula>
    </cfRule>
  </conditionalFormatting>
  <conditionalFormatting sqref="Y9">
    <cfRule type="expression" dxfId="699" priority="61">
      <formula>WEEKDAY(Y$3,2)=7</formula>
    </cfRule>
    <cfRule type="expression" dxfId="698" priority="62">
      <formula>WEEKDAY(Y$3,2)=6</formula>
    </cfRule>
  </conditionalFormatting>
  <conditionalFormatting sqref="Y9">
    <cfRule type="expression" dxfId="697" priority="60">
      <formula>SEARCH("X", $A$12) &gt; 0</formula>
    </cfRule>
  </conditionalFormatting>
  <conditionalFormatting sqref="Y9">
    <cfRule type="expression" dxfId="696" priority="59" stopIfTrue="1">
      <formula>SEARCH("國", Y$17) &gt; 0</formula>
    </cfRule>
  </conditionalFormatting>
  <conditionalFormatting sqref="Z9">
    <cfRule type="expression" dxfId="695" priority="57">
      <formula>WEEKDAY(Z$3,2)=7</formula>
    </cfRule>
    <cfRule type="expression" dxfId="694" priority="58">
      <formula>WEEKDAY(Z$3,2)=6</formula>
    </cfRule>
  </conditionalFormatting>
  <conditionalFormatting sqref="Z9">
    <cfRule type="expression" dxfId="693" priority="56">
      <formula>SEARCH("X", $A$12) &gt; 0</formula>
    </cfRule>
  </conditionalFormatting>
  <conditionalFormatting sqref="Z9">
    <cfRule type="expression" dxfId="692" priority="55" stopIfTrue="1">
      <formula>SEARCH("國", Z$17) &gt; 0</formula>
    </cfRule>
  </conditionalFormatting>
  <conditionalFormatting sqref="AD9">
    <cfRule type="expression" dxfId="691" priority="53">
      <formula>WEEKDAY(AD$3,2)=7</formula>
    </cfRule>
    <cfRule type="expression" dxfId="690" priority="54">
      <formula>WEEKDAY(AD$3,2)=6</formula>
    </cfRule>
  </conditionalFormatting>
  <conditionalFormatting sqref="AD9">
    <cfRule type="expression" dxfId="689" priority="52">
      <formula>SEARCH("X", $A$12) &gt; 0</formula>
    </cfRule>
  </conditionalFormatting>
  <conditionalFormatting sqref="AD9">
    <cfRule type="expression" dxfId="688" priority="51" stopIfTrue="1">
      <formula>SEARCH("國", AD$17) &gt; 0</formula>
    </cfRule>
  </conditionalFormatting>
  <conditionalFormatting sqref="P6:T6">
    <cfRule type="expression" dxfId="687" priority="49">
      <formula>WEEKDAY(P$3,2)=7</formula>
    </cfRule>
    <cfRule type="expression" dxfId="686" priority="50">
      <formula>WEEKDAY(P$3,2)=6</formula>
    </cfRule>
  </conditionalFormatting>
  <conditionalFormatting sqref="P6:T6">
    <cfRule type="expression" dxfId="685" priority="48">
      <formula>SEARCH("X", $A$12) &gt; 0</formula>
    </cfRule>
  </conditionalFormatting>
  <conditionalFormatting sqref="P6:T6">
    <cfRule type="expression" dxfId="684" priority="47" stopIfTrue="1">
      <formula>SEARCH("國", P$17) &gt; 0</formula>
    </cfRule>
  </conditionalFormatting>
  <conditionalFormatting sqref="U6">
    <cfRule type="expression" dxfId="683" priority="45">
      <formula>WEEKDAY(U$3,2)=7</formula>
    </cfRule>
    <cfRule type="expression" dxfId="682" priority="46">
      <formula>WEEKDAY(U$3,2)=6</formula>
    </cfRule>
  </conditionalFormatting>
  <conditionalFormatting sqref="U6">
    <cfRule type="expression" dxfId="681" priority="44">
      <formula>SEARCH("X", $A$12) &gt; 0</formula>
    </cfRule>
  </conditionalFormatting>
  <conditionalFormatting sqref="U6">
    <cfRule type="expression" dxfId="680" priority="43" stopIfTrue="1">
      <formula>SEARCH("國", U$17) &gt; 0</formula>
    </cfRule>
  </conditionalFormatting>
  <conditionalFormatting sqref="H7">
    <cfRule type="expression" dxfId="679" priority="41">
      <formula>WEEKDAY(H$3,2)=7</formula>
    </cfRule>
    <cfRule type="expression" dxfId="678" priority="42">
      <formula>WEEKDAY(H$3,2)=6</formula>
    </cfRule>
  </conditionalFormatting>
  <conditionalFormatting sqref="H7">
    <cfRule type="expression" dxfId="677" priority="40">
      <formula>SEARCH("X", $A$6) &gt; 0</formula>
    </cfRule>
  </conditionalFormatting>
  <conditionalFormatting sqref="H15">
    <cfRule type="expression" dxfId="676" priority="38">
      <formula>WEEKDAY(H$3,2)=7</formula>
    </cfRule>
    <cfRule type="expression" dxfId="675" priority="39">
      <formula>WEEKDAY(H$3,2)=6</formula>
    </cfRule>
  </conditionalFormatting>
  <conditionalFormatting sqref="H15">
    <cfRule type="expression" dxfId="674" priority="37">
      <formula>SEARCH("X", $A$6) &gt; 0</formula>
    </cfRule>
  </conditionalFormatting>
  <conditionalFormatting sqref="H15">
    <cfRule type="expression" dxfId="673" priority="36" stopIfTrue="1">
      <formula>SEARCH("國", H$14) &gt; 0</formula>
    </cfRule>
  </conditionalFormatting>
  <conditionalFormatting sqref="O6">
    <cfRule type="expression" dxfId="672" priority="34">
      <formula>WEEKDAY(O$3,2)=7</formula>
    </cfRule>
    <cfRule type="expression" dxfId="671" priority="35">
      <formula>WEEKDAY(O$3,2)=6</formula>
    </cfRule>
  </conditionalFormatting>
  <conditionalFormatting sqref="O6">
    <cfRule type="expression" dxfId="670" priority="33">
      <formula>SEARCH("X", $A$6) &gt; 0</formula>
    </cfRule>
  </conditionalFormatting>
  <conditionalFormatting sqref="V6">
    <cfRule type="expression" dxfId="669" priority="31">
      <formula>WEEKDAY(V$3,2)=7</formula>
    </cfRule>
    <cfRule type="expression" dxfId="668" priority="32">
      <formula>WEEKDAY(V$3,2)=6</formula>
    </cfRule>
  </conditionalFormatting>
  <conditionalFormatting sqref="V6">
    <cfRule type="expression" dxfId="667" priority="30">
      <formula>SEARCH("X", $A$6) &gt; 0</formula>
    </cfRule>
  </conditionalFormatting>
  <conditionalFormatting sqref="V6">
    <cfRule type="expression" dxfId="666" priority="29" stopIfTrue="1">
      <formula>SEARCH("國", V$14) &gt; 0</formula>
    </cfRule>
  </conditionalFormatting>
  <conditionalFormatting sqref="AC7">
    <cfRule type="expression" dxfId="665" priority="27">
      <formula>WEEKDAY(AC$3,2)=7</formula>
    </cfRule>
    <cfRule type="expression" dxfId="664" priority="28">
      <formula>WEEKDAY(AC$3,2)=6</formula>
    </cfRule>
  </conditionalFormatting>
  <conditionalFormatting sqref="AC7">
    <cfRule type="expression" dxfId="663" priority="26">
      <formula>SEARCH("X", $A$6) &gt; 0</formula>
    </cfRule>
  </conditionalFormatting>
  <conditionalFormatting sqref="AC15">
    <cfRule type="expression" dxfId="662" priority="24">
      <formula>WEEKDAY(AC$3,2)=7</formula>
    </cfRule>
    <cfRule type="expression" dxfId="661" priority="25">
      <formula>WEEKDAY(AC$3,2)=6</formula>
    </cfRule>
  </conditionalFormatting>
  <conditionalFormatting sqref="AC15">
    <cfRule type="expression" dxfId="660" priority="23">
      <formula>SEARCH("X", $A$6) &gt; 0</formula>
    </cfRule>
  </conditionalFormatting>
  <conditionalFormatting sqref="AC15">
    <cfRule type="expression" dxfId="659" priority="22" stopIfTrue="1">
      <formula>SEARCH("國", AC$14) &gt; 0</formula>
    </cfRule>
  </conditionalFormatting>
  <conditionalFormatting sqref="AC8">
    <cfRule type="expression" dxfId="658" priority="20">
      <formula>WEEKDAY(AC$3,2)=7</formula>
    </cfRule>
    <cfRule type="expression" dxfId="657" priority="21">
      <formula>WEEKDAY(AC$3,2)=6</formula>
    </cfRule>
  </conditionalFormatting>
  <conditionalFormatting sqref="AC8">
    <cfRule type="expression" dxfId="656" priority="19">
      <formula>SEARCH("X", $A$6) &gt; 0</formula>
    </cfRule>
  </conditionalFormatting>
  <conditionalFormatting sqref="V8">
    <cfRule type="expression" dxfId="655" priority="17">
      <formula>WEEKDAY(V$3,2)=7</formula>
    </cfRule>
    <cfRule type="expression" dxfId="654" priority="18">
      <formula>WEEKDAY(V$3,2)=6</formula>
    </cfRule>
  </conditionalFormatting>
  <conditionalFormatting sqref="V8">
    <cfRule type="expression" dxfId="653" priority="16">
      <formula>SEARCH("X", $A$6) &gt; 0</formula>
    </cfRule>
  </conditionalFormatting>
  <conditionalFormatting sqref="O8">
    <cfRule type="expression" dxfId="652" priority="14">
      <formula>WEEKDAY(O$3,2)=7</formula>
    </cfRule>
    <cfRule type="expression" dxfId="651" priority="15">
      <formula>WEEKDAY(O$3,2)=6</formula>
    </cfRule>
  </conditionalFormatting>
  <conditionalFormatting sqref="O8">
    <cfRule type="expression" dxfId="650" priority="13">
      <formula>SEARCH("X", $A$6) &gt; 0</formula>
    </cfRule>
  </conditionalFormatting>
  <conditionalFormatting sqref="V7">
    <cfRule type="expression" dxfId="649" priority="11">
      <formula>WEEKDAY(V$3,2)=7</formula>
    </cfRule>
    <cfRule type="expression" dxfId="648" priority="12">
      <formula>WEEKDAY(V$3,2)=6</formula>
    </cfRule>
  </conditionalFormatting>
  <conditionalFormatting sqref="V7">
    <cfRule type="expression" dxfId="647" priority="10">
      <formula>SEARCH("X", $A$6) &gt; 0</formula>
    </cfRule>
  </conditionalFormatting>
  <conditionalFormatting sqref="O7">
    <cfRule type="expression" dxfId="646" priority="8">
      <formula>WEEKDAY(O$3,2)=7</formula>
    </cfRule>
    <cfRule type="expression" dxfId="645" priority="9">
      <formula>WEEKDAY(O$3,2)=6</formula>
    </cfRule>
  </conditionalFormatting>
  <conditionalFormatting sqref="O7">
    <cfRule type="expression" dxfId="644" priority="7">
      <formula>SEARCH("X", $A$6) &gt; 0</formula>
    </cfRule>
  </conditionalFormatting>
  <conditionalFormatting sqref="B6">
    <cfRule type="expression" dxfId="643" priority="5">
      <formula>WEEKDAY(B$3,2)=7</formula>
    </cfRule>
    <cfRule type="expression" dxfId="642" priority="6">
      <formula>WEEKDAY(B$3,2)=6</formula>
    </cfRule>
  </conditionalFormatting>
  <conditionalFormatting sqref="B6">
    <cfRule type="expression" dxfId="641" priority="4">
      <formula>SEARCH("X", $A$12) &gt; 0</formula>
    </cfRule>
  </conditionalFormatting>
  <conditionalFormatting sqref="C6">
    <cfRule type="expression" dxfId="640" priority="2">
      <formula>WEEKDAY(C$3,2)=7</formula>
    </cfRule>
    <cfRule type="expression" dxfId="639" priority="3">
      <formula>WEEKDAY(C$3,2)=6</formula>
    </cfRule>
  </conditionalFormatting>
  <conditionalFormatting sqref="C6">
    <cfRule type="expression" dxfId="638" priority="1">
      <formula>SEARCH("X", $A$12) &gt; 0</formula>
    </cfRule>
  </conditionalFormatting>
  <dataValidations count="13">
    <dataValidation type="list" allowBlank="1" showInputMessage="1" sqref="V6:V8 Y10:Z12 W5:W11 V10:V12 R10:S11 P10:Q12 G5:G11 E10:E12 N5:O12 F5:F12 E5:E8 U7:U12 K10:M12 K5:M8 H15 P7:S8 Y5:Z8 AC5:AC11 T7:T11 X5:X12 AA5:AB12 AD10:AD12 AD5:AD8 P5:V5 H5:J12 AC15 B5:D12" xr:uid="{2443C5F6-3169-4347-AC6A-741F3C389022}">
      <formula1>$AH$14:$AH$24</formula1>
    </dataValidation>
    <dataValidation type="list" allowBlank="1" showInputMessage="1" showErrorMessage="1" sqref="A12" xr:uid="{E0B8EE80-C6B3-4C8C-A1A6-191F95C5C68D}">
      <formula1>$AI$26:$AJ$26</formula1>
    </dataValidation>
    <dataValidation type="list" allowBlank="1" showInputMessage="1" showErrorMessage="1" sqref="A11" xr:uid="{6B78510F-9971-40E4-A7EB-6FAFDDD0E100}">
      <formula1>$AK$25:$AL$25</formula1>
    </dataValidation>
    <dataValidation type="list" allowBlank="1" showInputMessage="1" showErrorMessage="1" sqref="A5" xr:uid="{DE139DB7-4521-4CAD-9066-5C194E17056C}">
      <formula1>$AK$19:$AL$19</formula1>
    </dataValidation>
    <dataValidation type="list" allowBlank="1" showInputMessage="1" showErrorMessage="1" sqref="A7" xr:uid="{C9918F9A-4FBF-4FD2-A653-101E47B7B8A3}">
      <formula1>$AI$21:$AJ$21</formula1>
    </dataValidation>
    <dataValidation type="list" allowBlank="1" showInputMessage="1" showErrorMessage="1" sqref="A8" xr:uid="{524CCA26-6FB9-4438-94D1-43A851B71B9A}">
      <formula1>$AK$22:$AL$22</formula1>
    </dataValidation>
    <dataValidation type="list" allowBlank="1" showInputMessage="1" showErrorMessage="1" sqref="A6" xr:uid="{C9AE314C-2DEA-4552-91A8-B1CBD67C927D}">
      <formula1>$AI$20:$AJ$20</formula1>
    </dataValidation>
    <dataValidation type="list" allowBlank="1" showInputMessage="1" showErrorMessage="1" sqref="A9" xr:uid="{83C20DB2-9B67-4333-A4AF-A0F000E98FAC}">
      <formula1>$AK$23:$AL$23</formula1>
    </dataValidation>
    <dataValidation type="list" allowBlank="1" showInputMessage="1" showErrorMessage="1" sqref="A10" xr:uid="{E46EDC58-3E8F-4662-A5ED-25184EA434E3}">
      <formula1>$AK$24:$AL$24</formula1>
    </dataValidation>
    <dataValidation type="list" allowBlank="1" showInputMessage="1" sqref="AE5:AF15 AD9 W12 R12:T12 G12 E9 K9:M9 P9:S9 V9 Y9:Z9 H13:H14 B13:G15 P6:U6 AC12:AC14 AD13:AD15 I13:AB15" xr:uid="{E9A6F705-4FB3-4FC7-9E98-C8CC5583F95F}">
      <formula1>$AH$17:$AH$27</formula1>
    </dataValidation>
    <dataValidation type="list" allowBlank="1" showInputMessage="1" showErrorMessage="1" sqref="C19:D29" xr:uid="{826A3B8F-5C01-4BFC-9398-D8AA37A6D772}">
      <formula1>$AM$20:$AM$23</formula1>
    </dataValidation>
    <dataValidation type="list" allowBlank="1" showInputMessage="1" sqref="A16:A17" xr:uid="{D39E0504-92E6-4E2D-96B0-CC4DFAB4F533}">
      <formula1>$AI$26:$AJ$26</formula1>
    </dataValidation>
    <dataValidation type="list" allowBlank="1" showInputMessage="1" showErrorMessage="1" sqref="E19:F26" xr:uid="{9757DB17-8A6F-41B8-B63D-731B07758036}">
      <formula1>$A$5:$A$12</formula1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複製並重命名工作表">
                <anchor moveWithCells="1" sizeWithCells="1">
                  <from>
                    <xdr:col>39</xdr:col>
                    <xdr:colOff>146050</xdr:colOff>
                    <xdr:row>2</xdr:row>
                    <xdr:rowOff>76200</xdr:rowOff>
                  </from>
                  <to>
                    <xdr:col>42</xdr:col>
                    <xdr:colOff>190500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905B2-CE63-4BEF-8242-A4FB4E59F781}">
  <sheetPr codeName="工作表20">
    <pageSetUpPr fitToPage="1"/>
  </sheetPr>
  <dimension ref="A1:CP44"/>
  <sheetViews>
    <sheetView topLeftCell="A24" zoomScale="85" zoomScaleNormal="85" workbookViewId="0">
      <selection activeCell="AF16" sqref="AF16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0.33203125" bestFit="1" customWidth="1"/>
    <col min="50" max="50" width="14.5" bestFit="1" customWidth="1"/>
    <col min="51" max="51" width="21.25" bestFit="1" customWidth="1"/>
    <col min="53" max="53" width="15.58203125" bestFit="1" customWidth="1"/>
    <col min="54" max="55" width="16.5" bestFit="1" customWidth="1"/>
    <col min="56" max="56" width="37" bestFit="1" customWidth="1"/>
    <col min="57" max="57" width="29.5" bestFit="1" customWidth="1"/>
    <col min="58" max="58" width="37" bestFit="1" customWidth="1"/>
    <col min="59" max="59" width="37.08203125" customWidth="1"/>
    <col min="60" max="60" width="26" bestFit="1" customWidth="1"/>
    <col min="62" max="62" width="17.5" bestFit="1" customWidth="1"/>
    <col min="63" max="63" width="14.25" bestFit="1" customWidth="1"/>
    <col min="64" max="64" width="31.25" bestFit="1" customWidth="1"/>
    <col min="65" max="65" width="27.58203125" bestFit="1" customWidth="1"/>
    <col min="66" max="66" width="15.83203125" bestFit="1" customWidth="1"/>
    <col min="67" max="67" width="29.58203125" bestFit="1" customWidth="1"/>
    <col min="68" max="68" width="15.83203125" bestFit="1" customWidth="1"/>
    <col min="69" max="69" width="29.58203125" bestFit="1" customWidth="1"/>
    <col min="70" max="70" width="19.25" bestFit="1" customWidth="1"/>
    <col min="71" max="71" width="29.58203125" bestFit="1" customWidth="1"/>
    <col min="72" max="72" width="23" bestFit="1" customWidth="1"/>
  </cols>
  <sheetData>
    <row r="1" spans="1:94" ht="22.4" customHeight="1">
      <c r="A1" s="380" t="s">
        <v>0</v>
      </c>
      <c r="B1" s="380"/>
      <c r="C1" s="380"/>
      <c r="D1" s="381" t="s">
        <v>409</v>
      </c>
      <c r="E1" s="381"/>
      <c r="F1" s="22"/>
      <c r="G1" s="22"/>
      <c r="H1" s="22"/>
      <c r="I1" s="22"/>
      <c r="J1" s="22"/>
      <c r="L1" s="23"/>
      <c r="M1" s="24"/>
      <c r="N1" s="1"/>
      <c r="O1" s="25"/>
      <c r="P1" s="25"/>
      <c r="Q1" s="25"/>
      <c r="R1" s="25"/>
      <c r="S1" s="25"/>
      <c r="T1" s="382" t="s">
        <v>433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9" t="s">
        <v>393</v>
      </c>
      <c r="AX1" s="259" t="s">
        <v>411</v>
      </c>
      <c r="AY1" s="259" t="s">
        <v>412</v>
      </c>
      <c r="BA1" s="334" t="s">
        <v>392</v>
      </c>
      <c r="BB1" s="259" t="s">
        <v>397</v>
      </c>
      <c r="BC1" s="259" t="s">
        <v>398</v>
      </c>
      <c r="BD1" s="259" t="s">
        <v>399</v>
      </c>
      <c r="BE1" s="259" t="s">
        <v>400</v>
      </c>
      <c r="BF1" s="259" t="s">
        <v>416</v>
      </c>
      <c r="BG1" s="259" t="s">
        <v>401</v>
      </c>
      <c r="BH1" s="259" t="s">
        <v>402</v>
      </c>
    </row>
    <row r="2" spans="1:94" ht="22.4" customHeight="1">
      <c r="A2" s="380"/>
      <c r="B2" s="380"/>
      <c r="C2" s="380"/>
      <c r="D2" s="381" t="s">
        <v>410</v>
      </c>
      <c r="E2" s="381"/>
      <c r="G2" s="27">
        <v>2025</v>
      </c>
      <c r="H2" s="27" t="str">
        <f>"("&amp;YEAR(C4)-1911&amp;" 年 "&amp;")"</f>
        <v>(114 年 )</v>
      </c>
      <c r="I2" s="22"/>
      <c r="J2" s="23">
        <v>11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9" t="s">
        <v>292</v>
      </c>
      <c r="AX2" s="259">
        <v>1</v>
      </c>
      <c r="AY2" s="259">
        <v>2</v>
      </c>
      <c r="BA2" s="259" t="s">
        <v>396</v>
      </c>
      <c r="BB2" s="259">
        <f>DAY(EOMONTH(C4,0))</f>
        <v>30</v>
      </c>
      <c r="BC2" s="259">
        <f>DAY(EOMONTH(C4,0))</f>
        <v>30</v>
      </c>
      <c r="BD2" s="259" t="str">
        <f>IF(ISBLANK(AY2),COUNTIF(C5:AG5,"6")*(COUNTA(BJ6:BJ17)-AX5-COUNTA(BL6:BL17)),"手動輸入星期6天數於下方空格")</f>
        <v>手動輸入星期6天數於下方空格</v>
      </c>
      <c r="BE2" s="259">
        <f>COUNTIF(C5:AG5,"日")*((COUNTA(BJ6:BJ17))-AX4-AX3-COUNTA(AX14BE4:BL6:BL17))</f>
        <v>30</v>
      </c>
      <c r="BF2" s="259" t="str">
        <f t="array" ref="BF2">IF(ISBLANK(AY2),(SUMPRODUCT(--(C4:AG4&lt;&gt;""))-COUNTIF(C5:AG5,"日")-COUNTIF(C5:AG5,"6")-BH2)*((COUNTA(BJ6:BJ17))-AX5-COUNTA(BL6:BL17)),"手動計算平日OFF填入下方空格")</f>
        <v>手動計算平日OFF填入下方空格</v>
      </c>
      <c r="BG2" s="259">
        <f t="array" ref="BG2">IF(ISBLANK(AY2),COUNTIF(C5:AG5,"6")*(COUNTA(BJ6:BJ17)-AX5-COUNTA(BL6:BL17)),BD3)+BE2+BH2+IF(ISBLANK(AY2),((SUMPRODUCT(--(C4:AG4&lt;&gt;""))-COUNTIF(C5:AG5,"日")-COUNTIF(C5:AG5,"6")-BH2)*((COUNTA(BJ6:BJ17))-AX5-COUNTA(BL6:BL17))),BF3)</f>
        <v>143</v>
      </c>
      <c r="BH2" s="259">
        <f>COUNTIF(C19:AG19,"*國*")</f>
        <v>0</v>
      </c>
    </row>
    <row r="3" spans="1:94" ht="20.25" customHeight="1">
      <c r="A3" s="346" t="s">
        <v>414</v>
      </c>
      <c r="B3" s="346" t="s">
        <v>418</v>
      </c>
      <c r="C3" s="321"/>
      <c r="D3" s="322"/>
      <c r="E3" s="322"/>
      <c r="F3" s="174"/>
      <c r="G3" s="323"/>
      <c r="H3" s="324"/>
      <c r="I3" s="324"/>
      <c r="J3" s="325"/>
      <c r="K3" s="326"/>
      <c r="L3" s="326"/>
      <c r="M3" s="327"/>
      <c r="N3" s="322"/>
      <c r="O3" s="328"/>
      <c r="P3" s="328"/>
      <c r="Q3" s="329" t="s">
        <v>291</v>
      </c>
      <c r="R3" s="328"/>
      <c r="S3" s="328"/>
      <c r="T3" s="330"/>
      <c r="U3" s="331"/>
      <c r="V3" s="330"/>
      <c r="W3" s="323"/>
      <c r="X3" s="332"/>
      <c r="Y3" s="332"/>
      <c r="Z3" s="332"/>
      <c r="AA3" s="332"/>
      <c r="AB3" s="332"/>
      <c r="AC3" s="332"/>
      <c r="AD3" s="332"/>
      <c r="AE3" s="332"/>
      <c r="AF3" s="174"/>
      <c r="AG3" s="333"/>
      <c r="AH3" s="174"/>
      <c r="AI3" s="174"/>
      <c r="AJ3" s="174"/>
      <c r="AK3" s="174"/>
      <c r="AL3" s="174"/>
      <c r="AM3" s="174"/>
      <c r="AN3" s="174"/>
      <c r="AO3" s="174"/>
      <c r="AP3" s="174"/>
      <c r="AW3" s="259" t="s">
        <v>394</v>
      </c>
      <c r="AX3" s="259">
        <v>1</v>
      </c>
      <c r="AY3" s="259">
        <v>1</v>
      </c>
      <c r="BA3" s="259"/>
      <c r="BB3" s="259"/>
      <c r="BC3" s="259"/>
      <c r="BD3" s="259">
        <v>23</v>
      </c>
      <c r="BE3" s="259"/>
      <c r="BF3" s="259">
        <v>90</v>
      </c>
      <c r="BG3" s="259"/>
      <c r="BH3" s="259"/>
      <c r="BW3" s="13"/>
    </row>
    <row r="4" spans="1:94" ht="20.25" customHeight="1">
      <c r="A4" s="19" t="s">
        <v>1</v>
      </c>
      <c r="B4" s="19"/>
      <c r="C4" s="30">
        <f>DATE($G$2,$J$2,1)</f>
        <v>45962</v>
      </c>
      <c r="D4" s="30">
        <f>C4+1</f>
        <v>45963</v>
      </c>
      <c r="E4" s="30">
        <f t="shared" ref="E4:AC4" si="0">D4+1</f>
        <v>45964</v>
      </c>
      <c r="F4" s="30">
        <f t="shared" si="0"/>
        <v>45965</v>
      </c>
      <c r="G4" s="30">
        <f t="shared" si="0"/>
        <v>45966</v>
      </c>
      <c r="H4" s="30">
        <f t="shared" si="0"/>
        <v>45967</v>
      </c>
      <c r="I4" s="30">
        <f t="shared" si="0"/>
        <v>45968</v>
      </c>
      <c r="J4" s="30">
        <f t="shared" si="0"/>
        <v>45969</v>
      </c>
      <c r="K4" s="30">
        <f t="shared" si="0"/>
        <v>45970</v>
      </c>
      <c r="L4" s="30">
        <f t="shared" si="0"/>
        <v>45971</v>
      </c>
      <c r="M4" s="30">
        <f t="shared" si="0"/>
        <v>45972</v>
      </c>
      <c r="N4" s="30">
        <f t="shared" si="0"/>
        <v>45973</v>
      </c>
      <c r="O4" s="30">
        <f t="shared" si="0"/>
        <v>45974</v>
      </c>
      <c r="P4" s="30">
        <f t="shared" si="0"/>
        <v>45975</v>
      </c>
      <c r="Q4" s="30">
        <f t="shared" si="0"/>
        <v>45976</v>
      </c>
      <c r="R4" s="30">
        <f t="shared" si="0"/>
        <v>45977</v>
      </c>
      <c r="S4" s="30">
        <f t="shared" si="0"/>
        <v>45978</v>
      </c>
      <c r="T4" s="30">
        <f t="shared" si="0"/>
        <v>45979</v>
      </c>
      <c r="U4" s="30">
        <f t="shared" si="0"/>
        <v>45980</v>
      </c>
      <c r="V4" s="30">
        <f t="shared" si="0"/>
        <v>45981</v>
      </c>
      <c r="W4" s="30">
        <f t="shared" si="0"/>
        <v>45982</v>
      </c>
      <c r="X4" s="30">
        <f t="shared" si="0"/>
        <v>45983</v>
      </c>
      <c r="Y4" s="30">
        <f t="shared" si="0"/>
        <v>45984</v>
      </c>
      <c r="Z4" s="30">
        <f t="shared" si="0"/>
        <v>45985</v>
      </c>
      <c r="AA4" s="30">
        <f t="shared" si="0"/>
        <v>45986</v>
      </c>
      <c r="AB4" s="30">
        <f t="shared" si="0"/>
        <v>45987</v>
      </c>
      <c r="AC4" s="30">
        <f t="shared" si="0"/>
        <v>45988</v>
      </c>
      <c r="AD4" s="30">
        <f>IFERROR(IF(MONTH(AC4+1)=$J$2,AC4+1,""),"")</f>
        <v>45989</v>
      </c>
      <c r="AE4" s="30">
        <f>IFERROR(IF(MONTH(AD4+1)=$J$2,AD4+1,""),"")</f>
        <v>45990</v>
      </c>
      <c r="AF4" s="30">
        <f>IFERROR(IF(MONTH(AE4+1)=$J$2,AE4+1,""),"")</f>
        <v>45991</v>
      </c>
      <c r="AG4" s="30" t="str">
        <f>IFERROR(IF(MONTH(AF4+1)=$J$2,AF4+1,""),"")</f>
        <v/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t="s">
        <v>392</v>
      </c>
      <c r="AS4" t="s">
        <v>429</v>
      </c>
      <c r="AT4" t="s">
        <v>430</v>
      </c>
      <c r="AU4" t="s">
        <v>431</v>
      </c>
      <c r="AW4" s="259" t="s">
        <v>395</v>
      </c>
      <c r="AX4" s="259">
        <v>1</v>
      </c>
      <c r="AY4" s="259">
        <v>1</v>
      </c>
      <c r="BA4" s="259" t="s">
        <v>403</v>
      </c>
      <c r="BB4" s="259" t="str">
        <f>QUOTIENT((COUNTA(C4:AG4)-COUNTIF(AE4:AG4,"")),COUNTA(BJ6:BJ15)-COUNTA(BL6:BL17))&amp;" ... "&amp;MOD((COUNTA(C4:AG4)-COUNTIF(AE4:AG4,"")),COUNTA(BJ6:BJ15)-COUNTA(BL6:BL17))</f>
        <v>4 ... 2</v>
      </c>
      <c r="BC4" s="259" t="str">
        <f>QUOTIENT((COUNTA(C4:AG4)-COUNTIF(AE4:AG4,"")),COUNTA(BJ6:BJ15)-COUNTA(BL6:BL17))&amp;" ... "&amp;MOD((COUNTA(C4:AG4)-COUNTIF(AE4:AG4,"")),COUNTA(BJ6:BJ15)-COUNTA(BL6:BL17))</f>
        <v>4 ... 2</v>
      </c>
      <c r="BD4" s="259"/>
      <c r="BE4" s="259"/>
      <c r="BF4" s="259"/>
      <c r="BG4" s="259" t="str">
        <f>QUOTIENT(BG2,COUNTA(BJ6:BJ17)-COUNTA(BL6:BL17))&amp;" ... "&amp;MOD(BG2,COUNTA(BJ6:BJ17)-COUNTA(BL6:BL17))</f>
        <v>17 ... 7</v>
      </c>
      <c r="BH4" s="259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1">IFERROR(IF(WEEKDAY(C4,2)=7,"日",WEEKDAY(C4,2)),"")</f>
        <v>6</v>
      </c>
      <c r="D5" s="31" t="str">
        <f>IFERROR(IF(WEEKDAY(D4,2)=7,"日",WEEKDAY(D4,2)),"")</f>
        <v>日</v>
      </c>
      <c r="E5" s="31">
        <f t="shared" si="1"/>
        <v>1</v>
      </c>
      <c r="F5" s="31">
        <f t="shared" si="1"/>
        <v>2</v>
      </c>
      <c r="G5" s="31">
        <f t="shared" si="1"/>
        <v>3</v>
      </c>
      <c r="H5" s="31">
        <f t="shared" si="1"/>
        <v>4</v>
      </c>
      <c r="I5" s="31">
        <f t="shared" si="1"/>
        <v>5</v>
      </c>
      <c r="J5" s="31">
        <f t="shared" si="1"/>
        <v>6</v>
      </c>
      <c r="K5" s="31" t="str">
        <f t="shared" si="1"/>
        <v>日</v>
      </c>
      <c r="L5" s="31">
        <f t="shared" si="1"/>
        <v>1</v>
      </c>
      <c r="M5" s="31">
        <f t="shared" si="1"/>
        <v>2</v>
      </c>
      <c r="N5" s="31">
        <f t="shared" si="1"/>
        <v>3</v>
      </c>
      <c r="O5" s="31">
        <f t="shared" si="1"/>
        <v>4</v>
      </c>
      <c r="P5" s="31">
        <f t="shared" si="1"/>
        <v>5</v>
      </c>
      <c r="Q5" s="31">
        <f t="shared" si="1"/>
        <v>6</v>
      </c>
      <c r="R5" s="31" t="str">
        <f t="shared" si="1"/>
        <v>日</v>
      </c>
      <c r="S5" s="31">
        <f t="shared" si="1"/>
        <v>1</v>
      </c>
      <c r="T5" s="31">
        <f t="shared" si="1"/>
        <v>2</v>
      </c>
      <c r="U5" s="31">
        <f t="shared" si="1"/>
        <v>3</v>
      </c>
      <c r="V5" s="31">
        <f t="shared" si="1"/>
        <v>4</v>
      </c>
      <c r="W5" s="31">
        <f t="shared" si="1"/>
        <v>5</v>
      </c>
      <c r="X5" s="31">
        <f t="shared" si="1"/>
        <v>6</v>
      </c>
      <c r="Y5" s="31" t="str">
        <f t="shared" si="1"/>
        <v>日</v>
      </c>
      <c r="Z5" s="31">
        <f t="shared" si="1"/>
        <v>1</v>
      </c>
      <c r="AA5" s="31">
        <f t="shared" si="1"/>
        <v>2</v>
      </c>
      <c r="AB5" s="31">
        <f t="shared" si="1"/>
        <v>3</v>
      </c>
      <c r="AC5" s="31">
        <f t="shared" si="1"/>
        <v>4</v>
      </c>
      <c r="AD5" s="31">
        <f t="shared" si="1"/>
        <v>5</v>
      </c>
      <c r="AE5" s="31">
        <f t="shared" si="1"/>
        <v>6</v>
      </c>
      <c r="AF5" s="31" t="str">
        <f t="shared" si="1"/>
        <v>日</v>
      </c>
      <c r="AG5" s="31" t="str">
        <f t="shared" si="1"/>
        <v/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t="s">
        <v>3</v>
      </c>
      <c r="AS5" t="s">
        <v>5</v>
      </c>
      <c r="AT5" t="s">
        <v>4</v>
      </c>
      <c r="AU5" t="s">
        <v>432</v>
      </c>
      <c r="AW5" s="259"/>
      <c r="AX5" s="259">
        <f>SUBTOTAL(109,AX2:AX4)</f>
        <v>3</v>
      </c>
      <c r="AY5" s="259">
        <f>SUBTOTAL(109,AY2:AY4)</f>
        <v>4</v>
      </c>
      <c r="BJ5" s="91" t="s">
        <v>385</v>
      </c>
      <c r="BK5" s="91" t="s">
        <v>417</v>
      </c>
      <c r="BL5" s="91" t="s">
        <v>387</v>
      </c>
      <c r="BM5" s="91" t="s">
        <v>424</v>
      </c>
      <c r="BN5" s="91" t="s">
        <v>420</v>
      </c>
      <c r="BO5" s="91" t="s">
        <v>425</v>
      </c>
      <c r="BP5" s="341" t="s">
        <v>421</v>
      </c>
      <c r="BQ5" s="341" t="s">
        <v>426</v>
      </c>
      <c r="BR5" s="91" t="s">
        <v>422</v>
      </c>
      <c r="BS5" s="91" t="s">
        <v>427</v>
      </c>
      <c r="BT5" s="342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">
        <v>45</v>
      </c>
      <c r="B6" s="338"/>
      <c r="C6" s="88" t="s">
        <v>7</v>
      </c>
      <c r="D6" s="88" t="s">
        <v>4</v>
      </c>
      <c r="E6" s="62" t="s">
        <v>4</v>
      </c>
      <c r="F6" s="62" t="s">
        <v>3</v>
      </c>
      <c r="G6" s="62" t="s">
        <v>4</v>
      </c>
      <c r="H6" s="33" t="s">
        <v>4</v>
      </c>
      <c r="I6" s="33" t="s">
        <v>4</v>
      </c>
      <c r="J6" s="62" t="s">
        <v>4</v>
      </c>
      <c r="K6" s="88" t="s">
        <v>4</v>
      </c>
      <c r="L6" s="33" t="s">
        <v>4</v>
      </c>
      <c r="M6" s="33" t="s">
        <v>2</v>
      </c>
      <c r="N6" s="33" t="s">
        <v>2</v>
      </c>
      <c r="O6" s="62" t="s">
        <v>4</v>
      </c>
      <c r="P6" s="62" t="s">
        <v>6</v>
      </c>
      <c r="Q6" s="88" t="s">
        <v>2</v>
      </c>
      <c r="R6" s="88" t="s">
        <v>4</v>
      </c>
      <c r="S6" s="62" t="s">
        <v>6</v>
      </c>
      <c r="T6" s="62" t="s">
        <v>6</v>
      </c>
      <c r="U6" s="62" t="s">
        <v>6</v>
      </c>
      <c r="V6" s="33" t="s">
        <v>2</v>
      </c>
      <c r="W6" s="33" t="s">
        <v>4</v>
      </c>
      <c r="X6" s="88"/>
      <c r="Y6" s="319" t="s">
        <v>2</v>
      </c>
      <c r="Z6" s="33"/>
      <c r="AA6" s="33"/>
      <c r="AB6" s="88" t="s">
        <v>3</v>
      </c>
      <c r="AC6" s="33" t="s">
        <v>4</v>
      </c>
      <c r="AD6" s="33" t="s">
        <v>2</v>
      </c>
      <c r="AE6" s="88"/>
      <c r="AF6" s="319" t="s">
        <v>7</v>
      </c>
      <c r="AG6" s="88"/>
      <c r="AH6" s="3">
        <f>(AI6*12)+(AJ6*12)+(AL6*8)+(AM6*4)</f>
        <v>128</v>
      </c>
      <c r="AI6" s="3">
        <f t="shared" ref="AI6:AI15" si="2">COUNTIF(C6:AG6,"D")</f>
        <v>4</v>
      </c>
      <c r="AJ6" s="3">
        <f t="shared" ref="AJ6:AJ15" si="3">COUNTIF(C6:AG6,"N")</f>
        <v>4</v>
      </c>
      <c r="AK6" s="3">
        <f t="shared" ref="AK6:AK15" si="4">COUNTIF(C6:AG6,"OFF")+COUNTIF(C6:AG6,"上課")</f>
        <v>18</v>
      </c>
      <c r="AL6" s="3">
        <f t="shared" ref="AL6:AL15" si="5">COUNTIF(C6:AG6,"")-AM6+COUNTIF(C6:AG6,"h3")</f>
        <v>3</v>
      </c>
      <c r="AM6" s="3">
        <f t="shared" ref="AM6:AM15" si="6">COUNTIFS($C$5:$AG$5,"6",C6:AG6,"")+COUNTIF(C6:AG6,"h3")</f>
        <v>2</v>
      </c>
      <c r="AN6" s="3">
        <f t="array" ref="AN6">SUMPRODUCT(($C$5:$AG$5=6)*(C6:AG6="off"))</f>
        <v>2</v>
      </c>
      <c r="AO6" s="3" t="s">
        <v>404</v>
      </c>
      <c r="AP6" s="3" t="s">
        <v>56</v>
      </c>
      <c r="AQ6" s="12"/>
      <c r="AR6" s="12">
        <f>BN6</f>
        <v>4</v>
      </c>
      <c r="AS6" s="12">
        <f>BP6</f>
        <v>4</v>
      </c>
      <c r="AT6" s="12">
        <f>BR6</f>
        <v>18</v>
      </c>
      <c r="AU6" s="12">
        <f>BT6</f>
        <v>3</v>
      </c>
      <c r="AV6" s="91"/>
      <c r="BJ6" s="91" t="s">
        <v>384</v>
      </c>
      <c r="BK6" s="91" t="s">
        <v>45</v>
      </c>
      <c r="BL6" s="91"/>
      <c r="BM6" s="91"/>
      <c r="BN6" s="91">
        <v>4</v>
      </c>
      <c r="BO6" s="91"/>
      <c r="BP6" s="91">
        <v>4</v>
      </c>
      <c r="BQ6" s="91"/>
      <c r="BR6" s="91">
        <v>18</v>
      </c>
      <c r="BS6" s="91" t="s">
        <v>386</v>
      </c>
      <c r="BT6" s="91">
        <v>3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">
        <v>415</v>
      </c>
      <c r="B7" s="6"/>
      <c r="C7" s="88" t="s">
        <v>4</v>
      </c>
      <c r="D7" s="88" t="s">
        <v>4</v>
      </c>
      <c r="E7" s="88" t="s">
        <v>3</v>
      </c>
      <c r="F7" s="88" t="s">
        <v>4</v>
      </c>
      <c r="G7" s="62" t="s">
        <v>4</v>
      </c>
      <c r="H7" s="88" t="s">
        <v>4</v>
      </c>
      <c r="I7" s="88"/>
      <c r="J7" s="88" t="s">
        <v>7</v>
      </c>
      <c r="K7" s="88" t="s">
        <v>4</v>
      </c>
      <c r="L7" s="88" t="s">
        <v>6</v>
      </c>
      <c r="M7" s="88" t="s">
        <v>5</v>
      </c>
      <c r="N7" s="88" t="s">
        <v>2</v>
      </c>
      <c r="O7" s="88"/>
      <c r="P7" s="33" t="s">
        <v>4</v>
      </c>
      <c r="Q7" s="88" t="s">
        <v>4</v>
      </c>
      <c r="R7" s="88" t="s">
        <v>4</v>
      </c>
      <c r="S7" s="88"/>
      <c r="T7" s="88" t="s">
        <v>2</v>
      </c>
      <c r="U7" s="62" t="s">
        <v>4</v>
      </c>
      <c r="V7" s="62" t="s">
        <v>4</v>
      </c>
      <c r="W7" s="62" t="s">
        <v>4</v>
      </c>
      <c r="X7" s="33" t="s">
        <v>4</v>
      </c>
      <c r="Y7" s="319" t="s">
        <v>7</v>
      </c>
      <c r="Z7" s="62" t="s">
        <v>6</v>
      </c>
      <c r="AA7" s="62" t="s">
        <v>6</v>
      </c>
      <c r="AB7" s="88" t="s">
        <v>2</v>
      </c>
      <c r="AC7" s="88" t="s">
        <v>4</v>
      </c>
      <c r="AD7" s="88" t="s">
        <v>3</v>
      </c>
      <c r="AE7" s="88"/>
      <c r="AF7" s="319" t="s">
        <v>2</v>
      </c>
      <c r="AG7" s="33"/>
      <c r="AH7" s="3">
        <f>(AI7*12)+(AJ7*12)+(AL7*8)+(AM7*4)</f>
        <v>132</v>
      </c>
      <c r="AI7" s="3">
        <f t="shared" si="2"/>
        <v>4</v>
      </c>
      <c r="AJ7" s="3">
        <f t="shared" si="3"/>
        <v>4</v>
      </c>
      <c r="AK7" s="3">
        <f t="shared" si="4"/>
        <v>18</v>
      </c>
      <c r="AL7" s="3">
        <f t="shared" si="5"/>
        <v>4</v>
      </c>
      <c r="AM7" s="3">
        <f t="shared" si="6"/>
        <v>1</v>
      </c>
      <c r="AN7" s="3">
        <f t="array" ref="AN7">SUMPRODUCT(($C$5:$AG$5=6)*(C7:AG7="off"))</f>
        <v>3</v>
      </c>
      <c r="AO7" s="3" t="s">
        <v>406</v>
      </c>
      <c r="AP7" s="3" t="s">
        <v>84</v>
      </c>
      <c r="AQ7" s="12"/>
      <c r="AR7" s="12">
        <f t="shared" ref="AR7:AR17" si="7">BN7</f>
        <v>4</v>
      </c>
      <c r="AS7" s="12">
        <f t="shared" ref="AS7:AS16" si="8">BP7</f>
        <v>4</v>
      </c>
      <c r="AT7" s="12">
        <f t="shared" ref="AT7:AT17" si="9">BR7</f>
        <v>18</v>
      </c>
      <c r="AU7" s="12">
        <f t="shared" ref="AU7:AU16" si="10">BT7</f>
        <v>3</v>
      </c>
      <c r="BJ7" s="91" t="s">
        <v>384</v>
      </c>
      <c r="BK7" s="91" t="s">
        <v>415</v>
      </c>
      <c r="BL7" s="91"/>
      <c r="BM7" s="91"/>
      <c r="BN7" s="91">
        <v>4</v>
      </c>
      <c r="BO7" s="91" t="s">
        <v>419</v>
      </c>
      <c r="BP7" s="91">
        <v>4</v>
      </c>
      <c r="BQ7" s="91"/>
      <c r="BR7" s="91">
        <v>18</v>
      </c>
      <c r="BS7" s="91"/>
      <c r="BT7" s="91">
        <v>3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">
        <v>46</v>
      </c>
      <c r="B8" s="6"/>
      <c r="C8" s="83" t="s">
        <v>6</v>
      </c>
      <c r="D8" s="83" t="s">
        <v>6</v>
      </c>
      <c r="E8" s="88" t="s">
        <v>2</v>
      </c>
      <c r="F8" s="88"/>
      <c r="G8" s="88" t="s">
        <v>3</v>
      </c>
      <c r="H8" s="88" t="s">
        <v>4</v>
      </c>
      <c r="I8" s="88" t="s">
        <v>4</v>
      </c>
      <c r="J8" s="88" t="s">
        <v>4</v>
      </c>
      <c r="K8" s="88" t="s">
        <v>4</v>
      </c>
      <c r="L8" s="33" t="s">
        <v>293</v>
      </c>
      <c r="M8" s="33" t="s">
        <v>2</v>
      </c>
      <c r="N8" s="33" t="s">
        <v>293</v>
      </c>
      <c r="O8" s="88" t="s">
        <v>3</v>
      </c>
      <c r="P8" s="33" t="s">
        <v>4</v>
      </c>
      <c r="Q8" s="83" t="s">
        <v>7</v>
      </c>
      <c r="R8" s="33" t="s">
        <v>2</v>
      </c>
      <c r="S8" s="33" t="s">
        <v>293</v>
      </c>
      <c r="T8" s="62"/>
      <c r="U8" s="62" t="s">
        <v>4</v>
      </c>
      <c r="V8" s="33"/>
      <c r="W8" s="62" t="s">
        <v>3</v>
      </c>
      <c r="X8" s="62" t="s">
        <v>2</v>
      </c>
      <c r="Y8" s="33" t="s">
        <v>2</v>
      </c>
      <c r="Z8" s="33" t="s">
        <v>2</v>
      </c>
      <c r="AA8" s="62" t="s">
        <v>4</v>
      </c>
      <c r="AB8" s="62"/>
      <c r="AC8" s="33"/>
      <c r="AD8" s="88" t="s">
        <v>6</v>
      </c>
      <c r="AE8" s="88" t="s">
        <v>2</v>
      </c>
      <c r="AF8" s="33" t="s">
        <v>2</v>
      </c>
      <c r="AG8" s="88"/>
      <c r="AH8" s="3">
        <f>(AI8*12)+(AJ8*12)+(AL8*8)+(AM8*4)</f>
        <v>132</v>
      </c>
      <c r="AI8" s="3">
        <f t="shared" si="2"/>
        <v>4</v>
      </c>
      <c r="AJ8" s="3">
        <f t="shared" si="3"/>
        <v>3</v>
      </c>
      <c r="AK8" s="3">
        <f t="shared" si="4"/>
        <v>18</v>
      </c>
      <c r="AL8" s="3">
        <f t="shared" si="5"/>
        <v>6</v>
      </c>
      <c r="AM8" s="3">
        <f t="shared" si="6"/>
        <v>0</v>
      </c>
      <c r="AN8" s="3">
        <f t="array" ref="AN8">SUMPRODUCT(($C$5:$AG$5=6)*(C8:AG8="off"))</f>
        <v>3</v>
      </c>
      <c r="AO8" s="3" t="s">
        <v>407</v>
      </c>
      <c r="AP8" s="3" t="s">
        <v>90</v>
      </c>
      <c r="AQ8" s="12"/>
      <c r="AR8" s="12">
        <f t="shared" si="7"/>
        <v>4</v>
      </c>
      <c r="AS8" s="12">
        <f t="shared" si="8"/>
        <v>3</v>
      </c>
      <c r="AT8" s="12">
        <f t="shared" si="9"/>
        <v>18</v>
      </c>
      <c r="AU8" s="12">
        <f t="shared" si="10"/>
        <v>3</v>
      </c>
      <c r="BJ8" s="91" t="s">
        <v>384</v>
      </c>
      <c r="BK8" s="91" t="s">
        <v>46</v>
      </c>
      <c r="BL8" s="91"/>
      <c r="BM8" s="91"/>
      <c r="BN8" s="91">
        <v>4</v>
      </c>
      <c r="BO8" s="91"/>
      <c r="BP8" s="91">
        <v>3</v>
      </c>
      <c r="BQ8" s="91"/>
      <c r="BR8" s="91">
        <v>18</v>
      </c>
      <c r="BS8" s="91"/>
      <c r="BT8" s="91">
        <v>3</v>
      </c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">
        <v>12</v>
      </c>
      <c r="B9" s="6"/>
      <c r="C9" s="33" t="s">
        <v>2</v>
      </c>
      <c r="D9" s="33" t="s">
        <v>2</v>
      </c>
      <c r="E9" s="33" t="s">
        <v>2</v>
      </c>
      <c r="F9" s="88" t="s">
        <v>4</v>
      </c>
      <c r="G9" s="33" t="s">
        <v>2</v>
      </c>
      <c r="H9" s="62" t="s">
        <v>4</v>
      </c>
      <c r="I9" s="62" t="s">
        <v>2</v>
      </c>
      <c r="J9" s="83" t="s">
        <v>6</v>
      </c>
      <c r="K9" s="83" t="s">
        <v>6</v>
      </c>
      <c r="L9" s="33" t="s">
        <v>2</v>
      </c>
      <c r="M9" s="62" t="s">
        <v>4</v>
      </c>
      <c r="N9" s="319" t="s">
        <v>2</v>
      </c>
      <c r="O9" s="88" t="s">
        <v>4</v>
      </c>
      <c r="P9" s="88" t="s">
        <v>4</v>
      </c>
      <c r="Q9" s="33" t="s">
        <v>2</v>
      </c>
      <c r="R9" s="88" t="s">
        <v>4</v>
      </c>
      <c r="S9" s="88" t="s">
        <v>2</v>
      </c>
      <c r="T9" s="319" t="s">
        <v>2</v>
      </c>
      <c r="U9" s="319" t="s">
        <v>2</v>
      </c>
      <c r="V9" s="88" t="s">
        <v>3</v>
      </c>
      <c r="W9" s="88"/>
      <c r="X9" s="88"/>
      <c r="Y9" s="88" t="s">
        <v>4</v>
      </c>
      <c r="Z9" s="88"/>
      <c r="AA9" s="88"/>
      <c r="AB9" s="88" t="s">
        <v>2</v>
      </c>
      <c r="AC9" s="88" t="s">
        <v>3</v>
      </c>
      <c r="AD9" s="88"/>
      <c r="AE9" s="319" t="s">
        <v>7</v>
      </c>
      <c r="AF9" s="88" t="s">
        <v>4</v>
      </c>
      <c r="AG9" s="88"/>
      <c r="AH9" s="3">
        <f>(AI9*12)+(AJ9*12)+(AL9*8)+(AM9*4)</f>
        <v>104</v>
      </c>
      <c r="AI9" s="3">
        <f t="shared" si="2"/>
        <v>3</v>
      </c>
      <c r="AJ9" s="3">
        <f t="shared" si="3"/>
        <v>2</v>
      </c>
      <c r="AK9" s="3">
        <f t="shared" si="4"/>
        <v>20</v>
      </c>
      <c r="AL9" s="3">
        <f t="shared" si="5"/>
        <v>5</v>
      </c>
      <c r="AM9" s="3">
        <f t="shared" si="6"/>
        <v>1</v>
      </c>
      <c r="AN9" s="3">
        <f t="array" ref="AN9">SUMPRODUCT(($C$5:$AG$5=6)*(C9:AG9="off"))</f>
        <v>2</v>
      </c>
      <c r="AO9" s="3" t="s">
        <v>405</v>
      </c>
      <c r="AP9" s="3" t="s">
        <v>72</v>
      </c>
      <c r="AQ9" s="12"/>
      <c r="AR9" s="12">
        <f t="shared" si="7"/>
        <v>4</v>
      </c>
      <c r="AS9" s="12">
        <f t="shared" si="8"/>
        <v>3</v>
      </c>
      <c r="AT9" s="12">
        <f t="shared" si="9"/>
        <v>18</v>
      </c>
      <c r="AU9" s="12">
        <f t="shared" si="10"/>
        <v>3</v>
      </c>
      <c r="BJ9" s="91" t="s">
        <v>384</v>
      </c>
      <c r="BK9" s="91" t="s">
        <v>12</v>
      </c>
      <c r="BL9" s="91"/>
      <c r="BM9" s="91" t="s">
        <v>419</v>
      </c>
      <c r="BN9" s="91">
        <v>4</v>
      </c>
      <c r="BO9" s="91"/>
      <c r="BP9" s="91">
        <v>3</v>
      </c>
      <c r="BQ9" s="91"/>
      <c r="BR9" s="91">
        <v>18</v>
      </c>
      <c r="BS9" s="91"/>
      <c r="BT9" s="91">
        <v>3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customHeight="1">
      <c r="A10" s="6" t="s">
        <v>49</v>
      </c>
      <c r="B10" s="6" t="s">
        <v>419</v>
      </c>
      <c r="C10" s="33"/>
      <c r="D10" s="33"/>
      <c r="E10" s="33"/>
      <c r="F10" s="88"/>
      <c r="G10" s="88"/>
      <c r="H10" s="88"/>
      <c r="I10" s="88"/>
      <c r="J10" s="33"/>
      <c r="K10" s="33"/>
      <c r="L10" s="88"/>
      <c r="M10" s="88"/>
      <c r="N10" s="88"/>
      <c r="O10" s="88"/>
      <c r="P10" s="88"/>
      <c r="Q10" s="33"/>
      <c r="R10" s="88"/>
      <c r="S10" s="88"/>
      <c r="T10" s="88"/>
      <c r="U10" s="33"/>
      <c r="V10" s="33"/>
      <c r="W10" s="33"/>
      <c r="X10" s="33"/>
      <c r="Y10" s="33"/>
      <c r="Z10" s="33"/>
      <c r="AA10" s="88"/>
      <c r="AB10" s="88"/>
      <c r="AC10" s="88"/>
      <c r="AD10" s="88"/>
      <c r="AE10" s="88"/>
      <c r="AF10" s="88"/>
      <c r="AG10" s="88"/>
      <c r="AH10" s="3">
        <f t="shared" ref="AH10:AH15" si="11">(AI10*12)+(AJ10*12)+(AL10*8)+(AM10*4)</f>
        <v>228</v>
      </c>
      <c r="AI10" s="3">
        <f t="shared" si="2"/>
        <v>0</v>
      </c>
      <c r="AJ10" s="3">
        <f t="shared" si="3"/>
        <v>0</v>
      </c>
      <c r="AK10" s="3">
        <f t="shared" si="4"/>
        <v>0</v>
      </c>
      <c r="AL10" s="3">
        <f t="shared" si="5"/>
        <v>26</v>
      </c>
      <c r="AM10" s="3">
        <f t="shared" si="6"/>
        <v>5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12">
        <f t="shared" si="7"/>
        <v>0</v>
      </c>
      <c r="AS10" s="12">
        <f t="shared" si="8"/>
        <v>0</v>
      </c>
      <c r="AT10" s="12">
        <f t="shared" si="9"/>
        <v>0</v>
      </c>
      <c r="AU10" s="12">
        <f t="shared" si="10"/>
        <v>0</v>
      </c>
      <c r="BJ10" s="91" t="s">
        <v>384</v>
      </c>
      <c r="BK10" s="91" t="s">
        <v>49</v>
      </c>
      <c r="BL10" s="91" t="s">
        <v>386</v>
      </c>
      <c r="BM10" s="91"/>
      <c r="BN10" s="91"/>
      <c r="BO10" s="91"/>
      <c r="BP10" s="91"/>
      <c r="BQ10" s="91"/>
      <c r="BR10" s="91"/>
      <c r="BS10" s="91"/>
      <c r="BT10" s="91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customHeight="1">
      <c r="A11" s="6" t="s">
        <v>26</v>
      </c>
      <c r="B11" s="6" t="s">
        <v>419</v>
      </c>
      <c r="C11" s="88"/>
      <c r="D11" s="88"/>
      <c r="E11" s="88"/>
      <c r="F11" s="88"/>
      <c r="G11" s="88"/>
      <c r="H11" s="88"/>
      <c r="I11" s="88"/>
      <c r="J11" s="33"/>
      <c r="K11" s="33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3">
        <f t="shared" si="11"/>
        <v>228</v>
      </c>
      <c r="AI11" s="3">
        <f t="shared" si="2"/>
        <v>0</v>
      </c>
      <c r="AJ11" s="3">
        <f t="shared" si="3"/>
        <v>0</v>
      </c>
      <c r="AK11" s="3">
        <f t="shared" si="4"/>
        <v>0</v>
      </c>
      <c r="AL11" s="3">
        <f t="shared" si="5"/>
        <v>26</v>
      </c>
      <c r="AM11" s="3">
        <f t="shared" si="6"/>
        <v>5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12">
        <f t="shared" si="7"/>
        <v>0</v>
      </c>
      <c r="AS11" s="12">
        <f t="shared" si="8"/>
        <v>0</v>
      </c>
      <c r="AT11" s="12">
        <f t="shared" si="9"/>
        <v>0</v>
      </c>
      <c r="AU11" s="12">
        <f t="shared" si="10"/>
        <v>0</v>
      </c>
      <c r="BJ11" s="91"/>
      <c r="BK11" s="91" t="s">
        <v>50</v>
      </c>
      <c r="BL11" s="91"/>
      <c r="BM11" s="91"/>
      <c r="BN11" s="91"/>
      <c r="BO11" s="91"/>
      <c r="BP11" s="91"/>
      <c r="BQ11" s="91"/>
      <c r="BR11" s="91"/>
      <c r="BS11" s="91"/>
      <c r="BT11" s="91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">
        <v>51</v>
      </c>
      <c r="B12" s="6"/>
      <c r="C12" s="88" t="s">
        <v>4</v>
      </c>
      <c r="D12" s="88" t="s">
        <v>4</v>
      </c>
      <c r="E12" s="88" t="s">
        <v>2</v>
      </c>
      <c r="F12" s="33" t="s">
        <v>2</v>
      </c>
      <c r="G12" s="62" t="s">
        <v>6</v>
      </c>
      <c r="H12" s="88" t="s">
        <v>6</v>
      </c>
      <c r="I12" s="88" t="s">
        <v>6</v>
      </c>
      <c r="J12" s="62" t="s">
        <v>4</v>
      </c>
      <c r="K12" s="88" t="s">
        <v>4</v>
      </c>
      <c r="L12" s="319" t="s">
        <v>2</v>
      </c>
      <c r="M12" s="319" t="s">
        <v>7</v>
      </c>
      <c r="N12" s="320"/>
      <c r="O12" s="88" t="s">
        <v>4</v>
      </c>
      <c r="P12" s="88"/>
      <c r="Q12" s="83" t="s">
        <v>6</v>
      </c>
      <c r="R12" s="88" t="s">
        <v>6</v>
      </c>
      <c r="S12" s="88" t="s">
        <v>2</v>
      </c>
      <c r="T12" s="88" t="s">
        <v>4</v>
      </c>
      <c r="U12" s="88" t="s">
        <v>3</v>
      </c>
      <c r="V12" s="88" t="s">
        <v>4</v>
      </c>
      <c r="W12" s="88" t="s">
        <v>4</v>
      </c>
      <c r="X12" s="319" t="s">
        <v>7</v>
      </c>
      <c r="Y12" s="88" t="s">
        <v>4</v>
      </c>
      <c r="Z12" s="88" t="s">
        <v>7</v>
      </c>
      <c r="AA12" s="88" t="s">
        <v>3</v>
      </c>
      <c r="AB12" s="88"/>
      <c r="AC12" s="33" t="s">
        <v>4</v>
      </c>
      <c r="AD12" s="33" t="s">
        <v>2</v>
      </c>
      <c r="AE12" s="33" t="s">
        <v>2</v>
      </c>
      <c r="AF12" s="33" t="s">
        <v>2</v>
      </c>
      <c r="AG12" s="88"/>
      <c r="AH12" s="3">
        <f t="shared" si="11"/>
        <v>152</v>
      </c>
      <c r="AI12" s="3">
        <f t="shared" si="2"/>
        <v>5</v>
      </c>
      <c r="AJ12" s="3">
        <f t="shared" si="3"/>
        <v>5</v>
      </c>
      <c r="AK12" s="3">
        <f t="shared" si="4"/>
        <v>17</v>
      </c>
      <c r="AL12" s="3">
        <f t="shared" si="5"/>
        <v>4</v>
      </c>
      <c r="AM12" s="3">
        <f t="shared" si="6"/>
        <v>0</v>
      </c>
      <c r="AN12" s="3">
        <f t="array" ref="AN12">SUMPRODUCT(($C$5:$AG$5=6)*(C12:AG12="off"))</f>
        <v>3</v>
      </c>
      <c r="AO12" s="3" t="s">
        <v>408</v>
      </c>
      <c r="AP12" s="3" t="s">
        <v>95</v>
      </c>
      <c r="AQ12" s="12"/>
      <c r="AR12" s="12">
        <f t="shared" si="7"/>
        <v>3</v>
      </c>
      <c r="AS12" s="12">
        <f t="shared" si="8"/>
        <v>4</v>
      </c>
      <c r="AT12" s="12">
        <f t="shared" si="9"/>
        <v>18</v>
      </c>
      <c r="AU12" s="12">
        <f t="shared" si="10"/>
        <v>3</v>
      </c>
      <c r="BJ12" s="91" t="s">
        <v>384</v>
      </c>
      <c r="BK12" s="91" t="s">
        <v>51</v>
      </c>
      <c r="BL12" s="91"/>
      <c r="BM12" s="91"/>
      <c r="BN12" s="91">
        <v>3</v>
      </c>
      <c r="BO12" s="91" t="s">
        <v>386</v>
      </c>
      <c r="BP12" s="91">
        <v>4</v>
      </c>
      <c r="BQ12" s="91"/>
      <c r="BR12" s="91">
        <v>18</v>
      </c>
      <c r="BS12" s="91"/>
      <c r="BT12" s="91">
        <v>3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">
        <v>310</v>
      </c>
      <c r="B13" s="6"/>
      <c r="C13" s="88" t="s">
        <v>4</v>
      </c>
      <c r="D13" s="88" t="s">
        <v>7</v>
      </c>
      <c r="E13" s="33"/>
      <c r="F13" s="88" t="s">
        <v>4</v>
      </c>
      <c r="G13" s="88"/>
      <c r="H13" s="62" t="s">
        <v>2</v>
      </c>
      <c r="I13" s="62" t="s">
        <v>3</v>
      </c>
      <c r="J13" s="33"/>
      <c r="K13" s="88" t="s">
        <v>4</v>
      </c>
      <c r="L13" s="319" t="s">
        <v>7</v>
      </c>
      <c r="M13" s="319" t="s">
        <v>2</v>
      </c>
      <c r="N13" s="62" t="s">
        <v>2</v>
      </c>
      <c r="O13" s="62" t="s">
        <v>4</v>
      </c>
      <c r="P13" s="88" t="s">
        <v>4</v>
      </c>
      <c r="Q13" s="33" t="s">
        <v>2</v>
      </c>
      <c r="R13" s="88" t="s">
        <v>4</v>
      </c>
      <c r="S13" s="62" t="s">
        <v>2</v>
      </c>
      <c r="T13" s="88" t="s">
        <v>4</v>
      </c>
      <c r="U13" s="88"/>
      <c r="V13" s="88"/>
      <c r="W13" s="88"/>
      <c r="X13" s="83" t="s">
        <v>6</v>
      </c>
      <c r="Y13" s="83" t="s">
        <v>6</v>
      </c>
      <c r="Z13" s="88" t="s">
        <v>4</v>
      </c>
      <c r="AA13" s="88" t="s">
        <v>2</v>
      </c>
      <c r="AB13" s="88" t="s">
        <v>6</v>
      </c>
      <c r="AC13" s="88" t="s">
        <v>6</v>
      </c>
      <c r="AD13" s="88" t="s">
        <v>2</v>
      </c>
      <c r="AE13" s="88" t="s">
        <v>4</v>
      </c>
      <c r="AF13" s="88" t="s">
        <v>4</v>
      </c>
      <c r="AG13" s="88"/>
      <c r="AH13" s="3">
        <f t="shared" si="11"/>
        <v>136</v>
      </c>
      <c r="AI13" s="3">
        <f t="shared" si="2"/>
        <v>3</v>
      </c>
      <c r="AJ13" s="3">
        <f t="shared" si="3"/>
        <v>4</v>
      </c>
      <c r="AK13" s="3">
        <f t="shared" si="4"/>
        <v>17</v>
      </c>
      <c r="AL13" s="3">
        <f t="shared" si="5"/>
        <v>6</v>
      </c>
      <c r="AM13" s="3">
        <f t="shared" si="6"/>
        <v>1</v>
      </c>
      <c r="AN13" s="3">
        <f t="array" ref="AN13">SUMPRODUCT(($C$5:$AG$5=6)*(C13:AG13="off"))</f>
        <v>3</v>
      </c>
      <c r="AO13" s="3"/>
      <c r="AP13" s="3"/>
      <c r="AQ13" s="12"/>
      <c r="AR13" s="12">
        <f t="shared" si="7"/>
        <v>3</v>
      </c>
      <c r="AS13" s="12">
        <f t="shared" si="8"/>
        <v>4</v>
      </c>
      <c r="AT13" s="12">
        <f t="shared" si="9"/>
        <v>18</v>
      </c>
      <c r="AU13" s="12">
        <f t="shared" si="10"/>
        <v>3</v>
      </c>
      <c r="BJ13" s="91" t="s">
        <v>384</v>
      </c>
      <c r="BK13" s="91" t="s">
        <v>310</v>
      </c>
      <c r="BL13" s="91"/>
      <c r="BM13" s="91"/>
      <c r="BN13" s="91">
        <v>3</v>
      </c>
      <c r="BO13" s="91"/>
      <c r="BP13" s="91">
        <v>4</v>
      </c>
      <c r="BQ13" s="91" t="s">
        <v>419</v>
      </c>
      <c r="BR13" s="91">
        <v>18</v>
      </c>
      <c r="BS13" s="91"/>
      <c r="BT13" s="91">
        <v>3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">
        <v>311</v>
      </c>
      <c r="B14" s="6" t="s">
        <v>419</v>
      </c>
      <c r="C14" s="88"/>
      <c r="D14" s="88"/>
      <c r="E14" s="88"/>
      <c r="F14" s="88"/>
      <c r="G14" s="88"/>
      <c r="H14" s="33"/>
      <c r="I14" s="33"/>
      <c r="J14" s="33"/>
      <c r="K14" s="33"/>
      <c r="L14" s="33"/>
      <c r="M14" s="33"/>
      <c r="N14" s="33"/>
      <c r="O14" s="33"/>
      <c r="P14" s="88"/>
      <c r="Q14" s="33"/>
      <c r="R14" s="88"/>
      <c r="S14" s="88"/>
      <c r="T14" s="88"/>
      <c r="U14" s="88"/>
      <c r="V14" s="88"/>
      <c r="W14" s="88"/>
      <c r="X14" s="83"/>
      <c r="Y14" s="33"/>
      <c r="Z14" s="88"/>
      <c r="AA14" s="88"/>
      <c r="AB14" s="33"/>
      <c r="AC14" s="33"/>
      <c r="AD14" s="33"/>
      <c r="AE14" s="33"/>
      <c r="AF14" s="33"/>
      <c r="AG14" s="88"/>
      <c r="AH14" s="3"/>
      <c r="AI14" s="3"/>
      <c r="AJ14" s="3"/>
      <c r="AK14" s="3"/>
      <c r="AL14" s="3"/>
      <c r="AM14" s="3"/>
      <c r="AN14" s="3"/>
      <c r="AO14" s="3"/>
      <c r="AP14" s="3"/>
      <c r="AQ14" s="12"/>
      <c r="AR14" s="12">
        <f t="shared" si="7"/>
        <v>0</v>
      </c>
      <c r="AS14" s="12">
        <f t="shared" si="8"/>
        <v>0</v>
      </c>
      <c r="AT14" s="12">
        <f t="shared" si="9"/>
        <v>0</v>
      </c>
      <c r="AU14" s="12">
        <f t="shared" si="10"/>
        <v>0</v>
      </c>
      <c r="AY14" s="335"/>
      <c r="BJ14" s="91"/>
      <c r="BK14" s="91" t="s">
        <v>311</v>
      </c>
      <c r="BL14" s="91"/>
      <c r="BM14" s="91"/>
      <c r="BN14" s="91"/>
      <c r="BO14" s="91"/>
      <c r="BP14" s="91"/>
      <c r="BQ14" s="91"/>
      <c r="BR14" s="91"/>
      <c r="BS14" s="91"/>
      <c r="BT14" s="91"/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">
        <v>312</v>
      </c>
      <c r="B15" s="6"/>
      <c r="C15" s="88"/>
      <c r="D15" s="88" t="s">
        <v>4</v>
      </c>
      <c r="E15" s="88" t="s">
        <v>6</v>
      </c>
      <c r="F15" s="88" t="s">
        <v>6</v>
      </c>
      <c r="G15" s="88" t="s">
        <v>2</v>
      </c>
      <c r="H15" s="62"/>
      <c r="I15" s="62" t="s">
        <v>2</v>
      </c>
      <c r="J15" s="33" t="s">
        <v>4</v>
      </c>
      <c r="K15" s="33" t="s">
        <v>2</v>
      </c>
      <c r="L15" s="33" t="s">
        <v>2</v>
      </c>
      <c r="M15" s="33" t="s">
        <v>2</v>
      </c>
      <c r="N15" s="33" t="s">
        <v>3</v>
      </c>
      <c r="O15" s="62" t="s">
        <v>4</v>
      </c>
      <c r="P15" s="88" t="s">
        <v>3</v>
      </c>
      <c r="Q15" s="33"/>
      <c r="R15" s="88" t="s">
        <v>7</v>
      </c>
      <c r="S15" s="88"/>
      <c r="T15" s="88" t="s">
        <v>3</v>
      </c>
      <c r="U15" s="88" t="s">
        <v>2</v>
      </c>
      <c r="V15" s="88" t="s">
        <v>6</v>
      </c>
      <c r="W15" s="88" t="s">
        <v>6</v>
      </c>
      <c r="X15" s="83" t="s">
        <v>2</v>
      </c>
      <c r="Y15" s="33" t="s">
        <v>2</v>
      </c>
      <c r="Z15" s="33" t="s">
        <v>2</v>
      </c>
      <c r="AA15" s="33" t="s">
        <v>2</v>
      </c>
      <c r="AB15" s="33" t="s">
        <v>2</v>
      </c>
      <c r="AC15" s="33" t="s">
        <v>2</v>
      </c>
      <c r="AD15" s="33" t="s">
        <v>4</v>
      </c>
      <c r="AE15" s="62" t="s">
        <v>4</v>
      </c>
      <c r="AF15" s="88" t="s">
        <v>4</v>
      </c>
      <c r="AG15" s="88"/>
      <c r="AH15" s="3">
        <f t="shared" si="11"/>
        <v>128</v>
      </c>
      <c r="AI15" s="3">
        <f t="shared" si="2"/>
        <v>4</v>
      </c>
      <c r="AJ15" s="3">
        <f t="shared" si="3"/>
        <v>4</v>
      </c>
      <c r="AK15" s="3">
        <f t="shared" si="4"/>
        <v>18</v>
      </c>
      <c r="AL15" s="3">
        <f t="shared" si="5"/>
        <v>3</v>
      </c>
      <c r="AM15" s="3">
        <f t="shared" si="6"/>
        <v>2</v>
      </c>
      <c r="AN15" s="3">
        <f t="array" ref="AN15">SUMPRODUCT(($C$5:$AG$5=6)*(C15:AG15="off"))</f>
        <v>3</v>
      </c>
      <c r="AO15" s="3"/>
      <c r="AP15" s="3"/>
      <c r="AQ15" s="12"/>
      <c r="AR15" s="12">
        <f t="shared" si="7"/>
        <v>4</v>
      </c>
      <c r="AS15" s="12">
        <f t="shared" si="8"/>
        <v>4</v>
      </c>
      <c r="AT15" s="12">
        <f t="shared" si="9"/>
        <v>17</v>
      </c>
      <c r="AU15" s="12">
        <f t="shared" si="10"/>
        <v>3</v>
      </c>
      <c r="BJ15" s="91" t="s">
        <v>384</v>
      </c>
      <c r="BK15" s="91" t="s">
        <v>312</v>
      </c>
      <c r="BL15" s="91"/>
      <c r="BM15" s="91" t="s">
        <v>386</v>
      </c>
      <c r="BN15" s="91">
        <v>4</v>
      </c>
      <c r="BO15" s="91"/>
      <c r="BP15" s="91">
        <v>4</v>
      </c>
      <c r="BQ15" s="91"/>
      <c r="BR15" s="91">
        <v>17</v>
      </c>
      <c r="BS15" s="91" t="s">
        <v>419</v>
      </c>
      <c r="BT15" s="91">
        <v>3</v>
      </c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">
        <v>382</v>
      </c>
      <c r="B16" s="6"/>
      <c r="C16" s="33" t="s">
        <v>2</v>
      </c>
      <c r="D16" s="33" t="s">
        <v>2</v>
      </c>
      <c r="E16" s="33" t="s">
        <v>2</v>
      </c>
      <c r="F16" s="33" t="s">
        <v>2</v>
      </c>
      <c r="G16" s="33" t="s">
        <v>2</v>
      </c>
      <c r="H16" s="62" t="s">
        <v>3</v>
      </c>
      <c r="I16" s="62" t="s">
        <v>4</v>
      </c>
      <c r="J16" s="62" t="s">
        <v>4</v>
      </c>
      <c r="K16" s="83" t="s">
        <v>7</v>
      </c>
      <c r="L16" s="33"/>
      <c r="M16" s="62"/>
      <c r="N16" s="62" t="s">
        <v>6</v>
      </c>
      <c r="O16" s="62" t="s">
        <v>6</v>
      </c>
      <c r="P16" s="33" t="s">
        <v>2</v>
      </c>
      <c r="Q16" s="33" t="s">
        <v>2</v>
      </c>
      <c r="R16" s="33" t="s">
        <v>2</v>
      </c>
      <c r="S16" s="88" t="s">
        <v>3</v>
      </c>
      <c r="T16" s="88"/>
      <c r="U16" s="88"/>
      <c r="V16" s="88" t="s">
        <v>4</v>
      </c>
      <c r="W16" s="88" t="s">
        <v>2</v>
      </c>
      <c r="X16" s="83" t="s">
        <v>4</v>
      </c>
      <c r="Y16" s="33" t="s">
        <v>2</v>
      </c>
      <c r="Z16" s="88" t="s">
        <v>2</v>
      </c>
      <c r="AA16" s="88" t="s">
        <v>4</v>
      </c>
      <c r="AB16" s="88" t="s">
        <v>2</v>
      </c>
      <c r="AC16" s="88"/>
      <c r="AD16" s="88"/>
      <c r="AE16" s="88" t="s">
        <v>6</v>
      </c>
      <c r="AF16" s="88" t="s">
        <v>6</v>
      </c>
      <c r="AG16" s="88"/>
      <c r="AH16" s="3">
        <f>(AI16*12)+(AJ16*12)+(AL16*8)+(AM16*4)</f>
        <v>140</v>
      </c>
      <c r="AI16" s="3">
        <f>COUNTIF(C16:AG16,"D")</f>
        <v>3</v>
      </c>
      <c r="AJ16" s="3">
        <f>COUNTIF(C16:AG16,"N")</f>
        <v>4</v>
      </c>
      <c r="AK16" s="3">
        <f>COUNTIF(C16:AG16,"OFF")+COUNTIF(C16:AG16,"上課")</f>
        <v>17</v>
      </c>
      <c r="AL16" s="3">
        <f>COUNTIF(C16:AG16,"")-AM16+COUNTIF(C16:AG16,"h3")</f>
        <v>7</v>
      </c>
      <c r="AM16" s="3">
        <f>COUNTIFS($C$5:$AG$5,"6",C16:AG16,"")+COUNTIF(C16:AG16,"h3")</f>
        <v>0</v>
      </c>
      <c r="AN16" s="3">
        <f t="array" ref="AN16">SUMPRODUCT(($C$5:$AG$5=6)*(C16:AG16="off"))</f>
        <v>4</v>
      </c>
      <c r="AO16" s="3"/>
      <c r="AP16" s="3"/>
      <c r="AQ16" s="12"/>
      <c r="AR16" s="12">
        <f t="shared" si="7"/>
        <v>4</v>
      </c>
      <c r="AS16" s="12">
        <f t="shared" si="8"/>
        <v>4</v>
      </c>
      <c r="AT16" s="12">
        <f t="shared" si="9"/>
        <v>18</v>
      </c>
      <c r="AU16" s="12">
        <f t="shared" si="10"/>
        <v>2</v>
      </c>
      <c r="BJ16" s="343" t="s">
        <v>384</v>
      </c>
      <c r="BK16" s="344" t="s">
        <v>382</v>
      </c>
      <c r="BL16" s="344"/>
      <c r="BM16" s="344"/>
      <c r="BN16" s="344">
        <v>4</v>
      </c>
      <c r="BO16" s="344"/>
      <c r="BP16" s="344">
        <v>4</v>
      </c>
      <c r="BQ16" s="344" t="s">
        <v>386</v>
      </c>
      <c r="BR16" s="344">
        <v>18</v>
      </c>
      <c r="BS16" s="344"/>
      <c r="BT16" s="345">
        <v>2</v>
      </c>
      <c r="CN16" s="256"/>
    </row>
    <row r="17" spans="1:72" ht="20.25" customHeight="1">
      <c r="A17" s="6" t="s">
        <v>383</v>
      </c>
      <c r="B17" s="6" t="s">
        <v>419</v>
      </c>
      <c r="C17" s="88"/>
      <c r="D17" s="88"/>
      <c r="E17" s="88"/>
      <c r="F17" s="88"/>
      <c r="G17" s="88"/>
      <c r="H17" s="33"/>
      <c r="I17" s="33"/>
      <c r="J17" s="33"/>
      <c r="K17" s="33"/>
      <c r="L17" s="33"/>
      <c r="M17" s="33"/>
      <c r="N17" s="33"/>
      <c r="O17" s="33"/>
      <c r="P17" s="88"/>
      <c r="Q17" s="33"/>
      <c r="R17" s="88"/>
      <c r="S17" s="88"/>
      <c r="T17" s="88"/>
      <c r="U17" s="88"/>
      <c r="V17" s="88"/>
      <c r="W17" s="88"/>
      <c r="X17" s="83"/>
      <c r="Y17" s="33"/>
      <c r="Z17" s="88"/>
      <c r="AA17" s="88"/>
      <c r="AB17" s="33"/>
      <c r="AC17" s="33"/>
      <c r="AD17" s="33"/>
      <c r="AE17" s="33"/>
      <c r="AF17" s="33"/>
      <c r="AG17" s="88"/>
      <c r="AH17" s="3"/>
      <c r="AI17" s="3"/>
      <c r="AJ17" s="3"/>
      <c r="AK17" s="3"/>
      <c r="AL17" s="3"/>
      <c r="AM17" s="3"/>
      <c r="AN17" s="3"/>
      <c r="AO17" s="3"/>
      <c r="AP17" s="3"/>
      <c r="AQ17" s="12"/>
      <c r="AR17" s="12">
        <f t="shared" si="7"/>
        <v>0</v>
      </c>
      <c r="AS17" s="12"/>
      <c r="AT17" s="12">
        <f t="shared" si="9"/>
        <v>0</v>
      </c>
      <c r="AU17" s="12"/>
      <c r="BJ17" s="91"/>
      <c r="BK17" s="91" t="s">
        <v>383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R18" si="12">IF(C5="","",IF(C$19="國",COUNTA($BJ$6:$BJ$17)-$AX$3-$AX$4-$AX$2-COUNTA($BL$6:$BL$17),IF(C5="日",COUNTA($BJ$6:$BJ$17)-$AX$3-$AX$4-COUNTA($BL$6:$BL$17),IF(C5=6,COUNTA($BJ$6:$BJ$17)-$AX$5-COUNTA($BL$6:$BL$17),IF(C5&lt;6,COUNTA($BJ$6:$BJ$17)-$AX$5-COUNTA($BL$6:$BL$17))))))</f>
        <v>5</v>
      </c>
      <c r="D18" s="172">
        <f t="shared" si="12"/>
        <v>6</v>
      </c>
      <c r="E18" s="172">
        <f t="shared" si="12"/>
        <v>5</v>
      </c>
      <c r="F18" s="172">
        <f t="shared" si="12"/>
        <v>5</v>
      </c>
      <c r="G18" s="172">
        <f t="shared" si="12"/>
        <v>5</v>
      </c>
      <c r="H18" s="172">
        <f t="shared" si="12"/>
        <v>5</v>
      </c>
      <c r="I18" s="172">
        <f t="shared" si="12"/>
        <v>5</v>
      </c>
      <c r="J18" s="172">
        <f t="shared" si="12"/>
        <v>5</v>
      </c>
      <c r="K18" s="172">
        <f t="shared" si="12"/>
        <v>6</v>
      </c>
      <c r="L18" s="172">
        <f t="shared" si="12"/>
        <v>5</v>
      </c>
      <c r="M18" s="172">
        <f t="shared" si="12"/>
        <v>5</v>
      </c>
      <c r="N18" s="172">
        <f t="shared" si="12"/>
        <v>5</v>
      </c>
      <c r="O18" s="172">
        <f t="shared" si="12"/>
        <v>5</v>
      </c>
      <c r="P18" s="172">
        <f t="shared" si="12"/>
        <v>5</v>
      </c>
      <c r="Q18" s="172">
        <f t="shared" si="12"/>
        <v>5</v>
      </c>
      <c r="R18" s="172">
        <f t="shared" si="12"/>
        <v>6</v>
      </c>
      <c r="S18" s="172">
        <f t="shared" ref="S18:AG18" si="13">IF(S5="","",IF(S$19="國",COUNTA($BJ$6:$BJ$17)-$AY$3-$AY$4-$AY$2-COUNTA($BL$6:$BL$17),IF(S5="日",COUNTA($BJ$6:$BJ$17)-$AY$3-$AY$4-COUNTA($BL$6:$BL$17),IF(S5=6,COUNTA($BJ$6:$BJ$17)-$AY$5-COUNTA($BL$6:$BL$17),IF(S5&lt;6,COUNTA($BJ$6:$BJ$17)-$AY$5-COUNTA($BL$6:$BL$17))))))</f>
        <v>4</v>
      </c>
      <c r="T18" s="172">
        <f t="shared" si="13"/>
        <v>4</v>
      </c>
      <c r="U18" s="172">
        <f t="shared" si="13"/>
        <v>4</v>
      </c>
      <c r="V18" s="172">
        <f t="shared" si="13"/>
        <v>4</v>
      </c>
      <c r="W18" s="172">
        <f t="shared" si="13"/>
        <v>4</v>
      </c>
      <c r="X18" s="172">
        <f t="shared" si="13"/>
        <v>4</v>
      </c>
      <c r="Y18" s="172">
        <f t="shared" si="13"/>
        <v>6</v>
      </c>
      <c r="Z18" s="172">
        <f t="shared" si="13"/>
        <v>4</v>
      </c>
      <c r="AA18" s="172">
        <f t="shared" si="13"/>
        <v>4</v>
      </c>
      <c r="AB18" s="172">
        <f t="shared" si="13"/>
        <v>4</v>
      </c>
      <c r="AC18" s="172">
        <f t="shared" si="13"/>
        <v>4</v>
      </c>
      <c r="AD18" s="172">
        <f t="shared" si="13"/>
        <v>4</v>
      </c>
      <c r="AE18" s="172">
        <f t="shared" si="13"/>
        <v>4</v>
      </c>
      <c r="AF18" s="172">
        <f t="shared" si="13"/>
        <v>6</v>
      </c>
      <c r="AG18" s="172" t="str">
        <f t="shared" si="13"/>
        <v/>
      </c>
      <c r="AH18" s="3" t="s">
        <v>391</v>
      </c>
      <c r="AI18" s="3">
        <f>SUM(AI6:AI15)</f>
        <v>27</v>
      </c>
      <c r="AJ18" s="3">
        <f>SUM(AJ6:AJ15)</f>
        <v>26</v>
      </c>
      <c r="AK18" s="3">
        <f>SUM(AK6:AK15)</f>
        <v>126</v>
      </c>
      <c r="AL18" s="3">
        <f>SUM(AL6:AL15)</f>
        <v>83</v>
      </c>
      <c r="AM18" s="3">
        <f>SUM(AM6:AM15)-SUM(AM10:AM11)-SUM(AM16:AM17)</f>
        <v>7</v>
      </c>
      <c r="AN18" s="3">
        <f>SUM(AN6:AN15)</f>
        <v>19</v>
      </c>
      <c r="AO18" s="3"/>
      <c r="AP18" s="3"/>
      <c r="AQ18" s="12"/>
      <c r="AR18" s="12"/>
      <c r="AS18" s="12"/>
      <c r="AT18" s="12"/>
      <c r="AU18" s="12"/>
    </row>
    <row r="19" spans="1:72" ht="20.25" customHeight="1">
      <c r="A19" s="6" t="s">
        <v>251</v>
      </c>
      <c r="B19" s="6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3"/>
      <c r="AG19" s="173"/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2"/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6" t="s">
        <v>15</v>
      </c>
      <c r="B21" s="6"/>
      <c r="C21" s="62" t="s">
        <v>388</v>
      </c>
      <c r="D21" s="33" t="s">
        <v>2</v>
      </c>
      <c r="E21" s="33" t="s">
        <v>2</v>
      </c>
      <c r="F21" s="88" t="s">
        <v>389</v>
      </c>
      <c r="G21" s="88" t="s">
        <v>389</v>
      </c>
      <c r="H21" s="62" t="s">
        <v>388</v>
      </c>
      <c r="I21" s="62" t="s">
        <v>388</v>
      </c>
      <c r="J21" s="62" t="s">
        <v>388</v>
      </c>
      <c r="K21" s="88" t="s">
        <v>389</v>
      </c>
      <c r="L21" s="88" t="s">
        <v>389</v>
      </c>
      <c r="M21" s="88" t="s">
        <v>389</v>
      </c>
      <c r="N21" s="62" t="s">
        <v>388</v>
      </c>
      <c r="O21" s="62" t="s">
        <v>388</v>
      </c>
      <c r="P21" s="62" t="s">
        <v>388</v>
      </c>
      <c r="Q21" s="33" t="s">
        <v>2</v>
      </c>
      <c r="R21" s="62" t="s">
        <v>388</v>
      </c>
      <c r="S21" s="62" t="s">
        <v>388</v>
      </c>
      <c r="T21" s="62" t="s">
        <v>388</v>
      </c>
      <c r="U21" s="33" t="s">
        <v>2</v>
      </c>
      <c r="V21" s="33" t="s">
        <v>2</v>
      </c>
      <c r="W21" s="33" t="s">
        <v>2</v>
      </c>
      <c r="X21" s="33" t="s">
        <v>2</v>
      </c>
      <c r="Y21" s="33" t="s">
        <v>2</v>
      </c>
      <c r="Z21" s="62" t="s">
        <v>388</v>
      </c>
      <c r="AA21" s="62" t="s">
        <v>388</v>
      </c>
      <c r="AB21" s="88" t="s">
        <v>389</v>
      </c>
      <c r="AC21" s="88" t="s">
        <v>389</v>
      </c>
      <c r="AD21" s="62" t="s">
        <v>388</v>
      </c>
      <c r="AE21" s="62" t="s">
        <v>388</v>
      </c>
      <c r="AF21" s="62" t="s">
        <v>388</v>
      </c>
      <c r="AG21" s="88"/>
      <c r="AH21" s="3">
        <f>(AI21*12)+(AJ21*12)+(AL21*8)+(AM21*4)</f>
        <v>8</v>
      </c>
      <c r="AI21" s="3">
        <f>COUNTIF(C21:AG21,"D")</f>
        <v>0</v>
      </c>
      <c r="AJ21" s="3">
        <f>COUNTIF(C21:AG21,"N")</f>
        <v>0</v>
      </c>
      <c r="AK21" s="3">
        <f>COUNTIF(C21:AG21,"OFF")+COUNTIF(C21:AG21,"上課")</f>
        <v>15</v>
      </c>
      <c r="AL21" s="3">
        <f>COUNTIF(C21:AG21,"")-AM21+COUNTIF(C21:AG21,"h3")</f>
        <v>1</v>
      </c>
      <c r="AM21" s="3">
        <f>COUNTIFS($C$5:$AG$5,"6",C21:AG21,"")+COUNTIF(C21:AG21,"h3")</f>
        <v>0</v>
      </c>
      <c r="AN21" s="3">
        <f t="array" ref="AN21">SUMPRODUCT(($C$5:$AG$5=6)*(C21:AG21="off"))</f>
        <v>2</v>
      </c>
      <c r="AR21" s="12"/>
      <c r="AS21" s="12"/>
      <c r="AT21" s="12"/>
      <c r="AU21" s="12"/>
    </row>
    <row r="22" spans="1:72" ht="20.25" customHeight="1">
      <c r="A22" s="4"/>
      <c r="B22" s="4"/>
      <c r="E22" s="42"/>
      <c r="F22" s="91"/>
    </row>
    <row r="23" spans="1:72" s="351" customFormat="1" ht="40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448"/>
      <c r="V23" s="448"/>
      <c r="W23" s="448"/>
      <c r="X23" s="448"/>
      <c r="Y23" s="448"/>
      <c r="Z23" s="448"/>
      <c r="AA23" s="448"/>
      <c r="AB23" s="448"/>
      <c r="AC23" s="448"/>
      <c r="AD23" s="448"/>
      <c r="AE23" s="448"/>
      <c r="AF23" s="448"/>
      <c r="AG23" s="448"/>
      <c r="AH23" s="448"/>
      <c r="AI23" s="448"/>
      <c r="AJ23" s="448"/>
      <c r="AK23" s="448"/>
      <c r="AL23" s="448"/>
      <c r="AM23" s="448"/>
      <c r="AN23" s="448"/>
      <c r="AO23" s="448"/>
      <c r="AP23" s="449"/>
    </row>
    <row r="24" spans="1:72" s="351" customFormat="1" ht="40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51"/>
      <c r="Z24" s="451"/>
      <c r="AA24" s="451"/>
      <c r="AB24" s="451"/>
      <c r="AC24" s="451"/>
      <c r="AD24" s="451"/>
      <c r="AE24" s="451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2"/>
    </row>
    <row r="25" spans="1:72" s="351" customFormat="1" ht="40" customHeight="1">
      <c r="A25" s="453" t="s">
        <v>390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5"/>
    </row>
    <row r="26" spans="1:72" s="351" customFormat="1" ht="40" customHeight="1">
      <c r="A26" s="456"/>
      <c r="B26" s="457"/>
      <c r="C26" s="457"/>
      <c r="D26" s="457"/>
      <c r="E26" s="457"/>
      <c r="F26" s="457"/>
      <c r="G26" s="457"/>
      <c r="H26" s="457"/>
      <c r="I26" s="457"/>
      <c r="J26" s="457"/>
      <c r="K26" s="457"/>
      <c r="L26" s="457"/>
      <c r="M26" s="457"/>
      <c r="N26" s="457"/>
      <c r="O26" s="457"/>
      <c r="P26" s="457"/>
      <c r="Q26" s="457"/>
      <c r="R26" s="457"/>
      <c r="S26" s="457"/>
      <c r="T26" s="457"/>
      <c r="U26" s="457"/>
      <c r="V26" s="457"/>
      <c r="W26" s="457"/>
      <c r="X26" s="457"/>
      <c r="Y26" s="457"/>
      <c r="Z26" s="457"/>
      <c r="AA26" s="457"/>
      <c r="AB26" s="457"/>
      <c r="AC26" s="457"/>
      <c r="AD26" s="457"/>
      <c r="AE26" s="457"/>
      <c r="AF26" s="457"/>
      <c r="AG26" s="457"/>
      <c r="AH26" s="457"/>
      <c r="AI26" s="457"/>
      <c r="AJ26" s="457"/>
      <c r="AK26" s="457"/>
      <c r="AL26" s="457"/>
      <c r="AM26" s="457"/>
      <c r="AN26" s="457"/>
      <c r="AO26" s="457"/>
      <c r="AP26" s="458"/>
    </row>
    <row r="27" spans="1:72" ht="67.5" customHeight="1">
      <c r="A27" s="383" t="s">
        <v>428</v>
      </c>
      <c r="B27" s="383"/>
      <c r="C27" s="383"/>
      <c r="D27" s="383"/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  <c r="AC27" s="383"/>
      <c r="AD27" s="383"/>
      <c r="AE27" s="383"/>
      <c r="AF27" s="383"/>
      <c r="AG27" s="383"/>
      <c r="AH27" s="383"/>
      <c r="AI27" s="383"/>
      <c r="AJ27" s="383"/>
      <c r="AK27" s="383"/>
      <c r="AL27" s="383"/>
      <c r="AM27" s="383"/>
      <c r="AN27" s="383"/>
      <c r="AO27" s="383"/>
      <c r="AP27" s="383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28"/>
      <c r="Q28" s="329" t="s">
        <v>291</v>
      </c>
      <c r="R28" s="328"/>
      <c r="S28" s="328"/>
      <c r="T28" s="330"/>
      <c r="U28" s="331"/>
      <c r="V28" s="330"/>
      <c r="W28" s="323"/>
      <c r="X28" s="332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45962</v>
      </c>
      <c r="D29" s="30">
        <f t="shared" ref="D29:AC29" si="14">C29+1</f>
        <v>45963</v>
      </c>
      <c r="E29" s="30">
        <f t="shared" si="14"/>
        <v>45964</v>
      </c>
      <c r="F29" s="30">
        <f t="shared" si="14"/>
        <v>45965</v>
      </c>
      <c r="G29" s="30">
        <f t="shared" si="14"/>
        <v>45966</v>
      </c>
      <c r="H29" s="30">
        <f t="shared" si="14"/>
        <v>45967</v>
      </c>
      <c r="I29" s="30">
        <f t="shared" si="14"/>
        <v>45968</v>
      </c>
      <c r="J29" s="30">
        <f t="shared" si="14"/>
        <v>45969</v>
      </c>
      <c r="K29" s="30">
        <f t="shared" si="14"/>
        <v>45970</v>
      </c>
      <c r="L29" s="30">
        <f t="shared" si="14"/>
        <v>45971</v>
      </c>
      <c r="M29" s="30">
        <f t="shared" si="14"/>
        <v>45972</v>
      </c>
      <c r="N29" s="30">
        <f t="shared" si="14"/>
        <v>45973</v>
      </c>
      <c r="O29" s="30">
        <f t="shared" si="14"/>
        <v>45974</v>
      </c>
      <c r="P29" s="30">
        <f t="shared" si="14"/>
        <v>45975</v>
      </c>
      <c r="Q29" s="30">
        <f t="shared" si="14"/>
        <v>45976</v>
      </c>
      <c r="R29" s="30">
        <f t="shared" si="14"/>
        <v>45977</v>
      </c>
      <c r="S29" s="30">
        <f t="shared" si="14"/>
        <v>45978</v>
      </c>
      <c r="T29" s="30">
        <f t="shared" si="14"/>
        <v>45979</v>
      </c>
      <c r="U29" s="30">
        <f t="shared" si="14"/>
        <v>45980</v>
      </c>
      <c r="V29" s="30">
        <f t="shared" si="14"/>
        <v>45981</v>
      </c>
      <c r="W29" s="30">
        <f t="shared" si="14"/>
        <v>45982</v>
      </c>
      <c r="X29" s="30">
        <f t="shared" si="14"/>
        <v>45983</v>
      </c>
      <c r="Y29" s="30">
        <f t="shared" si="14"/>
        <v>45984</v>
      </c>
      <c r="Z29" s="30">
        <f t="shared" si="14"/>
        <v>45985</v>
      </c>
      <c r="AA29" s="30">
        <f t="shared" si="14"/>
        <v>45986</v>
      </c>
      <c r="AB29" s="30">
        <f t="shared" si="14"/>
        <v>45987</v>
      </c>
      <c r="AC29" s="30">
        <f t="shared" si="14"/>
        <v>45988</v>
      </c>
      <c r="AD29" s="30">
        <f>IFERROR(IF(MONTH(AC29+1)=$J$2,AC29+1,""),"")</f>
        <v>45989</v>
      </c>
      <c r="AE29" s="30">
        <f>IFERROR(IF(MONTH(AD29+1)=$J$2,AD29+1,""),"")</f>
        <v>45990</v>
      </c>
      <c r="AF29" s="30">
        <f>IFERROR(IF(MONTH(AE29+1)=$J$2,AE29+1,""),"")</f>
        <v>45991</v>
      </c>
      <c r="AG29" s="30" t="str">
        <f>IFERROR(IF(MONTH(AF29+1)=$J$2,AF29+1,""),"")</f>
        <v/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 t="s">
        <v>39</v>
      </c>
      <c r="AP29" s="3" t="s">
        <v>56</v>
      </c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6</v>
      </c>
      <c r="D30" s="31" t="str">
        <f>IFERROR(IF(WEEKDAY(D29,2)=7,"日",WEEKDAY(D29,2)),"")</f>
        <v>日</v>
      </c>
      <c r="E30" s="31">
        <f t="shared" ref="E30:AG30" si="15">IFERROR(IF(WEEKDAY(E29,2)=7,"日",WEEKDAY(E29,2)),"")</f>
        <v>1</v>
      </c>
      <c r="F30" s="31">
        <f t="shared" si="15"/>
        <v>2</v>
      </c>
      <c r="G30" s="31">
        <f t="shared" si="15"/>
        <v>3</v>
      </c>
      <c r="H30" s="31">
        <f t="shared" si="15"/>
        <v>4</v>
      </c>
      <c r="I30" s="31">
        <f t="shared" si="15"/>
        <v>5</v>
      </c>
      <c r="J30" s="31">
        <f t="shared" si="15"/>
        <v>6</v>
      </c>
      <c r="K30" s="31" t="str">
        <f t="shared" si="15"/>
        <v>日</v>
      </c>
      <c r="L30" s="31">
        <f t="shared" si="15"/>
        <v>1</v>
      </c>
      <c r="M30" s="31">
        <f t="shared" si="15"/>
        <v>2</v>
      </c>
      <c r="N30" s="31">
        <f t="shared" si="15"/>
        <v>3</v>
      </c>
      <c r="O30" s="31">
        <f t="shared" si="15"/>
        <v>4</v>
      </c>
      <c r="P30" s="31">
        <f t="shared" si="15"/>
        <v>5</v>
      </c>
      <c r="Q30" s="31">
        <f t="shared" si="15"/>
        <v>6</v>
      </c>
      <c r="R30" s="31" t="str">
        <f t="shared" si="15"/>
        <v>日</v>
      </c>
      <c r="S30" s="31">
        <f t="shared" si="15"/>
        <v>1</v>
      </c>
      <c r="T30" s="31">
        <f t="shared" si="15"/>
        <v>2</v>
      </c>
      <c r="U30" s="31">
        <f t="shared" si="15"/>
        <v>3</v>
      </c>
      <c r="V30" s="31">
        <f t="shared" si="15"/>
        <v>4</v>
      </c>
      <c r="W30" s="31">
        <f t="shared" si="15"/>
        <v>5</v>
      </c>
      <c r="X30" s="31">
        <f t="shared" si="15"/>
        <v>6</v>
      </c>
      <c r="Y30" s="31" t="str">
        <f t="shared" si="15"/>
        <v>日</v>
      </c>
      <c r="Z30" s="31">
        <f t="shared" si="15"/>
        <v>1</v>
      </c>
      <c r="AA30" s="31">
        <f t="shared" si="15"/>
        <v>2</v>
      </c>
      <c r="AB30" s="31">
        <f t="shared" si="15"/>
        <v>3</v>
      </c>
      <c r="AC30" s="31">
        <f t="shared" si="15"/>
        <v>4</v>
      </c>
      <c r="AD30" s="31">
        <f t="shared" si="15"/>
        <v>5</v>
      </c>
      <c r="AE30" s="31">
        <f t="shared" si="15"/>
        <v>6</v>
      </c>
      <c r="AF30" s="31" t="str">
        <f t="shared" si="15"/>
        <v>日</v>
      </c>
      <c r="AG30" s="31" t="str">
        <f t="shared" si="15"/>
        <v/>
      </c>
      <c r="AH30" s="377" t="s">
        <v>42</v>
      </c>
      <c r="AI30" s="377"/>
      <c r="AJ30" s="377"/>
      <c r="AK30" s="377"/>
      <c r="AL30" s="377"/>
      <c r="AM30" s="377"/>
      <c r="AN30" s="174"/>
      <c r="AO30" s="3" t="s">
        <v>40</v>
      </c>
      <c r="AP30" s="3" t="s">
        <v>62</v>
      </c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88" t="s">
        <v>7</v>
      </c>
      <c r="D31" s="88" t="s">
        <v>4</v>
      </c>
      <c r="E31" s="62" t="s">
        <v>4</v>
      </c>
      <c r="F31" s="62" t="s">
        <v>3</v>
      </c>
      <c r="G31" s="62" t="s">
        <v>4</v>
      </c>
      <c r="H31" s="33" t="s">
        <v>4</v>
      </c>
      <c r="I31" s="33" t="s">
        <v>4</v>
      </c>
      <c r="J31" s="62" t="s">
        <v>4</v>
      </c>
      <c r="K31" s="88" t="s">
        <v>4</v>
      </c>
      <c r="L31" s="33" t="s">
        <v>4</v>
      </c>
      <c r="M31" s="33" t="s">
        <v>2</v>
      </c>
      <c r="N31" s="33" t="s">
        <v>2</v>
      </c>
      <c r="O31" s="62" t="s">
        <v>4</v>
      </c>
      <c r="P31" s="62" t="s">
        <v>6</v>
      </c>
      <c r="Q31" s="88" t="s">
        <v>2</v>
      </c>
      <c r="R31" s="88" t="s">
        <v>4</v>
      </c>
      <c r="S31" s="62" t="s">
        <v>6</v>
      </c>
      <c r="T31" s="62" t="s">
        <v>6</v>
      </c>
      <c r="U31" s="62" t="s">
        <v>6</v>
      </c>
      <c r="V31" s="33" t="s">
        <v>2</v>
      </c>
      <c r="W31" s="33" t="s">
        <v>4</v>
      </c>
      <c r="X31" s="88"/>
      <c r="Y31" s="319" t="s">
        <v>2</v>
      </c>
      <c r="Z31" s="33"/>
      <c r="AA31" s="33"/>
      <c r="AB31" s="88" t="s">
        <v>3</v>
      </c>
      <c r="AC31" s="33" t="s">
        <v>4</v>
      </c>
      <c r="AD31" s="33" t="s">
        <v>2</v>
      </c>
      <c r="AE31" s="88"/>
      <c r="AF31" s="319" t="s">
        <v>7</v>
      </c>
      <c r="AG31" s="88"/>
      <c r="AH31" s="3">
        <f>(AI31*12)+(AJ31*12)+(AL31*8)+(AM31*4)</f>
        <v>128</v>
      </c>
      <c r="AI31" s="3">
        <f t="shared" ref="AI31:AI40" si="16">COUNTIF(C31:AG31,"D")</f>
        <v>4</v>
      </c>
      <c r="AJ31" s="3">
        <f t="shared" ref="AJ31:AJ40" si="17">COUNTIF(C31:AG31,"N")</f>
        <v>4</v>
      </c>
      <c r="AK31" s="3">
        <f t="shared" ref="AK31:AK40" si="18">COUNTIF(C31:AG31,"OFF")+COUNTIF(C31:AG31,"上課")</f>
        <v>18</v>
      </c>
      <c r="AL31" s="3">
        <f t="shared" ref="AL31:AL40" si="19">COUNTIF(C31:AG31,"")-AM31+COUNTIF(C31:AG31,"h3")</f>
        <v>3</v>
      </c>
      <c r="AM31" s="3">
        <f t="shared" ref="AM31:AM40" si="20">COUNTIFS($C$5:$AG$5,"6",C31:AG31,"")+COUNTIF(C31:AG31,"h3")</f>
        <v>2</v>
      </c>
      <c r="AN31" s="3">
        <f t="array" ref="AN31">SUMPRODUCT(($C$5:$AG$5=6)*(C31:AG31="off"))</f>
        <v>2</v>
      </c>
      <c r="AO31" s="3" t="s">
        <v>404</v>
      </c>
      <c r="AP31" s="3" t="s">
        <v>56</v>
      </c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88" t="s">
        <v>4</v>
      </c>
      <c r="D32" s="88" t="s">
        <v>4</v>
      </c>
      <c r="E32" s="88" t="s">
        <v>3</v>
      </c>
      <c r="F32" s="88" t="s">
        <v>4</v>
      </c>
      <c r="G32" s="62" t="s">
        <v>4</v>
      </c>
      <c r="H32" s="88" t="s">
        <v>4</v>
      </c>
      <c r="I32" s="88"/>
      <c r="J32" s="88" t="s">
        <v>7</v>
      </c>
      <c r="K32" s="88" t="s">
        <v>4</v>
      </c>
      <c r="L32" s="88" t="s">
        <v>6</v>
      </c>
      <c r="M32" s="88" t="s">
        <v>5</v>
      </c>
      <c r="N32" s="88" t="s">
        <v>2</v>
      </c>
      <c r="O32" s="88"/>
      <c r="P32" s="33" t="s">
        <v>4</v>
      </c>
      <c r="Q32" s="88" t="s">
        <v>4</v>
      </c>
      <c r="R32" s="88" t="s">
        <v>4</v>
      </c>
      <c r="S32" s="88"/>
      <c r="T32" s="88" t="s">
        <v>2</v>
      </c>
      <c r="U32" s="62" t="s">
        <v>4</v>
      </c>
      <c r="V32" s="62" t="s">
        <v>4</v>
      </c>
      <c r="W32" s="62" t="s">
        <v>4</v>
      </c>
      <c r="X32" s="33" t="s">
        <v>4</v>
      </c>
      <c r="Y32" s="319" t="s">
        <v>7</v>
      </c>
      <c r="Z32" s="62" t="s">
        <v>6</v>
      </c>
      <c r="AA32" s="62" t="s">
        <v>6</v>
      </c>
      <c r="AB32" s="88" t="s">
        <v>2</v>
      </c>
      <c r="AC32" s="88" t="s">
        <v>4</v>
      </c>
      <c r="AD32" s="88" t="s">
        <v>3</v>
      </c>
      <c r="AE32" s="88"/>
      <c r="AF32" s="319" t="s">
        <v>2</v>
      </c>
      <c r="AG32" s="33"/>
      <c r="AH32" s="3">
        <f>(AI32*12)+(AJ32*12)+(AL32*8)+(AM32*4)</f>
        <v>132</v>
      </c>
      <c r="AI32" s="3">
        <f t="shared" si="16"/>
        <v>4</v>
      </c>
      <c r="AJ32" s="3">
        <f t="shared" si="17"/>
        <v>4</v>
      </c>
      <c r="AK32" s="3">
        <f t="shared" si="18"/>
        <v>18</v>
      </c>
      <c r="AL32" s="3">
        <f t="shared" si="19"/>
        <v>4</v>
      </c>
      <c r="AM32" s="3">
        <f t="shared" si="20"/>
        <v>1</v>
      </c>
      <c r="AN32" s="3">
        <f t="array" ref="AN32">SUMPRODUCT(($C$5:$AG$5=6)*(C32:AG32="off"))</f>
        <v>3</v>
      </c>
      <c r="AO32" s="3" t="s">
        <v>406</v>
      </c>
      <c r="AP32" s="3" t="s">
        <v>84</v>
      </c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83" t="s">
        <v>6</v>
      </c>
      <c r="D33" s="83" t="s">
        <v>6</v>
      </c>
      <c r="E33" s="88" t="s">
        <v>2</v>
      </c>
      <c r="F33" s="88"/>
      <c r="G33" s="88" t="s">
        <v>3</v>
      </c>
      <c r="H33" s="88" t="s">
        <v>4</v>
      </c>
      <c r="I33" s="88" t="s">
        <v>4</v>
      </c>
      <c r="J33" s="88" t="s">
        <v>4</v>
      </c>
      <c r="K33" s="88" t="s">
        <v>4</v>
      </c>
      <c r="L33" s="33" t="s">
        <v>293</v>
      </c>
      <c r="M33" s="33" t="s">
        <v>2</v>
      </c>
      <c r="N33" s="33" t="s">
        <v>293</v>
      </c>
      <c r="O33" s="88" t="s">
        <v>3</v>
      </c>
      <c r="P33" s="33" t="s">
        <v>4</v>
      </c>
      <c r="Q33" s="83" t="s">
        <v>7</v>
      </c>
      <c r="R33" s="33" t="s">
        <v>2</v>
      </c>
      <c r="S33" s="33" t="s">
        <v>293</v>
      </c>
      <c r="T33" s="62"/>
      <c r="U33" s="62" t="s">
        <v>4</v>
      </c>
      <c r="V33" s="33"/>
      <c r="W33" s="62" t="s">
        <v>3</v>
      </c>
      <c r="X33" s="62" t="s">
        <v>2</v>
      </c>
      <c r="Y33" s="33" t="s">
        <v>2</v>
      </c>
      <c r="Z33" s="33" t="s">
        <v>2</v>
      </c>
      <c r="AA33" s="62" t="s">
        <v>4</v>
      </c>
      <c r="AB33" s="62"/>
      <c r="AC33" s="33"/>
      <c r="AD33" s="88" t="s">
        <v>6</v>
      </c>
      <c r="AE33" s="88" t="s">
        <v>2</v>
      </c>
      <c r="AF33" s="33" t="s">
        <v>2</v>
      </c>
      <c r="AG33" s="88"/>
      <c r="AH33" s="3">
        <f>(AI33*12)+(AJ33*12)+(AL33*8)+(AM33*4)</f>
        <v>132</v>
      </c>
      <c r="AI33" s="3">
        <f t="shared" si="16"/>
        <v>4</v>
      </c>
      <c r="AJ33" s="3">
        <f t="shared" si="17"/>
        <v>3</v>
      </c>
      <c r="AK33" s="3">
        <f t="shared" si="18"/>
        <v>18</v>
      </c>
      <c r="AL33" s="3">
        <f t="shared" si="19"/>
        <v>6</v>
      </c>
      <c r="AM33" s="3">
        <f t="shared" si="20"/>
        <v>0</v>
      </c>
      <c r="AN33" s="3">
        <f t="array" ref="AN33">SUMPRODUCT(($C$5:$AG$5=6)*(C33:AG33="off"))</f>
        <v>3</v>
      </c>
      <c r="AO33" s="3" t="s">
        <v>407</v>
      </c>
      <c r="AP33" s="3" t="s">
        <v>90</v>
      </c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 t="s">
        <v>2</v>
      </c>
      <c r="D34" s="33" t="s">
        <v>2</v>
      </c>
      <c r="E34" s="33" t="s">
        <v>2</v>
      </c>
      <c r="F34" s="88" t="s">
        <v>4</v>
      </c>
      <c r="G34" s="33" t="s">
        <v>2</v>
      </c>
      <c r="H34" s="62" t="s">
        <v>4</v>
      </c>
      <c r="I34" s="62" t="s">
        <v>2</v>
      </c>
      <c r="J34" s="83" t="s">
        <v>6</v>
      </c>
      <c r="K34" s="83" t="s">
        <v>6</v>
      </c>
      <c r="L34" s="33" t="s">
        <v>2</v>
      </c>
      <c r="M34" s="62" t="s">
        <v>4</v>
      </c>
      <c r="N34" s="319" t="s">
        <v>2</v>
      </c>
      <c r="O34" s="88" t="s">
        <v>4</v>
      </c>
      <c r="P34" s="88" t="s">
        <v>4</v>
      </c>
      <c r="Q34" s="33" t="s">
        <v>2</v>
      </c>
      <c r="R34" s="88" t="s">
        <v>4</v>
      </c>
      <c r="S34" s="88" t="s">
        <v>2</v>
      </c>
      <c r="T34" s="319" t="s">
        <v>2</v>
      </c>
      <c r="U34" s="319" t="s">
        <v>2</v>
      </c>
      <c r="V34" s="88" t="s">
        <v>3</v>
      </c>
      <c r="W34" s="88"/>
      <c r="X34" s="88" t="s">
        <v>4</v>
      </c>
      <c r="Y34" s="88" t="s">
        <v>4</v>
      </c>
      <c r="Z34" s="88"/>
      <c r="AA34" s="88"/>
      <c r="AB34" s="88" t="s">
        <v>2</v>
      </c>
      <c r="AC34" s="88" t="s">
        <v>3</v>
      </c>
      <c r="AD34" s="88"/>
      <c r="AE34" s="319" t="s">
        <v>7</v>
      </c>
      <c r="AF34" s="88" t="s">
        <v>4</v>
      </c>
      <c r="AG34" s="88"/>
      <c r="AH34" s="3">
        <f>(AI34*12)+(AJ34*12)+(AL34*8)+(AM34*4)</f>
        <v>100</v>
      </c>
      <c r="AI34" s="3">
        <f t="shared" si="16"/>
        <v>3</v>
      </c>
      <c r="AJ34" s="3">
        <f t="shared" si="17"/>
        <v>2</v>
      </c>
      <c r="AK34" s="3">
        <f t="shared" si="18"/>
        <v>21</v>
      </c>
      <c r="AL34" s="3">
        <f t="shared" si="19"/>
        <v>5</v>
      </c>
      <c r="AM34" s="3">
        <f t="shared" si="20"/>
        <v>0</v>
      </c>
      <c r="AN34" s="3">
        <f t="array" ref="AN34">SUMPRODUCT(($C$5:$AG$5=6)*(C34:AG34="off"))</f>
        <v>3</v>
      </c>
      <c r="AO34" s="3" t="s">
        <v>405</v>
      </c>
      <c r="AP34" s="3" t="s">
        <v>72</v>
      </c>
      <c r="AQ34" s="12"/>
      <c r="AR34" s="12"/>
      <c r="AS34" s="12"/>
      <c r="AT34" s="12"/>
      <c r="AU34" s="12"/>
    </row>
    <row r="35" spans="1:47" ht="20.25" customHeight="1">
      <c r="A35" s="6" t="s">
        <v>49</v>
      </c>
      <c r="B35" s="6" t="s">
        <v>419</v>
      </c>
      <c r="C35" s="33"/>
      <c r="D35" s="33"/>
      <c r="E35" s="33"/>
      <c r="F35" s="88"/>
      <c r="G35" s="88"/>
      <c r="H35" s="88"/>
      <c r="I35" s="88"/>
      <c r="J35" s="33"/>
      <c r="K35" s="33"/>
      <c r="L35" s="88"/>
      <c r="M35" s="88"/>
      <c r="N35" s="88"/>
      <c r="O35" s="88"/>
      <c r="P35" s="88"/>
      <c r="Q35" s="33"/>
      <c r="R35" s="88"/>
      <c r="S35" s="88"/>
      <c r="T35" s="88"/>
      <c r="U35" s="33"/>
      <c r="V35" s="33"/>
      <c r="W35" s="33"/>
      <c r="X35" s="33"/>
      <c r="Y35" s="33"/>
      <c r="Z35" s="33"/>
      <c r="AA35" s="88"/>
      <c r="AB35" s="88"/>
      <c r="AC35" s="88"/>
      <c r="AD35" s="88"/>
      <c r="AE35" s="88"/>
      <c r="AF35" s="88"/>
      <c r="AG35" s="88"/>
      <c r="AH35" s="3">
        <f t="shared" ref="AH35:AH40" si="21">(AI35*12)+(AJ35*12)+(AL35*8)+(AM35*4)</f>
        <v>228</v>
      </c>
      <c r="AI35" s="3">
        <f t="shared" si="16"/>
        <v>0</v>
      </c>
      <c r="AJ35" s="3">
        <f t="shared" si="17"/>
        <v>0</v>
      </c>
      <c r="AK35" s="3">
        <f t="shared" si="18"/>
        <v>0</v>
      </c>
      <c r="AL35" s="3">
        <f t="shared" si="19"/>
        <v>26</v>
      </c>
      <c r="AM35" s="3">
        <f t="shared" si="20"/>
        <v>5</v>
      </c>
      <c r="AN35" s="3">
        <f t="array" ref="AN35">SUMPRODUCT(($C$5:$AG$5=6)*(C35:AG35="off"))</f>
        <v>0</v>
      </c>
      <c r="AO35" s="3" t="s">
        <v>94</v>
      </c>
      <c r="AP35" s="3" t="s">
        <v>95</v>
      </c>
      <c r="AQ35" s="12"/>
      <c r="AR35" s="12"/>
      <c r="AS35" s="12"/>
      <c r="AT35" s="12"/>
      <c r="AU35" s="12"/>
    </row>
    <row r="36" spans="1:47" ht="20.25" customHeight="1">
      <c r="A36" s="6" t="s">
        <v>26</v>
      </c>
      <c r="B36" s="6" t="s">
        <v>419</v>
      </c>
      <c r="C36" s="88"/>
      <c r="D36" s="88"/>
      <c r="E36" s="88"/>
      <c r="F36" s="88"/>
      <c r="G36" s="88"/>
      <c r="H36" s="88"/>
      <c r="I36" s="88"/>
      <c r="J36" s="33"/>
      <c r="K36" s="33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3">
        <f t="shared" si="21"/>
        <v>228</v>
      </c>
      <c r="AI36" s="3">
        <f t="shared" si="16"/>
        <v>0</v>
      </c>
      <c r="AJ36" s="3">
        <f t="shared" si="17"/>
        <v>0</v>
      </c>
      <c r="AK36" s="3">
        <f t="shared" si="18"/>
        <v>0</v>
      </c>
      <c r="AL36" s="3">
        <f t="shared" si="19"/>
        <v>26</v>
      </c>
      <c r="AM36" s="3">
        <f t="shared" si="20"/>
        <v>5</v>
      </c>
      <c r="AN36" s="3">
        <f t="array" ref="AN36">SUMPRODUCT(($C$5:$AG$5=6)*(C36:AG36="off"))</f>
        <v>0</v>
      </c>
      <c r="AO36" s="3" t="s">
        <v>94</v>
      </c>
      <c r="AP36" s="3" t="s">
        <v>95</v>
      </c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88" t="s">
        <v>4</v>
      </c>
      <c r="D37" s="88" t="s">
        <v>4</v>
      </c>
      <c r="E37" s="88" t="s">
        <v>2</v>
      </c>
      <c r="F37" s="33" t="s">
        <v>2</v>
      </c>
      <c r="G37" s="62" t="s">
        <v>6</v>
      </c>
      <c r="H37" s="88" t="s">
        <v>6</v>
      </c>
      <c r="I37" s="88" t="s">
        <v>6</v>
      </c>
      <c r="J37" s="62" t="s">
        <v>4</v>
      </c>
      <c r="K37" s="88" t="s">
        <v>4</v>
      </c>
      <c r="L37" s="319" t="s">
        <v>2</v>
      </c>
      <c r="M37" s="319" t="s">
        <v>7</v>
      </c>
      <c r="N37" s="320"/>
      <c r="O37" s="88" t="s">
        <v>4</v>
      </c>
      <c r="P37" s="88"/>
      <c r="Q37" s="83" t="s">
        <v>6</v>
      </c>
      <c r="R37" s="88" t="s">
        <v>6</v>
      </c>
      <c r="S37" s="88" t="s">
        <v>2</v>
      </c>
      <c r="T37" s="88" t="s">
        <v>4</v>
      </c>
      <c r="U37" s="88" t="s">
        <v>3</v>
      </c>
      <c r="V37" s="88" t="s">
        <v>4</v>
      </c>
      <c r="W37" s="88" t="s">
        <v>4</v>
      </c>
      <c r="X37" s="319" t="s">
        <v>7</v>
      </c>
      <c r="Y37" s="88" t="s">
        <v>4</v>
      </c>
      <c r="Z37" s="88" t="s">
        <v>7</v>
      </c>
      <c r="AA37" s="88" t="s">
        <v>3</v>
      </c>
      <c r="AB37" s="88"/>
      <c r="AC37" s="33" t="s">
        <v>4</v>
      </c>
      <c r="AD37" s="33" t="s">
        <v>2</v>
      </c>
      <c r="AE37" s="33" t="s">
        <v>2</v>
      </c>
      <c r="AF37" s="33" t="s">
        <v>2</v>
      </c>
      <c r="AG37" s="88"/>
      <c r="AH37" s="3">
        <f t="shared" si="21"/>
        <v>152</v>
      </c>
      <c r="AI37" s="3">
        <f t="shared" si="16"/>
        <v>5</v>
      </c>
      <c r="AJ37" s="3">
        <f t="shared" si="17"/>
        <v>5</v>
      </c>
      <c r="AK37" s="3">
        <f t="shared" si="18"/>
        <v>17</v>
      </c>
      <c r="AL37" s="3">
        <f t="shared" si="19"/>
        <v>4</v>
      </c>
      <c r="AM37" s="3">
        <f t="shared" si="20"/>
        <v>0</v>
      </c>
      <c r="AN37" s="3">
        <f t="array" ref="AN37">SUMPRODUCT(($C$5:$AG$5=6)*(C37:AG37="off"))</f>
        <v>3</v>
      </c>
      <c r="AO37" s="3" t="s">
        <v>408</v>
      </c>
      <c r="AP37" s="3" t="s">
        <v>95</v>
      </c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88" t="s">
        <v>4</v>
      </c>
      <c r="D38" s="88" t="s">
        <v>7</v>
      </c>
      <c r="E38" s="33"/>
      <c r="F38" s="88" t="s">
        <v>4</v>
      </c>
      <c r="G38" s="88"/>
      <c r="H38" s="62" t="s">
        <v>2</v>
      </c>
      <c r="I38" s="62" t="s">
        <v>3</v>
      </c>
      <c r="J38" s="33"/>
      <c r="K38" s="88" t="s">
        <v>4</v>
      </c>
      <c r="L38" s="319" t="s">
        <v>7</v>
      </c>
      <c r="M38" s="319" t="s">
        <v>2</v>
      </c>
      <c r="N38" s="62" t="s">
        <v>2</v>
      </c>
      <c r="O38" s="62" t="s">
        <v>4</v>
      </c>
      <c r="P38" s="88" t="s">
        <v>4</v>
      </c>
      <c r="Q38" s="33" t="s">
        <v>2</v>
      </c>
      <c r="R38" s="88" t="s">
        <v>4</v>
      </c>
      <c r="S38" s="62" t="s">
        <v>2</v>
      </c>
      <c r="T38" s="88" t="s">
        <v>4</v>
      </c>
      <c r="U38" s="88"/>
      <c r="V38" s="88"/>
      <c r="W38" s="88"/>
      <c r="X38" s="83" t="s">
        <v>6</v>
      </c>
      <c r="Y38" s="83" t="s">
        <v>6</v>
      </c>
      <c r="Z38" s="88" t="s">
        <v>4</v>
      </c>
      <c r="AA38" s="88" t="s">
        <v>2</v>
      </c>
      <c r="AB38" s="88" t="s">
        <v>6</v>
      </c>
      <c r="AC38" s="88" t="s">
        <v>6</v>
      </c>
      <c r="AD38" s="88" t="s">
        <v>2</v>
      </c>
      <c r="AE38" s="88" t="s">
        <v>4</v>
      </c>
      <c r="AF38" s="88" t="s">
        <v>4</v>
      </c>
      <c r="AG38" s="88"/>
      <c r="AH38" s="3">
        <f t="shared" si="21"/>
        <v>136</v>
      </c>
      <c r="AI38" s="3">
        <f t="shared" si="16"/>
        <v>3</v>
      </c>
      <c r="AJ38" s="3">
        <f t="shared" si="17"/>
        <v>4</v>
      </c>
      <c r="AK38" s="3">
        <f t="shared" si="18"/>
        <v>17</v>
      </c>
      <c r="AL38" s="3">
        <f t="shared" si="19"/>
        <v>6</v>
      </c>
      <c r="AM38" s="3">
        <f t="shared" si="20"/>
        <v>1</v>
      </c>
      <c r="AN38" s="3">
        <f t="array" ref="AN38">SUMPRODUCT(($C$5:$AG$5=6)*(C38:AG38="off"))</f>
        <v>3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 t="s">
        <v>2</v>
      </c>
      <c r="D39" s="33" t="s">
        <v>2</v>
      </c>
      <c r="E39" s="33" t="s">
        <v>2</v>
      </c>
      <c r="F39" s="33" t="s">
        <v>2</v>
      </c>
      <c r="G39" s="33" t="s">
        <v>2</v>
      </c>
      <c r="H39" s="62" t="s">
        <v>3</v>
      </c>
      <c r="I39" s="62" t="s">
        <v>4</v>
      </c>
      <c r="J39" s="62" t="s">
        <v>4</v>
      </c>
      <c r="K39" s="83" t="s">
        <v>7</v>
      </c>
      <c r="L39" s="33"/>
      <c r="M39" s="62"/>
      <c r="N39" s="62" t="s">
        <v>6</v>
      </c>
      <c r="O39" s="62" t="s">
        <v>6</v>
      </c>
      <c r="P39" s="33" t="s">
        <v>2</v>
      </c>
      <c r="Q39" s="33" t="s">
        <v>2</v>
      </c>
      <c r="R39" s="33" t="s">
        <v>2</v>
      </c>
      <c r="S39" s="88" t="s">
        <v>3</v>
      </c>
      <c r="T39" s="88"/>
      <c r="U39" s="88"/>
      <c r="V39" s="88" t="s">
        <v>4</v>
      </c>
      <c r="W39" s="88" t="s">
        <v>2</v>
      </c>
      <c r="X39" s="83"/>
      <c r="Y39" s="33" t="s">
        <v>2</v>
      </c>
      <c r="Z39" s="88" t="s">
        <v>2</v>
      </c>
      <c r="AA39" s="88" t="s">
        <v>4</v>
      </c>
      <c r="AB39" s="88" t="s">
        <v>2</v>
      </c>
      <c r="AC39" s="88"/>
      <c r="AD39" s="88"/>
      <c r="AE39" s="88" t="s">
        <v>6</v>
      </c>
      <c r="AF39" s="88" t="s">
        <v>6</v>
      </c>
      <c r="AG39" s="88"/>
      <c r="AH39" s="3">
        <f t="shared" si="21"/>
        <v>144</v>
      </c>
      <c r="AI39" s="3">
        <f t="shared" si="16"/>
        <v>3</v>
      </c>
      <c r="AJ39" s="3">
        <f t="shared" si="17"/>
        <v>4</v>
      </c>
      <c r="AK39" s="3">
        <f t="shared" si="18"/>
        <v>16</v>
      </c>
      <c r="AL39" s="3">
        <f t="shared" si="19"/>
        <v>7</v>
      </c>
      <c r="AM39" s="3">
        <f t="shared" si="20"/>
        <v>1</v>
      </c>
      <c r="AN39" s="3">
        <f t="array" ref="AN39">SUMPRODUCT(($C$5:$AG$5=6)*(C39:AG39="off"))</f>
        <v>3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312</v>
      </c>
      <c r="B40" s="6"/>
      <c r="C40" s="88"/>
      <c r="D40" s="88" t="s">
        <v>4</v>
      </c>
      <c r="E40" s="88" t="s">
        <v>6</v>
      </c>
      <c r="F40" s="88" t="s">
        <v>6</v>
      </c>
      <c r="G40" s="88" t="s">
        <v>2</v>
      </c>
      <c r="H40" s="62"/>
      <c r="I40" s="62" t="s">
        <v>2</v>
      </c>
      <c r="J40" s="33" t="s">
        <v>4</v>
      </c>
      <c r="K40" s="33" t="s">
        <v>2</v>
      </c>
      <c r="L40" s="33" t="s">
        <v>2</v>
      </c>
      <c r="M40" s="33" t="s">
        <v>2</v>
      </c>
      <c r="N40" s="33" t="s">
        <v>3</v>
      </c>
      <c r="O40" s="62" t="s">
        <v>4</v>
      </c>
      <c r="P40" s="88" t="s">
        <v>3</v>
      </c>
      <c r="Q40" s="33"/>
      <c r="R40" s="88" t="s">
        <v>7</v>
      </c>
      <c r="S40" s="88"/>
      <c r="T40" s="88" t="s">
        <v>3</v>
      </c>
      <c r="U40" s="88" t="s">
        <v>2</v>
      </c>
      <c r="V40" s="88" t="s">
        <v>6</v>
      </c>
      <c r="W40" s="88" t="s">
        <v>6</v>
      </c>
      <c r="X40" s="83" t="s">
        <v>2</v>
      </c>
      <c r="Y40" s="33" t="s">
        <v>2</v>
      </c>
      <c r="Z40" s="33" t="s">
        <v>2</v>
      </c>
      <c r="AA40" s="33" t="s">
        <v>2</v>
      </c>
      <c r="AB40" s="33" t="s">
        <v>2</v>
      </c>
      <c r="AC40" s="33" t="s">
        <v>2</v>
      </c>
      <c r="AD40" s="33" t="s">
        <v>4</v>
      </c>
      <c r="AE40" s="62" t="s">
        <v>4</v>
      </c>
      <c r="AF40" s="88" t="s">
        <v>4</v>
      </c>
      <c r="AG40" s="88"/>
      <c r="AH40" s="3">
        <f t="shared" si="21"/>
        <v>128</v>
      </c>
      <c r="AI40" s="3">
        <f t="shared" si="16"/>
        <v>4</v>
      </c>
      <c r="AJ40" s="3">
        <f t="shared" si="17"/>
        <v>4</v>
      </c>
      <c r="AK40" s="3">
        <f t="shared" si="18"/>
        <v>18</v>
      </c>
      <c r="AL40" s="3">
        <f t="shared" si="19"/>
        <v>3</v>
      </c>
      <c r="AM40" s="3">
        <f t="shared" si="20"/>
        <v>2</v>
      </c>
      <c r="AN40" s="3">
        <f t="array" ref="AN40">SUMPRODUCT(($C$5:$AG$5=6)*(C40:AG40="off"))</f>
        <v>3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311</v>
      </c>
      <c r="B41" s="6" t="s">
        <v>419</v>
      </c>
      <c r="C41" s="88"/>
      <c r="D41" s="88"/>
      <c r="E41" s="88"/>
      <c r="F41" s="88"/>
      <c r="G41" s="88"/>
      <c r="H41" s="33"/>
      <c r="I41" s="33"/>
      <c r="J41" s="33"/>
      <c r="K41" s="33"/>
      <c r="L41" s="33"/>
      <c r="M41" s="33"/>
      <c r="N41" s="33"/>
      <c r="O41" s="33"/>
      <c r="P41" s="88"/>
      <c r="Q41" s="33"/>
      <c r="R41" s="88"/>
      <c r="S41" s="88"/>
      <c r="T41" s="88"/>
      <c r="U41" s="88"/>
      <c r="V41" s="88"/>
      <c r="W41" s="88"/>
      <c r="X41" s="83"/>
      <c r="Y41" s="33"/>
      <c r="Z41" s="88"/>
      <c r="AA41" s="88"/>
      <c r="AB41" s="33"/>
      <c r="AC41" s="33"/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 t="shared" ref="C43:R43" si="22">IF(C30="","",IF(C$19="國",COUNTA($BJ$6:$BJ$17)-$AX$3-$AX$4-$AX$2-COUNTA($BL$6:$BL$17),IF(C30="日",COUNTA($BJ$6:$BJ$17)-$AX$3-$AX$4-COUNTA($BL$6:$BL$17),IF(C30=6,COUNTA($BJ$6:$BJ$17)-$AX$5-COUNTA($BL$6:$BL$17),IF(C30&lt;6,COUNTA($BJ$6:$BJ$17)-$AX$5-COUNTA($BL$6:$BL$17))))))</f>
        <v>5</v>
      </c>
      <c r="D43" s="172">
        <f t="shared" si="22"/>
        <v>6</v>
      </c>
      <c r="E43" s="172">
        <f t="shared" si="22"/>
        <v>5</v>
      </c>
      <c r="F43" s="172">
        <f t="shared" si="22"/>
        <v>5</v>
      </c>
      <c r="G43" s="172">
        <f t="shared" si="22"/>
        <v>5</v>
      </c>
      <c r="H43" s="172">
        <f t="shared" si="22"/>
        <v>5</v>
      </c>
      <c r="I43" s="172">
        <f t="shared" si="22"/>
        <v>5</v>
      </c>
      <c r="J43" s="172">
        <f t="shared" si="22"/>
        <v>5</v>
      </c>
      <c r="K43" s="172">
        <f t="shared" si="22"/>
        <v>6</v>
      </c>
      <c r="L43" s="172">
        <f t="shared" si="22"/>
        <v>5</v>
      </c>
      <c r="M43" s="172">
        <f t="shared" si="22"/>
        <v>5</v>
      </c>
      <c r="N43" s="172">
        <f t="shared" si="22"/>
        <v>5</v>
      </c>
      <c r="O43" s="172">
        <f t="shared" si="22"/>
        <v>5</v>
      </c>
      <c r="P43" s="172">
        <f t="shared" si="22"/>
        <v>5</v>
      </c>
      <c r="Q43" s="172">
        <f t="shared" si="22"/>
        <v>5</v>
      </c>
      <c r="R43" s="172">
        <f t="shared" si="22"/>
        <v>6</v>
      </c>
      <c r="S43" s="172">
        <f t="shared" ref="S43:AG43" si="23">IF(S30="","",IF(S$19="國",COUNTA($BJ$6:$BJ$17)-$AY$3-$AY$4-$AY$2-COUNTA($BL$6:$BL$17),IF(S30="日",COUNTA($BJ$6:$BJ$17)-$AY$3-$AY$4-COUNTA($BL$6:$BL$17),IF(S30=6,COUNTA($BJ$6:$BJ$17)-$AY$5-COUNTA($BL$6:$BL$17),IF(S30&lt;6,COUNTA($BJ$6:$BJ$17)-$AY$5-COUNTA($BL$6:$BL$17))))))</f>
        <v>4</v>
      </c>
      <c r="T43" s="172">
        <f t="shared" si="23"/>
        <v>4</v>
      </c>
      <c r="U43" s="172">
        <f t="shared" si="23"/>
        <v>4</v>
      </c>
      <c r="V43" s="172">
        <f t="shared" si="23"/>
        <v>4</v>
      </c>
      <c r="W43" s="172">
        <f t="shared" si="23"/>
        <v>4</v>
      </c>
      <c r="X43" s="172">
        <f t="shared" si="23"/>
        <v>4</v>
      </c>
      <c r="Y43" s="172">
        <f t="shared" si="23"/>
        <v>6</v>
      </c>
      <c r="Z43" s="172">
        <f t="shared" si="23"/>
        <v>4</v>
      </c>
      <c r="AA43" s="172">
        <f t="shared" si="23"/>
        <v>4</v>
      </c>
      <c r="AB43" s="172">
        <f t="shared" si="23"/>
        <v>4</v>
      </c>
      <c r="AC43" s="172">
        <f t="shared" si="23"/>
        <v>4</v>
      </c>
      <c r="AD43" s="172">
        <f t="shared" si="23"/>
        <v>4</v>
      </c>
      <c r="AE43" s="172">
        <f t="shared" si="23"/>
        <v>4</v>
      </c>
      <c r="AF43" s="172">
        <f t="shared" si="23"/>
        <v>6</v>
      </c>
      <c r="AG43" s="172" t="str">
        <f t="shared" si="23"/>
        <v/>
      </c>
      <c r="AH43" s="3" t="s">
        <v>391</v>
      </c>
      <c r="AI43" s="3">
        <f>SUM(AI31:AI40)</f>
        <v>30</v>
      </c>
      <c r="AJ43" s="3">
        <f>SUM(AJ31:AJ40)</f>
        <v>30</v>
      </c>
      <c r="AK43" s="3">
        <f>SUM(AK31:AK40)</f>
        <v>143</v>
      </c>
      <c r="AL43" s="3">
        <f>SUM(AL31:AL40)</f>
        <v>90</v>
      </c>
      <c r="AM43" s="3">
        <f>SUM(AM31:AM40)-SUM(AM35:AM36)-SUM(AM41:AM42)</f>
        <v>7</v>
      </c>
      <c r="AN43" s="3">
        <f>SUM(AN31:AN40)</f>
        <v>23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</sheetData>
  <mergeCells count="12">
    <mergeCell ref="AH30:AM30"/>
    <mergeCell ref="A27:AP27"/>
    <mergeCell ref="A24:AP24"/>
    <mergeCell ref="A25:AP25"/>
    <mergeCell ref="BX11:BZ11"/>
    <mergeCell ref="A26:AP26"/>
    <mergeCell ref="A1:C2"/>
    <mergeCell ref="AH5:AM5"/>
    <mergeCell ref="D1:E1"/>
    <mergeCell ref="D2:E2"/>
    <mergeCell ref="A23:AP23"/>
    <mergeCell ref="T1:W2"/>
  </mergeCells>
  <phoneticPr fontId="11" type="noConversion"/>
  <conditionalFormatting sqref="AH4">
    <cfRule type="expression" dxfId="637" priority="34" stopIfTrue="1">
      <formula>WEEKDAY(AH$4)=7</formula>
    </cfRule>
    <cfRule type="expression" dxfId="636" priority="35" stopIfTrue="1">
      <formula>WEEKDAY(AH$4)=1</formula>
    </cfRule>
    <cfRule type="expression" dxfId="635" priority="36" stopIfTrue="1">
      <formula>WEEKDAY(AH$4)=7</formula>
    </cfRule>
    <cfRule type="expression" dxfId="634" priority="37" stopIfTrue="1">
      <formula>WEEKDAY(AH$4)=1</formula>
    </cfRule>
  </conditionalFormatting>
  <conditionalFormatting sqref="C18:AG18 C43:AG43">
    <cfRule type="expression" dxfId="633" priority="40" stopIfTrue="1">
      <formula>(COUNTIF(C$6:C$15,"off")+COUNTIF(C$6:C$15,"護"))&lt;&gt;C$18</formula>
    </cfRule>
  </conditionalFormatting>
  <conditionalFormatting sqref="C4:AG17">
    <cfRule type="expression" dxfId="632" priority="32" stopIfTrue="1">
      <formula>WEEKDAY(C$4,2)=6</formula>
    </cfRule>
    <cfRule type="expression" dxfId="631" priority="33" stopIfTrue="1">
      <formula>WEEKDAY(C$4,2)=7</formula>
    </cfRule>
  </conditionalFormatting>
  <conditionalFormatting sqref="C21:AG21">
    <cfRule type="expression" dxfId="630" priority="30" stopIfTrue="1">
      <formula>WEEKDAY(C$4,2)=6</formula>
    </cfRule>
    <cfRule type="expression" dxfId="629" priority="31" stopIfTrue="1">
      <formula>WEEKDAY(C$4,2)=7</formula>
    </cfRule>
  </conditionalFormatting>
  <conditionalFormatting sqref="CD5">
    <cfRule type="expression" dxfId="628" priority="10" stopIfTrue="1">
      <formula>COUNTIF(#REF!,"D")&lt;&gt;$BV4</formula>
    </cfRule>
  </conditionalFormatting>
  <conditionalFormatting sqref="CF5">
    <cfRule type="expression" dxfId="627" priority="11" stopIfTrue="1">
      <formula>COUNTIF(#REF!,"N")&lt;&gt;#REF!</formula>
    </cfRule>
  </conditionalFormatting>
  <conditionalFormatting sqref="CF14">
    <cfRule type="expression" dxfId="626" priority="4274" stopIfTrue="1">
      <formula>COUNTIF($C9:$AH9,"N")&lt;&gt;#REF!</formula>
    </cfRule>
  </conditionalFormatting>
  <conditionalFormatting sqref="CF15">
    <cfRule type="expression" dxfId="625" priority="4275" stopIfTrue="1">
      <formula>COUNTIF($C9:$AH9,"N")&lt;&gt;#REF!</formula>
    </cfRule>
  </conditionalFormatting>
  <conditionalFormatting sqref="CD6:CD9">
    <cfRule type="expression" dxfId="624" priority="4276" stopIfTrue="1">
      <formula>COUNTIF($C2:$AG2,"D")&lt;&gt;$BV5</formula>
    </cfRule>
  </conditionalFormatting>
  <conditionalFormatting sqref="CF12:CF15">
    <cfRule type="expression" dxfId="623" priority="4277" stopIfTrue="1">
      <formula>COUNTIF($C8:$AH8,"N")&lt;&gt;#REF!</formula>
    </cfRule>
  </conditionalFormatting>
  <conditionalFormatting sqref="CD12:CD15">
    <cfRule type="expression" dxfId="622" priority="4278" stopIfTrue="1">
      <formula>COUNTIF($C8:$AH8,"D")&lt;&gt;$BV11</formula>
    </cfRule>
  </conditionalFormatting>
  <conditionalFormatting sqref="CF6:CF9">
    <cfRule type="expression" dxfId="621" priority="4279" stopIfTrue="1">
      <formula>COUNTIF($C2:$AG2,"N")&lt;&gt;#REF!</formula>
    </cfRule>
  </conditionalFormatting>
  <conditionalFormatting sqref="CF11">
    <cfRule type="expression" dxfId="620" priority="4280" stopIfTrue="1">
      <formula>COUNTIF($D7:$AH7,"N")&lt;&gt;#REF!</formula>
    </cfRule>
  </conditionalFormatting>
  <conditionalFormatting sqref="CD11">
    <cfRule type="expression" dxfId="619" priority="4281" stopIfTrue="1">
      <formula>COUNTIF($D7:$AH7,"D")&lt;&gt;$BV10</formula>
    </cfRule>
  </conditionalFormatting>
  <conditionalFormatting sqref="AH29">
    <cfRule type="expression" dxfId="618" priority="3" stopIfTrue="1">
      <formula>WEEKDAY(AH$4)=7</formula>
    </cfRule>
    <cfRule type="expression" dxfId="617" priority="4" stopIfTrue="1">
      <formula>WEEKDAY(AH$4)=1</formula>
    </cfRule>
    <cfRule type="expression" dxfId="616" priority="5" stopIfTrue="1">
      <formula>WEEKDAY(AH$4)=7</formula>
    </cfRule>
    <cfRule type="expression" dxfId="615" priority="6" stopIfTrue="1">
      <formula>WEEKDAY(AH$4)=1</formula>
    </cfRule>
  </conditionalFormatting>
  <conditionalFormatting sqref="C29:AG42">
    <cfRule type="expression" dxfId="614" priority="1" stopIfTrue="1">
      <formula>WEEKDAY(C$4,2)=6</formula>
    </cfRule>
    <cfRule type="expression" dxfId="613" priority="2" stopIfTrue="1">
      <formula>WEEKDAY(C$4,2)=7</formula>
    </cfRule>
  </conditionalFormatting>
  <dataValidations count="5">
    <dataValidation type="list" allowBlank="1" sqref="A31:A42 A6:A17" xr:uid="{FB69BB7D-4C0A-44F1-8E1D-1BC8BCE7EE16}">
      <formula1>姓名清單</formula1>
    </dataValidation>
    <dataValidation type="list" allowBlank="1" showInputMessage="1" sqref="A18:A20 A43:A44" xr:uid="{D1B0AC63-F5E6-4778-85D3-7F108397B08D}">
      <formula1>$CM$11:$CN$11</formula1>
    </dataValidation>
    <dataValidation type="list" allowBlank="1" showInputMessage="1" showErrorMessage="1" sqref="A21" xr:uid="{1A5FEA65-1F39-4105-AA8A-7C90C5895D39}">
      <formula1>$CO$9:$CP$9</formula1>
    </dataValidation>
    <dataValidation type="list" allowBlank="1" showInputMessage="1" sqref="I31 Q10 U35:Z35 C35:E35 R39:R42 C38:C42 D41:D42 D38:D39 E38:J42 K39:K42 L38:Q42 S38:AE42 AG31:AG42 AF32:AF33 AF41:AF42 AF35:AF37 AF39 Q35 I6 U10:Z10 C10:E10 C21:E21 AF7:AF8 AF10:AF12 H21:J21 N21:AA21 AD21:AG21 C14:AG14 C15 L13:Q13 S13:AE13 E15:AE15 AG6:AG13 AG15 C16:AG17 C13:J13" xr:uid="{D81107B2-D3C2-4959-A24D-FF23C1B33ED0}">
      <formula1>$AI$19:$AI$31</formula1>
    </dataValidation>
    <dataValidation type="list" allowBlank="1" showInputMessage="1" sqref="Q36:Q37 AE6:AE12 Q31:Q34 K31:K38 D40 U36:Z37 R31:T37 I32:I37 AF38 AA35:AC37 C31:E34 AD32:AD37 AC31:AD31 AC32:AC34 F31:H37 C36:E37 J31:J37 L31:P37 U31:AB34 R38 AF31 AF34 AF40 AE31:AE37 Q11:Q12 Q6:Q9 K6:K13 D15 U11:Z12 R6:T12 I7:I12 AF13 AA10:AC12 K21:M21 C6:E9 AD7:AD12 AC6:AD6 AC7:AC9 F21:G21 F6:H12 C11:E12 J6:J12 L6:P12 U6:AB9 R13 AF6 AF9 AF15 AB21:AC21" xr:uid="{00578E75-8122-49DD-8512-4D9C657E2255}">
      <formula1>$AI$15:$AI$28</formula1>
    </dataValidation>
  </dataValidations>
  <pageMargins left="0.7" right="0.7" top="0.75" bottom="0.75" header="0.3" footer="0.3"/>
  <pageSetup paperSize="9" scale="1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複製並重命名工作表">
                <anchor moveWithCells="1" sizeWithCells="1">
                  <from>
                    <xdr:col>36</xdr:col>
                    <xdr:colOff>12700</xdr:colOff>
                    <xdr:row>0</xdr:row>
                    <xdr:rowOff>76200</xdr:rowOff>
                  </from>
                  <to>
                    <xdr:col>41</xdr:col>
                    <xdr:colOff>438150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5" name="Button 16">
              <controlPr defaultSize="0" print="0" autoFill="0" autoPict="0" macro="[0]!Toggle_Column_B">
                <anchor moveWithCells="1" sizeWithCells="1">
                  <from>
                    <xdr:col>31</xdr:col>
                    <xdr:colOff>82550</xdr:colOff>
                    <xdr:row>0</xdr:row>
                    <xdr:rowOff>107950</xdr:rowOff>
                  </from>
                  <to>
                    <xdr:col>35</xdr:col>
                    <xdr:colOff>190500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6" name="Button 17">
              <controlPr defaultSize="0" print="0" autoFill="0" autoPict="0" macro="[0]!Toggle_NonActive_Staff">
                <anchor moveWithCells="1" sizeWithCells="1">
                  <from>
                    <xdr:col>26</xdr:col>
                    <xdr:colOff>215900</xdr:colOff>
                    <xdr:row>0</xdr:row>
                    <xdr:rowOff>107950</xdr:rowOff>
                  </from>
                  <to>
                    <xdr:col>30</xdr:col>
                    <xdr:colOff>209550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7" name="Button 20">
              <controlPr defaultSize="0" print="0" autoFill="0" autoPict="0" macro="[0]!FillQuotas">
                <anchor moveWithCells="1" sizeWithCells="1">
                  <from>
                    <xdr:col>60</xdr:col>
                    <xdr:colOff>660400</xdr:colOff>
                    <xdr:row>0</xdr:row>
                    <xdr:rowOff>114300</xdr:rowOff>
                  </from>
                  <to>
                    <xdr:col>63</xdr:col>
                    <xdr:colOff>615950</xdr:colOff>
                    <xdr:row>1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346E-F0DD-46D5-9A22-C494D09F40DA}">
  <sheetPr codeName="工作表22">
    <pageSetUpPr fitToPage="1"/>
  </sheetPr>
  <dimension ref="A1:CP45"/>
  <sheetViews>
    <sheetView zoomScale="50" zoomScaleNormal="50" workbookViewId="0">
      <selection activeCell="AE12" sqref="AE12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4 ... 3</v>
      </c>
      <c r="G1" s="381" t="s">
        <v>410</v>
      </c>
      <c r="H1" s="381"/>
      <c r="I1" s="358" t="str">
        <f>BB4</f>
        <v>4 ... 3</v>
      </c>
      <c r="J1" s="381" t="s">
        <v>437</v>
      </c>
      <c r="K1" s="381"/>
      <c r="L1" s="358" t="str">
        <f>BG4</f>
        <v>15 ... 4</v>
      </c>
      <c r="M1" s="99" t="s">
        <v>438</v>
      </c>
      <c r="N1" s="358">
        <f>COUNTIF(C5:AG5,6)</f>
        <v>4</v>
      </c>
      <c r="O1" s="99" t="s">
        <v>439</v>
      </c>
      <c r="P1" s="358">
        <f>COUNTIF(C5:AG5,"日")</f>
        <v>4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2025</v>
      </c>
      <c r="H2" s="27" t="str">
        <f>"("&amp;YEAR(C4)-1911&amp;" 年 "&amp;")"</f>
        <v>(114 年 )</v>
      </c>
      <c r="I2" s="22"/>
      <c r="J2" s="23">
        <v>12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31</v>
      </c>
      <c r="BC2" s="350">
        <f>DAY(EOMONTH(C4,0))</f>
        <v>31</v>
      </c>
      <c r="BD2" s="350">
        <f>IF(ISBLANK(AY2),COUNTIF(C5:AG5,"6")*(COUNTA(BJ6:BJ17)-AX5-COUNTA(BL6:BL17)),"手動計算填入下方")</f>
        <v>12</v>
      </c>
      <c r="BE2" s="350">
        <f>COUNTIF(C5:AG5,"日")*((COUNTA(BJ6:BJ17))-AX4-AX3-COUNTA(AX14BE4:BL6:BL17))</f>
        <v>20</v>
      </c>
      <c r="BF2" s="350">
        <f t="array" ref="BF2">IF(ISBLANK(AY2),(SUMPRODUCT(--(C4:AG4&lt;&gt;""))-COUNTIF(C5:AG5,"日")-COUNTIF(C5:AG5,"6")-BH2)*((COUNTA(BJ6:BJ17))-AX5-COUNTA(BL6:BL17)),"手動計算填入下方")</f>
        <v>66</v>
      </c>
      <c r="BG2" s="350">
        <f t="array" ref="BG2">IF(ISBLANK(AY2),COUNTIF(C5:AG5,"6")*(COUNTA(BJ6:BJ17)-AX5-COUNTA(BL6:BL17)),BD3)+BE2+BH2*((COUNTA(BJ6:BJ17))-AX2-COUNTA(BL6:BL17))+IF(ISBLANK(AY2),((SUMPRODUCT(--(C4:AG4&lt;&gt;""))-COUNTIF(C5:AG5,"日")-COUNTIF(C5:AG5,"6")-BH2)*((COUNTA(BJ6:BJ17))-AX5-COUNTA(BL6:BL17))),BF3)+BG5</f>
        <v>109</v>
      </c>
      <c r="BH2" s="350">
        <f>COUNTIF(C19:AG19,"*國*")</f>
        <v>1</v>
      </c>
    </row>
    <row r="3" spans="1:94" ht="20.25" customHeight="1">
      <c r="A3" s="346" t="s">
        <v>414</v>
      </c>
      <c r="B3" s="346" t="s">
        <v>418</v>
      </c>
      <c r="C3" s="321"/>
      <c r="D3" s="322"/>
      <c r="E3" s="322"/>
      <c r="F3" s="174"/>
      <c r="G3" s="323"/>
      <c r="H3" s="324"/>
      <c r="I3" s="324"/>
      <c r="J3" s="325"/>
      <c r="K3" s="326"/>
      <c r="L3" s="326"/>
      <c r="M3" s="327"/>
      <c r="N3" s="322"/>
      <c r="O3" s="328"/>
      <c r="P3" s="328"/>
      <c r="Q3" s="329"/>
      <c r="R3" s="328"/>
      <c r="S3" s="328"/>
      <c r="T3" s="330"/>
      <c r="U3" s="331"/>
      <c r="V3" s="330"/>
      <c r="W3" s="323"/>
      <c r="X3" s="332"/>
      <c r="Y3" s="332"/>
      <c r="Z3" s="332"/>
      <c r="AA3" s="332"/>
      <c r="AB3" s="332"/>
      <c r="AC3" s="332"/>
      <c r="AD3" s="332"/>
      <c r="AE3" s="332"/>
      <c r="AF3" s="174"/>
      <c r="AG3" s="333"/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/>
      <c r="BH3" s="350"/>
      <c r="BW3" s="13"/>
    </row>
    <row r="4" spans="1:94" ht="20.25" customHeight="1">
      <c r="A4" s="19" t="s">
        <v>1</v>
      </c>
      <c r="B4" s="19"/>
      <c r="C4" s="30">
        <f>DATE($G$2,$J$2,1)</f>
        <v>45992</v>
      </c>
      <c r="D4" s="30">
        <f>C4+1</f>
        <v>45993</v>
      </c>
      <c r="E4" s="30">
        <f t="shared" ref="E4:AC4" si="0">D4+1</f>
        <v>45994</v>
      </c>
      <c r="F4" s="30">
        <f t="shared" si="0"/>
        <v>45995</v>
      </c>
      <c r="G4" s="30">
        <f t="shared" si="0"/>
        <v>45996</v>
      </c>
      <c r="H4" s="30">
        <f t="shared" si="0"/>
        <v>45997</v>
      </c>
      <c r="I4" s="30">
        <f t="shared" si="0"/>
        <v>45998</v>
      </c>
      <c r="J4" s="30">
        <f t="shared" si="0"/>
        <v>45999</v>
      </c>
      <c r="K4" s="30">
        <f t="shared" si="0"/>
        <v>46000</v>
      </c>
      <c r="L4" s="30">
        <f t="shared" si="0"/>
        <v>46001</v>
      </c>
      <c r="M4" s="30">
        <f t="shared" si="0"/>
        <v>46002</v>
      </c>
      <c r="N4" s="30">
        <f t="shared" si="0"/>
        <v>46003</v>
      </c>
      <c r="O4" s="30">
        <f t="shared" si="0"/>
        <v>46004</v>
      </c>
      <c r="P4" s="30">
        <f t="shared" si="0"/>
        <v>46005</v>
      </c>
      <c r="Q4" s="30">
        <f t="shared" si="0"/>
        <v>46006</v>
      </c>
      <c r="R4" s="30">
        <f t="shared" si="0"/>
        <v>46007</v>
      </c>
      <c r="S4" s="30">
        <f t="shared" si="0"/>
        <v>46008</v>
      </c>
      <c r="T4" s="30">
        <f t="shared" si="0"/>
        <v>46009</v>
      </c>
      <c r="U4" s="30">
        <f t="shared" si="0"/>
        <v>46010</v>
      </c>
      <c r="V4" s="30">
        <f t="shared" si="0"/>
        <v>46011</v>
      </c>
      <c r="W4" s="30">
        <f t="shared" si="0"/>
        <v>46012</v>
      </c>
      <c r="X4" s="30">
        <f t="shared" si="0"/>
        <v>46013</v>
      </c>
      <c r="Y4" s="30">
        <f t="shared" si="0"/>
        <v>46014</v>
      </c>
      <c r="Z4" s="30">
        <f t="shared" si="0"/>
        <v>46015</v>
      </c>
      <c r="AA4" s="30">
        <f t="shared" si="0"/>
        <v>46016</v>
      </c>
      <c r="AB4" s="30">
        <f t="shared" si="0"/>
        <v>46017</v>
      </c>
      <c r="AC4" s="30">
        <f t="shared" si="0"/>
        <v>46018</v>
      </c>
      <c r="AD4" s="30">
        <f>IFERROR(IF(MONTH(AC4+1)=$J$2,AC4+1,""),"")</f>
        <v>46019</v>
      </c>
      <c r="AE4" s="30">
        <f>IFERROR(IF(MONTH(AD4+1)=$J$2,AD4+1,""),"")</f>
        <v>46020</v>
      </c>
      <c r="AF4" s="30">
        <f>IFERROR(IF(MONTH(AE4+1)=$J$2,AE4+1,""),"")</f>
        <v>46021</v>
      </c>
      <c r="AG4" s="30">
        <f>IFERROR(IF(MONTH(AF4+1)=$J$2,AF4+1,""),"")</f>
        <v>46022</v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4 ... 3</v>
      </c>
      <c r="BC4" s="350" t="str">
        <f>QUOTIENT((COUNTA(C4:AG4)-COUNTIF(AE4:AG4,"")),COUNTA(BJ6:BJ15)-COUNTA(BL6:BL17))&amp;" ... "&amp;MOD((COUNTA(C4:AG4)-COUNTIF(AE4:AG4,"")),COUNTA(BJ6:BJ15)-COUNTA(BL6:BL17))</f>
        <v>4 ... 3</v>
      </c>
      <c r="BD4" s="350"/>
      <c r="BE4" s="350"/>
      <c r="BF4" s="350"/>
      <c r="BG4" s="350" t="str">
        <f>QUOTIENT(BG2,COUNTA(BJ6:BJ17)-COUNTA(BL6:BL17))&amp;" ... "&amp;MOD(BG2,COUNTA(BJ6:BJ17)-COUNTA(BL6:BL17))</f>
        <v>15 ... 4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1">IFERROR(IF(WEEKDAY(C4,2)=7,"日",WEEKDAY(C4,2)),"")</f>
        <v>1</v>
      </c>
      <c r="D5" s="31">
        <f>IFERROR(IF(WEEKDAY(D4,2)=7,"日",WEEKDAY(D4,2)),"")</f>
        <v>2</v>
      </c>
      <c r="E5" s="31">
        <f t="shared" si="1"/>
        <v>3</v>
      </c>
      <c r="F5" s="31">
        <f t="shared" si="1"/>
        <v>4</v>
      </c>
      <c r="G5" s="31">
        <f t="shared" si="1"/>
        <v>5</v>
      </c>
      <c r="H5" s="31">
        <f t="shared" si="1"/>
        <v>6</v>
      </c>
      <c r="I5" s="31" t="str">
        <f t="shared" si="1"/>
        <v>日</v>
      </c>
      <c r="J5" s="31">
        <f t="shared" si="1"/>
        <v>1</v>
      </c>
      <c r="K5" s="31">
        <f t="shared" si="1"/>
        <v>2</v>
      </c>
      <c r="L5" s="31">
        <f t="shared" si="1"/>
        <v>3</v>
      </c>
      <c r="M5" s="31">
        <f t="shared" si="1"/>
        <v>4</v>
      </c>
      <c r="N5" s="31">
        <f t="shared" si="1"/>
        <v>5</v>
      </c>
      <c r="O5" s="31">
        <f t="shared" si="1"/>
        <v>6</v>
      </c>
      <c r="P5" s="31" t="str">
        <f t="shared" si="1"/>
        <v>日</v>
      </c>
      <c r="Q5" s="31">
        <f t="shared" si="1"/>
        <v>1</v>
      </c>
      <c r="R5" s="31">
        <f t="shared" si="1"/>
        <v>2</v>
      </c>
      <c r="S5" s="31">
        <f t="shared" si="1"/>
        <v>3</v>
      </c>
      <c r="T5" s="31">
        <f t="shared" si="1"/>
        <v>4</v>
      </c>
      <c r="U5" s="31">
        <f t="shared" si="1"/>
        <v>5</v>
      </c>
      <c r="V5" s="31">
        <f t="shared" si="1"/>
        <v>6</v>
      </c>
      <c r="W5" s="31" t="str">
        <f t="shared" si="1"/>
        <v>日</v>
      </c>
      <c r="X5" s="31">
        <f t="shared" si="1"/>
        <v>1</v>
      </c>
      <c r="Y5" s="31">
        <f t="shared" si="1"/>
        <v>2</v>
      </c>
      <c r="Z5" s="31">
        <f t="shared" si="1"/>
        <v>3</v>
      </c>
      <c r="AA5" s="31">
        <f t="shared" si="1"/>
        <v>4</v>
      </c>
      <c r="AB5" s="31">
        <f t="shared" si="1"/>
        <v>5</v>
      </c>
      <c r="AC5" s="31">
        <f t="shared" si="1"/>
        <v>6</v>
      </c>
      <c r="AD5" s="31" t="str">
        <f t="shared" si="1"/>
        <v>日</v>
      </c>
      <c r="AE5" s="31">
        <f t="shared" si="1"/>
        <v>1</v>
      </c>
      <c r="AF5" s="31">
        <f t="shared" si="1"/>
        <v>2</v>
      </c>
      <c r="AG5" s="31">
        <f t="shared" si="1"/>
        <v>3</v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G5">
        <v>6</v>
      </c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83"/>
      <c r="D6" s="62" t="s">
        <v>7</v>
      </c>
      <c r="E6" s="62"/>
      <c r="F6" s="33" t="s">
        <v>2</v>
      </c>
      <c r="G6" s="33" t="s">
        <v>2</v>
      </c>
      <c r="H6" s="33" t="s">
        <v>2</v>
      </c>
      <c r="I6" s="62" t="s">
        <v>2</v>
      </c>
      <c r="J6" s="83" t="s">
        <v>7</v>
      </c>
      <c r="K6" s="62"/>
      <c r="L6" s="83" t="s">
        <v>2</v>
      </c>
      <c r="M6" s="83" t="s">
        <v>2</v>
      </c>
      <c r="N6" s="88" t="s">
        <v>6</v>
      </c>
      <c r="O6" s="33" t="s">
        <v>6</v>
      </c>
      <c r="P6" s="33" t="s">
        <v>6</v>
      </c>
      <c r="Q6" s="62" t="s">
        <v>2</v>
      </c>
      <c r="R6" s="33"/>
      <c r="S6" s="83"/>
      <c r="T6" s="62" t="s">
        <v>6</v>
      </c>
      <c r="U6" s="62" t="s">
        <v>2</v>
      </c>
      <c r="V6" s="62" t="s">
        <v>2</v>
      </c>
      <c r="W6" s="62" t="s">
        <v>2</v>
      </c>
      <c r="X6" s="33" t="s">
        <v>2</v>
      </c>
      <c r="Y6" s="33" t="s">
        <v>2</v>
      </c>
      <c r="Z6" s="33" t="s">
        <v>2</v>
      </c>
      <c r="AA6" s="33" t="s">
        <v>2</v>
      </c>
      <c r="AB6" s="33" t="s">
        <v>2</v>
      </c>
      <c r="AC6" s="33" t="s">
        <v>441</v>
      </c>
      <c r="AD6" s="62" t="s">
        <v>2</v>
      </c>
      <c r="AE6" s="83"/>
      <c r="AF6" s="83" t="s">
        <v>7</v>
      </c>
      <c r="AG6" s="83"/>
      <c r="AH6" s="3">
        <f t="shared" ref="AH6:AH17" si="2">(AI6*12)+(AJ6*12)+(AL6*8)+(AM6*4)</f>
        <v>152</v>
      </c>
      <c r="AI6" s="3">
        <f>COUNTIF(C6:AG6,"D")+COUNTIF(C6:AG6,"NrsD")</f>
        <v>4</v>
      </c>
      <c r="AJ6" s="3">
        <f>COUNTIF(C6:AG6,"N")</f>
        <v>4</v>
      </c>
      <c r="AK6" s="3">
        <f>COUNTIF(C6:AG6,"OFF")+COUNTIF(C6:AG6,"上課")</f>
        <v>16</v>
      </c>
      <c r="AL6" s="3">
        <f>COUNTIF(C6:AG6,"")-AM6+COUNTIF(C6:AG6,"h3")</f>
        <v>7</v>
      </c>
      <c r="AM6" s="3">
        <f>COUNTIFS($C$5:$AG$5,"6",C6:AG6,"")+COUNTIF(C6:AG6,"h3")</f>
        <v>0</v>
      </c>
      <c r="AN6" s="3">
        <f t="array" ref="AN6">SUMPRODUCT(($C$5:$AG$5=6)*(C6:AG6="off"))</f>
        <v>2</v>
      </c>
      <c r="AO6" s="3" t="s">
        <v>404</v>
      </c>
      <c r="AP6" s="3" t="s">
        <v>56</v>
      </c>
      <c r="AQ6" s="12"/>
      <c r="AR6" s="256">
        <f>BN6</f>
        <v>4</v>
      </c>
      <c r="AS6" s="256">
        <f>BP6</f>
        <v>4</v>
      </c>
      <c r="AT6" s="256">
        <f>BR6</f>
        <v>16</v>
      </c>
      <c r="AU6" s="256">
        <f>BT6</f>
        <v>2</v>
      </c>
      <c r="AV6" s="91"/>
      <c r="BJ6" s="348" t="s">
        <v>384</v>
      </c>
      <c r="BK6" s="348" t="str">
        <f>A31</f>
        <v>B黃郁芳</v>
      </c>
      <c r="BL6" s="348"/>
      <c r="BM6" s="348"/>
      <c r="BN6" s="348">
        <v>4</v>
      </c>
      <c r="BO6" s="348" t="s">
        <v>419</v>
      </c>
      <c r="BP6" s="348">
        <v>4</v>
      </c>
      <c r="BQ6" s="348"/>
      <c r="BR6" s="348">
        <v>16</v>
      </c>
      <c r="BS6" s="348"/>
      <c r="BT6" s="348">
        <v>2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3">IF(B32="","",B32)</f>
        <v/>
      </c>
      <c r="C7" s="62" t="s">
        <v>7</v>
      </c>
      <c r="D7" s="83"/>
      <c r="E7" s="33" t="s">
        <v>2</v>
      </c>
      <c r="F7" s="83"/>
      <c r="G7" s="83" t="s">
        <v>7</v>
      </c>
      <c r="H7" s="33"/>
      <c r="I7" s="62" t="s">
        <v>2</v>
      </c>
      <c r="J7" s="33"/>
      <c r="K7" s="62" t="s">
        <v>2</v>
      </c>
      <c r="L7" s="83" t="s">
        <v>2</v>
      </c>
      <c r="M7" s="33"/>
      <c r="N7" s="62"/>
      <c r="O7" s="62" t="s">
        <v>2</v>
      </c>
      <c r="P7" s="62" t="s">
        <v>2</v>
      </c>
      <c r="Q7" s="83"/>
      <c r="R7" s="33" t="s">
        <v>2</v>
      </c>
      <c r="S7" s="88" t="s">
        <v>479</v>
      </c>
      <c r="T7" s="83" t="s">
        <v>469</v>
      </c>
      <c r="U7" s="83" t="s">
        <v>441</v>
      </c>
      <c r="V7" s="33" t="s">
        <v>6</v>
      </c>
      <c r="W7" s="33" t="s">
        <v>6</v>
      </c>
      <c r="X7" s="62" t="s">
        <v>2</v>
      </c>
      <c r="Y7" s="62" t="s">
        <v>2</v>
      </c>
      <c r="Z7" s="83"/>
      <c r="AA7" s="62" t="s">
        <v>2</v>
      </c>
      <c r="AB7" s="83" t="s">
        <v>2</v>
      </c>
      <c r="AC7" s="62" t="s">
        <v>2</v>
      </c>
      <c r="AD7" s="62" t="s">
        <v>2</v>
      </c>
      <c r="AE7" s="83" t="s">
        <v>7</v>
      </c>
      <c r="AF7" s="62" t="s">
        <v>2</v>
      </c>
      <c r="AG7" s="83" t="s">
        <v>2</v>
      </c>
      <c r="AH7" s="3">
        <f t="shared" si="2"/>
        <v>144</v>
      </c>
      <c r="AI7" s="3">
        <f>COUNTIF(C7:AG7,"D")+COUNTIF(C7:AG7,"NrsD")</f>
        <v>4</v>
      </c>
      <c r="AJ7" s="3">
        <f>COUNTIF(C7:AG7,"N")</f>
        <v>3</v>
      </c>
      <c r="AK7" s="3">
        <f>COUNTIF(C7:AG7,"OFF")+COUNTIF(C7:AG7,"上課")</f>
        <v>16</v>
      </c>
      <c r="AL7" s="3">
        <f>COUNTIF(C7:AG7,"")-AM7+COUNTIF(C7:AG7,"h3")</f>
        <v>7</v>
      </c>
      <c r="AM7" s="3">
        <f>COUNTIFS($C$5:$AG$5,"6",C7:AG7,"")+COUNTIF(C7:AG7,"h3")</f>
        <v>1</v>
      </c>
      <c r="AN7" s="3">
        <f t="array" ref="AN7">SUMPRODUCT(($C$5:$AG$5=6)*(C7:AG7="off"))</f>
        <v>2</v>
      </c>
      <c r="AO7" s="3" t="s">
        <v>406</v>
      </c>
      <c r="AP7" s="3" t="s">
        <v>84</v>
      </c>
      <c r="AQ7" s="12"/>
      <c r="AR7" s="256">
        <f t="shared" ref="AR7:AR17" si="4">BN7</f>
        <v>4</v>
      </c>
      <c r="AS7" s="256">
        <f t="shared" ref="AS7:AS17" si="5">BP7</f>
        <v>3</v>
      </c>
      <c r="AT7" s="256">
        <f t="shared" ref="AT7:AT17" si="6">BR7</f>
        <v>16</v>
      </c>
      <c r="AU7" s="256">
        <f t="shared" ref="AU7:AU17" si="7">BT7</f>
        <v>2</v>
      </c>
      <c r="BJ7" s="348" t="s">
        <v>384</v>
      </c>
      <c r="BK7" s="348" t="str">
        <f t="shared" ref="BK7:BK17" si="8">A32</f>
        <v>C詹絲庭</v>
      </c>
      <c r="BL7" s="348"/>
      <c r="BM7" s="348"/>
      <c r="BN7" s="348">
        <v>4</v>
      </c>
      <c r="BO7" s="348"/>
      <c r="BP7" s="348">
        <v>3</v>
      </c>
      <c r="BQ7" s="348" t="s">
        <v>449</v>
      </c>
      <c r="BR7" s="348">
        <v>16</v>
      </c>
      <c r="BS7" s="348"/>
      <c r="BT7" s="348">
        <v>2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9">A33</f>
        <v>D王子建</v>
      </c>
      <c r="B8" s="338" t="str">
        <f t="shared" si="3"/>
        <v/>
      </c>
      <c r="C8" s="361" t="s">
        <v>469</v>
      </c>
      <c r="D8" s="361" t="s">
        <v>469</v>
      </c>
      <c r="E8" s="361" t="s">
        <v>467</v>
      </c>
      <c r="F8" s="362" t="s">
        <v>6</v>
      </c>
      <c r="G8" s="362" t="s">
        <v>6</v>
      </c>
      <c r="H8" s="361" t="s">
        <v>6</v>
      </c>
      <c r="I8" s="361" t="s">
        <v>6</v>
      </c>
      <c r="J8" s="362" t="s">
        <v>2</v>
      </c>
      <c r="K8" s="362" t="s">
        <v>467</v>
      </c>
      <c r="L8" s="361" t="s">
        <v>467</v>
      </c>
      <c r="M8" s="362" t="s">
        <v>2</v>
      </c>
      <c r="N8" s="362" t="s">
        <v>2</v>
      </c>
      <c r="O8" s="361" t="s">
        <v>467</v>
      </c>
      <c r="P8" s="362" t="s">
        <v>467</v>
      </c>
      <c r="Q8" s="362" t="s">
        <v>467</v>
      </c>
      <c r="R8" s="362" t="s">
        <v>467</v>
      </c>
      <c r="S8" s="361" t="s">
        <v>462</v>
      </c>
      <c r="T8" s="361" t="s">
        <v>2</v>
      </c>
      <c r="U8" s="361" t="s">
        <v>2</v>
      </c>
      <c r="V8" s="361" t="s">
        <v>2</v>
      </c>
      <c r="W8" s="361" t="s">
        <v>7</v>
      </c>
      <c r="X8" s="361" t="s">
        <v>467</v>
      </c>
      <c r="Y8" s="361" t="s">
        <v>462</v>
      </c>
      <c r="Z8" s="361" t="s">
        <v>2</v>
      </c>
      <c r="AA8" s="361" t="s">
        <v>7</v>
      </c>
      <c r="AB8" s="361" t="s">
        <v>467</v>
      </c>
      <c r="AC8" s="361" t="s">
        <v>467</v>
      </c>
      <c r="AD8" s="362" t="s">
        <v>2</v>
      </c>
      <c r="AE8" s="362" t="s">
        <v>2</v>
      </c>
      <c r="AF8" s="362" t="s">
        <v>2</v>
      </c>
      <c r="AG8" s="362" t="s">
        <v>2</v>
      </c>
      <c r="AH8" s="3">
        <f t="shared" si="2"/>
        <v>96</v>
      </c>
      <c r="AI8" s="3">
        <f>COUNTIF(C8:AG8,"D")+COUNTIF(C8:AG8,"NrsD")</f>
        <v>4</v>
      </c>
      <c r="AJ8" s="3">
        <f t="shared" ref="AJ8:AJ17" si="10">COUNTIF(C8:AG8,"N")</f>
        <v>4</v>
      </c>
      <c r="AK8" s="3">
        <f t="shared" ref="AK8:AK17" si="11">COUNTIF(C8:AG8,"OFF")+COUNTIF(C8:AG8,"上課")</f>
        <v>13</v>
      </c>
      <c r="AL8" s="3">
        <f t="shared" ref="AL8:AL17" si="12">COUNTIF(C8:AG8,"")-AM8+COUNTIF(C8:AG8,"h3")</f>
        <v>0</v>
      </c>
      <c r="AM8" s="3">
        <f t="shared" ref="AM8:AM17" si="13">COUNTIFS($C$5:$AG$5,"6",C8:AG8,"")+COUNTIF(C8:AG8,"h3")</f>
        <v>0</v>
      </c>
      <c r="AN8" s="3">
        <f t="array" ref="AN8">SUMPRODUCT(($C$5:$AG$5=6)*(C8:AG8="off"))</f>
        <v>1</v>
      </c>
      <c r="AO8" s="3" t="s">
        <v>407</v>
      </c>
      <c r="AP8" s="3" t="s">
        <v>90</v>
      </c>
      <c r="AQ8" s="12"/>
      <c r="AR8" s="256">
        <f t="shared" si="4"/>
        <v>4</v>
      </c>
      <c r="AS8" s="256">
        <f t="shared" si="5"/>
        <v>4</v>
      </c>
      <c r="AT8" s="256">
        <f t="shared" si="6"/>
        <v>0</v>
      </c>
      <c r="AU8" s="256">
        <f t="shared" si="7"/>
        <v>0</v>
      </c>
      <c r="BJ8" s="348" t="s">
        <v>384</v>
      </c>
      <c r="BK8" s="348" t="str">
        <f t="shared" si="8"/>
        <v>D王子建</v>
      </c>
      <c r="BL8" s="348" t="s">
        <v>451</v>
      </c>
      <c r="BM8" s="348" t="s">
        <v>419</v>
      </c>
      <c r="BN8" s="348">
        <v>4</v>
      </c>
      <c r="BO8" s="348" t="s">
        <v>448</v>
      </c>
      <c r="BP8" s="348">
        <v>4</v>
      </c>
      <c r="BQ8" s="348"/>
      <c r="BR8" s="348"/>
      <c r="BS8" s="348"/>
      <c r="BT8" s="348"/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9"/>
        <v>E詹雅慈</v>
      </c>
      <c r="B9" s="338" t="str">
        <f t="shared" si="3"/>
        <v/>
      </c>
      <c r="C9" s="83"/>
      <c r="D9" s="62" t="s">
        <v>6</v>
      </c>
      <c r="E9" s="62" t="s">
        <v>6</v>
      </c>
      <c r="F9" s="62" t="s">
        <v>2</v>
      </c>
      <c r="G9" s="33" t="s">
        <v>2</v>
      </c>
      <c r="H9" s="33" t="s">
        <v>2</v>
      </c>
      <c r="I9" s="33" t="s">
        <v>2</v>
      </c>
      <c r="J9" s="33" t="s">
        <v>2</v>
      </c>
      <c r="K9" s="83" t="s">
        <v>7</v>
      </c>
      <c r="L9" s="33"/>
      <c r="M9" s="83" t="s">
        <v>7</v>
      </c>
      <c r="N9" s="33" t="s">
        <v>2</v>
      </c>
      <c r="O9" s="33" t="s">
        <v>2</v>
      </c>
      <c r="P9" s="62" t="s">
        <v>2</v>
      </c>
      <c r="Q9" s="33" t="s">
        <v>2</v>
      </c>
      <c r="R9" s="83"/>
      <c r="S9" s="83"/>
      <c r="T9" s="83"/>
      <c r="U9" s="62" t="s">
        <v>2</v>
      </c>
      <c r="V9" s="62"/>
      <c r="W9" s="62" t="s">
        <v>2</v>
      </c>
      <c r="X9" s="62" t="s">
        <v>6</v>
      </c>
      <c r="Y9" s="62" t="s">
        <v>6</v>
      </c>
      <c r="Z9" s="83" t="s">
        <v>2</v>
      </c>
      <c r="AA9" s="62" t="s">
        <v>2</v>
      </c>
      <c r="AB9" s="83" t="s">
        <v>7</v>
      </c>
      <c r="AC9" s="33"/>
      <c r="AD9" s="62" t="s">
        <v>2</v>
      </c>
      <c r="AE9" s="62" t="s">
        <v>2</v>
      </c>
      <c r="AF9" s="83"/>
      <c r="AG9" s="62"/>
      <c r="AH9" s="3">
        <f t="shared" si="2"/>
        <v>148</v>
      </c>
      <c r="AI9" s="3">
        <f t="shared" ref="AI9:AI15" si="14">COUNTIF(C9:AG9,"D")+COUNTIF(C9:AG9,"NrsD")</f>
        <v>3</v>
      </c>
      <c r="AJ9" s="3">
        <f t="shared" si="10"/>
        <v>4</v>
      </c>
      <c r="AK9" s="3">
        <f t="shared" si="11"/>
        <v>15</v>
      </c>
      <c r="AL9" s="3">
        <f t="shared" si="12"/>
        <v>7</v>
      </c>
      <c r="AM9" s="3">
        <f t="shared" si="13"/>
        <v>2</v>
      </c>
      <c r="AN9" s="3">
        <f t="array" ref="AN9">SUMPRODUCT(($C$5:$AG$5=6)*(C9:AG9="off"))</f>
        <v>2</v>
      </c>
      <c r="AO9" s="3" t="s">
        <v>405</v>
      </c>
      <c r="AP9" s="3" t="s">
        <v>72</v>
      </c>
      <c r="AQ9" s="12"/>
      <c r="AR9" s="256">
        <f t="shared" si="4"/>
        <v>3</v>
      </c>
      <c r="AS9" s="256">
        <f t="shared" si="5"/>
        <v>4</v>
      </c>
      <c r="AT9" s="256">
        <f t="shared" si="6"/>
        <v>15</v>
      </c>
      <c r="AU9" s="256">
        <f t="shared" si="7"/>
        <v>2</v>
      </c>
      <c r="BJ9" s="348" t="s">
        <v>384</v>
      </c>
      <c r="BK9" s="348" t="str">
        <f t="shared" si="8"/>
        <v>E詹雅慈</v>
      </c>
      <c r="BL9" s="348"/>
      <c r="BM9" s="348"/>
      <c r="BN9" s="348">
        <v>3</v>
      </c>
      <c r="BO9" s="348"/>
      <c r="BP9" s="348">
        <v>4</v>
      </c>
      <c r="BQ9" s="348"/>
      <c r="BR9" s="348">
        <v>15</v>
      </c>
      <c r="BS9" s="348"/>
      <c r="BT9" s="348">
        <v>2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9"/>
        <v>F丁韋綸</v>
      </c>
      <c r="B10" s="338" t="str">
        <f t="shared" si="3"/>
        <v>X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">
        <f t="shared" si="2"/>
        <v>232</v>
      </c>
      <c r="AI10" s="3">
        <f t="shared" si="14"/>
        <v>0</v>
      </c>
      <c r="AJ10" s="3">
        <f t="shared" si="10"/>
        <v>0</v>
      </c>
      <c r="AK10" s="3">
        <f t="shared" si="11"/>
        <v>0</v>
      </c>
      <c r="AL10" s="3">
        <f t="shared" si="12"/>
        <v>27</v>
      </c>
      <c r="AM10" s="3">
        <f t="shared" si="13"/>
        <v>4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4"/>
        <v>0</v>
      </c>
      <c r="AS10" s="256">
        <f t="shared" si="5"/>
        <v>0</v>
      </c>
      <c r="AT10" s="256">
        <f t="shared" si="6"/>
        <v>0</v>
      </c>
      <c r="AU10" s="256">
        <f t="shared" si="7"/>
        <v>0</v>
      </c>
      <c r="BJ10" s="348"/>
      <c r="BK10" s="348" t="str">
        <f t="shared" si="8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9"/>
        <v>G陳盈潔</v>
      </c>
      <c r="B11" s="338" t="str">
        <f t="shared" si="3"/>
        <v>X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">
        <f t="shared" si="2"/>
        <v>232</v>
      </c>
      <c r="AI11" s="3">
        <f t="shared" si="14"/>
        <v>0</v>
      </c>
      <c r="AJ11" s="3">
        <f t="shared" si="10"/>
        <v>0</v>
      </c>
      <c r="AK11" s="3">
        <f t="shared" si="11"/>
        <v>0</v>
      </c>
      <c r="AL11" s="3">
        <f t="shared" si="12"/>
        <v>27</v>
      </c>
      <c r="AM11" s="3">
        <f t="shared" si="13"/>
        <v>4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4"/>
        <v>0</v>
      </c>
      <c r="AS11" s="256">
        <f t="shared" si="5"/>
        <v>0</v>
      </c>
      <c r="AT11" s="256">
        <f t="shared" si="6"/>
        <v>0</v>
      </c>
      <c r="AU11" s="256">
        <f t="shared" si="7"/>
        <v>0</v>
      </c>
      <c r="BJ11" s="348"/>
      <c r="BK11" s="348" t="str">
        <f t="shared" si="8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9"/>
        <v>H張心柔</v>
      </c>
      <c r="B12" s="338" t="str">
        <f t="shared" si="3"/>
        <v/>
      </c>
      <c r="C12" s="33" t="s">
        <v>2</v>
      </c>
      <c r="D12" s="33" t="s">
        <v>2</v>
      </c>
      <c r="E12" s="33" t="s">
        <v>2</v>
      </c>
      <c r="F12" s="33" t="s">
        <v>2</v>
      </c>
      <c r="G12" s="33" t="s">
        <v>2</v>
      </c>
      <c r="H12" s="33" t="s">
        <v>2</v>
      </c>
      <c r="I12" s="33" t="s">
        <v>7</v>
      </c>
      <c r="J12" s="33"/>
      <c r="K12" s="83" t="s">
        <v>2</v>
      </c>
      <c r="L12" s="83" t="s">
        <v>2</v>
      </c>
      <c r="M12" s="83"/>
      <c r="N12" s="83" t="s">
        <v>7</v>
      </c>
      <c r="O12" s="33"/>
      <c r="P12" s="62" t="s">
        <v>2</v>
      </c>
      <c r="Q12" s="33" t="s">
        <v>2</v>
      </c>
      <c r="R12" s="83" t="s">
        <v>7</v>
      </c>
      <c r="S12" s="62"/>
      <c r="T12" s="62"/>
      <c r="U12" s="83" t="s">
        <v>6</v>
      </c>
      <c r="V12" s="83" t="s">
        <v>2</v>
      </c>
      <c r="W12" s="62" t="s">
        <v>2</v>
      </c>
      <c r="X12" s="33" t="s">
        <v>2</v>
      </c>
      <c r="Y12" s="33"/>
      <c r="Z12" s="83" t="s">
        <v>7</v>
      </c>
      <c r="AA12" s="62" t="s">
        <v>2</v>
      </c>
      <c r="AB12" s="62"/>
      <c r="AC12" s="62"/>
      <c r="AD12" s="62" t="s">
        <v>2</v>
      </c>
      <c r="AE12" s="83" t="s">
        <v>6</v>
      </c>
      <c r="AF12" s="62" t="s">
        <v>6</v>
      </c>
      <c r="AG12" s="62" t="s">
        <v>6</v>
      </c>
      <c r="AH12" s="3">
        <f t="shared" si="2"/>
        <v>152</v>
      </c>
      <c r="AI12" s="3">
        <f t="shared" si="14"/>
        <v>4</v>
      </c>
      <c r="AJ12" s="3">
        <f t="shared" si="10"/>
        <v>4</v>
      </c>
      <c r="AK12" s="3">
        <f t="shared" si="11"/>
        <v>15</v>
      </c>
      <c r="AL12" s="3">
        <f t="shared" si="12"/>
        <v>6</v>
      </c>
      <c r="AM12" s="3">
        <f t="shared" si="13"/>
        <v>2</v>
      </c>
      <c r="AN12" s="3">
        <f t="array" ref="AN12">SUMPRODUCT(($C$5:$AG$5=6)*(C12:AG12="off"))</f>
        <v>2</v>
      </c>
      <c r="AO12" s="3" t="s">
        <v>408</v>
      </c>
      <c r="AP12" s="3" t="s">
        <v>95</v>
      </c>
      <c r="AQ12" s="12"/>
      <c r="AR12" s="256">
        <f t="shared" si="4"/>
        <v>4</v>
      </c>
      <c r="AS12" s="256">
        <f t="shared" si="5"/>
        <v>4</v>
      </c>
      <c r="AT12" s="256">
        <f t="shared" si="6"/>
        <v>15</v>
      </c>
      <c r="AU12" s="256">
        <f t="shared" si="7"/>
        <v>2</v>
      </c>
      <c r="BJ12" s="348" t="s">
        <v>384</v>
      </c>
      <c r="BK12" s="348" t="str">
        <f t="shared" si="8"/>
        <v>H張心柔</v>
      </c>
      <c r="BL12" s="348"/>
      <c r="BM12" s="348" t="s">
        <v>448</v>
      </c>
      <c r="BN12" s="348">
        <v>4</v>
      </c>
      <c r="BO12" s="348"/>
      <c r="BP12" s="348">
        <v>4</v>
      </c>
      <c r="BQ12" s="348"/>
      <c r="BR12" s="348">
        <v>15</v>
      </c>
      <c r="BS12" s="348"/>
      <c r="BT12" s="348">
        <v>2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9"/>
        <v>I劉子瑄</v>
      </c>
      <c r="B13" s="338" t="str">
        <f t="shared" si="3"/>
        <v/>
      </c>
      <c r="C13" s="33" t="s">
        <v>2</v>
      </c>
      <c r="D13" s="83" t="s">
        <v>2</v>
      </c>
      <c r="E13" s="83" t="s">
        <v>2</v>
      </c>
      <c r="F13" s="83" t="s">
        <v>2</v>
      </c>
      <c r="G13" s="33"/>
      <c r="H13" s="33" t="s">
        <v>7</v>
      </c>
      <c r="I13" s="62" t="s">
        <v>2</v>
      </c>
      <c r="J13" s="33" t="s">
        <v>2</v>
      </c>
      <c r="K13" s="83"/>
      <c r="L13" s="33"/>
      <c r="M13" s="62" t="s">
        <v>6</v>
      </c>
      <c r="N13" s="62" t="s">
        <v>2</v>
      </c>
      <c r="O13" s="62"/>
      <c r="P13" s="33" t="s">
        <v>7</v>
      </c>
      <c r="Q13" s="33" t="s">
        <v>465</v>
      </c>
      <c r="R13" s="83" t="s">
        <v>2</v>
      </c>
      <c r="S13" s="83" t="s">
        <v>2</v>
      </c>
      <c r="T13" s="62" t="s">
        <v>441</v>
      </c>
      <c r="U13" s="83" t="s">
        <v>469</v>
      </c>
      <c r="V13" s="33" t="s">
        <v>2</v>
      </c>
      <c r="W13" s="33" t="s">
        <v>2</v>
      </c>
      <c r="X13" s="33" t="s">
        <v>465</v>
      </c>
      <c r="Y13" s="62"/>
      <c r="Z13" s="62" t="s">
        <v>6</v>
      </c>
      <c r="AA13" s="33" t="s">
        <v>6</v>
      </c>
      <c r="AB13" s="62" t="s">
        <v>6</v>
      </c>
      <c r="AC13" s="83" t="s">
        <v>2</v>
      </c>
      <c r="AD13" s="33" t="s">
        <v>441</v>
      </c>
      <c r="AE13" s="33" t="s">
        <v>465</v>
      </c>
      <c r="AF13" s="83" t="s">
        <v>2</v>
      </c>
      <c r="AG13" s="83" t="s">
        <v>2</v>
      </c>
      <c r="AH13" s="3">
        <f t="shared" si="2"/>
        <v>132</v>
      </c>
      <c r="AI13" s="3">
        <f t="shared" si="14"/>
        <v>4</v>
      </c>
      <c r="AJ13" s="3">
        <f t="shared" si="10"/>
        <v>4</v>
      </c>
      <c r="AK13" s="3">
        <f t="shared" si="11"/>
        <v>15</v>
      </c>
      <c r="AL13" s="3">
        <f t="shared" si="12"/>
        <v>4</v>
      </c>
      <c r="AM13" s="3">
        <f t="shared" si="13"/>
        <v>1</v>
      </c>
      <c r="AN13" s="3">
        <f t="array" ref="AN13">SUMPRODUCT(($C$5:$AG$5=6)*(C13:AG13="off"))</f>
        <v>2</v>
      </c>
      <c r="AP13" s="3"/>
      <c r="AQ13" s="12"/>
      <c r="AR13" s="256">
        <f t="shared" si="4"/>
        <v>4</v>
      </c>
      <c r="AS13" s="256">
        <f t="shared" si="5"/>
        <v>4</v>
      </c>
      <c r="AT13" s="256">
        <f t="shared" si="6"/>
        <v>15</v>
      </c>
      <c r="AU13" s="256">
        <f t="shared" si="7"/>
        <v>2</v>
      </c>
      <c r="BJ13" s="348" t="s">
        <v>384</v>
      </c>
      <c r="BK13" s="348" t="str">
        <f t="shared" si="8"/>
        <v>I劉子瑄</v>
      </c>
      <c r="BL13" s="348"/>
      <c r="BM13" s="348"/>
      <c r="BN13" s="348">
        <v>4</v>
      </c>
      <c r="BO13" s="348"/>
      <c r="BP13" s="348">
        <v>4</v>
      </c>
      <c r="BQ13" s="348"/>
      <c r="BR13" s="348">
        <v>15</v>
      </c>
      <c r="BS13" s="348" t="s">
        <v>449</v>
      </c>
      <c r="BT13" s="348">
        <v>2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9"/>
        <v>L陳咨希</v>
      </c>
      <c r="B14" s="338" t="str">
        <f t="shared" si="3"/>
        <v/>
      </c>
      <c r="C14" s="62" t="s">
        <v>6</v>
      </c>
      <c r="D14" s="62" t="s">
        <v>2</v>
      </c>
      <c r="E14" s="83"/>
      <c r="F14" s="83" t="s">
        <v>7</v>
      </c>
      <c r="G14" s="33" t="s">
        <v>465</v>
      </c>
      <c r="H14" s="33"/>
      <c r="I14" s="62" t="s">
        <v>2</v>
      </c>
      <c r="J14" s="62" t="s">
        <v>6</v>
      </c>
      <c r="K14" s="62" t="s">
        <v>6</v>
      </c>
      <c r="L14" s="62" t="s">
        <v>6</v>
      </c>
      <c r="M14" s="62" t="s">
        <v>2</v>
      </c>
      <c r="N14" s="33" t="s">
        <v>465</v>
      </c>
      <c r="O14" s="33" t="s">
        <v>7</v>
      </c>
      <c r="P14" s="62" t="s">
        <v>2</v>
      </c>
      <c r="Q14" s="83" t="s">
        <v>7</v>
      </c>
      <c r="R14" s="83" t="s">
        <v>2</v>
      </c>
      <c r="S14" s="83" t="s">
        <v>2</v>
      </c>
      <c r="T14" s="33" t="s">
        <v>2</v>
      </c>
      <c r="U14" s="33" t="s">
        <v>465</v>
      </c>
      <c r="V14" s="83"/>
      <c r="W14" s="33" t="s">
        <v>2</v>
      </c>
      <c r="X14" s="83" t="s">
        <v>7</v>
      </c>
      <c r="Y14" s="83"/>
      <c r="Z14" s="33" t="s">
        <v>2</v>
      </c>
      <c r="AA14" s="33" t="s">
        <v>2</v>
      </c>
      <c r="AB14" s="33" t="s">
        <v>2</v>
      </c>
      <c r="AC14" s="33" t="s">
        <v>2</v>
      </c>
      <c r="AD14" s="33" t="s">
        <v>2</v>
      </c>
      <c r="AE14" s="33" t="s">
        <v>2</v>
      </c>
      <c r="AF14" s="33" t="s">
        <v>2</v>
      </c>
      <c r="AG14" s="33" t="s">
        <v>2</v>
      </c>
      <c r="AH14" s="3">
        <f t="shared" si="2"/>
        <v>120</v>
      </c>
      <c r="AI14" s="3">
        <f t="shared" si="14"/>
        <v>4</v>
      </c>
      <c r="AJ14" s="3">
        <f t="shared" si="10"/>
        <v>4</v>
      </c>
      <c r="AK14" s="3">
        <f t="shared" si="11"/>
        <v>16</v>
      </c>
      <c r="AL14" s="3">
        <f t="shared" si="12"/>
        <v>2</v>
      </c>
      <c r="AM14" s="3">
        <f t="shared" si="13"/>
        <v>2</v>
      </c>
      <c r="AN14" s="3">
        <f t="array" ref="AN14">SUMPRODUCT(($C$5:$AG$5=6)*(C14:AG14="off"))</f>
        <v>1</v>
      </c>
      <c r="AO14" s="3"/>
      <c r="AP14" s="3"/>
      <c r="AQ14" s="12"/>
      <c r="AR14" s="256">
        <f t="shared" si="4"/>
        <v>4</v>
      </c>
      <c r="AS14" s="256">
        <f t="shared" si="5"/>
        <v>4</v>
      </c>
      <c r="AT14" s="256">
        <f t="shared" si="6"/>
        <v>16</v>
      </c>
      <c r="AU14" s="256">
        <f t="shared" si="7"/>
        <v>1</v>
      </c>
      <c r="AY14" s="335"/>
      <c r="BJ14" s="348" t="s">
        <v>451</v>
      </c>
      <c r="BK14" s="348" t="str">
        <f t="shared" si="8"/>
        <v>L陳咨希</v>
      </c>
      <c r="BL14" s="348"/>
      <c r="BM14" s="348"/>
      <c r="BN14" s="348">
        <v>4</v>
      </c>
      <c r="BO14" s="348"/>
      <c r="BP14" s="348">
        <v>4</v>
      </c>
      <c r="BQ14" s="348" t="s">
        <v>451</v>
      </c>
      <c r="BR14" s="348">
        <v>16</v>
      </c>
      <c r="BS14" s="348"/>
      <c r="BT14" s="348">
        <v>1</v>
      </c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9"/>
        <v>J林瑋嫻</v>
      </c>
      <c r="B15" s="338" t="str">
        <f t="shared" si="3"/>
        <v/>
      </c>
      <c r="C15" s="33" t="s">
        <v>2</v>
      </c>
      <c r="D15" s="33"/>
      <c r="E15" s="83" t="s">
        <v>7</v>
      </c>
      <c r="F15" s="83"/>
      <c r="G15" s="33" t="s">
        <v>2</v>
      </c>
      <c r="H15" s="33" t="s">
        <v>2</v>
      </c>
      <c r="I15" s="33" t="s">
        <v>2</v>
      </c>
      <c r="J15" s="33" t="s">
        <v>2</v>
      </c>
      <c r="K15" s="83" t="s">
        <v>2</v>
      </c>
      <c r="L15" s="83" t="s">
        <v>7</v>
      </c>
      <c r="M15" s="83" t="s">
        <v>2</v>
      </c>
      <c r="N15" s="33" t="s">
        <v>2</v>
      </c>
      <c r="O15" s="33" t="s">
        <v>2</v>
      </c>
      <c r="P15" s="62" t="s">
        <v>2</v>
      </c>
      <c r="Q15" s="33" t="s">
        <v>6</v>
      </c>
      <c r="R15" s="62" t="s">
        <v>6</v>
      </c>
      <c r="S15" s="62" t="s">
        <v>2</v>
      </c>
      <c r="T15" s="33" t="s">
        <v>2</v>
      </c>
      <c r="U15" s="83"/>
      <c r="V15" s="33" t="s">
        <v>441</v>
      </c>
      <c r="W15" s="62" t="s">
        <v>2</v>
      </c>
      <c r="X15" s="83"/>
      <c r="Y15" s="83" t="s">
        <v>2</v>
      </c>
      <c r="Z15" s="83"/>
      <c r="AA15" s="62" t="s">
        <v>2</v>
      </c>
      <c r="AB15" s="33"/>
      <c r="AC15" s="33" t="s">
        <v>6</v>
      </c>
      <c r="AD15" s="33" t="s">
        <v>6</v>
      </c>
      <c r="AE15" s="33" t="s">
        <v>2</v>
      </c>
      <c r="AF15" s="33"/>
      <c r="AG15" s="83" t="s">
        <v>7</v>
      </c>
      <c r="AH15" s="3">
        <f t="shared" si="2"/>
        <v>152</v>
      </c>
      <c r="AI15" s="3">
        <f t="shared" si="14"/>
        <v>4</v>
      </c>
      <c r="AJ15" s="3">
        <f t="shared" si="10"/>
        <v>4</v>
      </c>
      <c r="AK15" s="3">
        <f t="shared" si="11"/>
        <v>16</v>
      </c>
      <c r="AL15" s="3">
        <f t="shared" si="12"/>
        <v>7</v>
      </c>
      <c r="AM15" s="3">
        <f t="shared" si="13"/>
        <v>0</v>
      </c>
      <c r="AN15" s="3">
        <f t="array" ref="AN15">SUMPRODUCT(($C$5:$AG$5=6)*(C15:AG15="off"))</f>
        <v>2</v>
      </c>
      <c r="AO15" s="3"/>
      <c r="AP15" s="3"/>
      <c r="AQ15" s="12"/>
      <c r="AR15" s="256">
        <f t="shared" si="4"/>
        <v>4</v>
      </c>
      <c r="AS15" s="256">
        <f t="shared" si="5"/>
        <v>4</v>
      </c>
      <c r="AT15" s="256">
        <f t="shared" si="6"/>
        <v>16</v>
      </c>
      <c r="AU15" s="256">
        <f t="shared" si="7"/>
        <v>2</v>
      </c>
      <c r="BJ15" s="348" t="s">
        <v>451</v>
      </c>
      <c r="BK15" s="348" t="str">
        <f t="shared" si="8"/>
        <v>J林瑋嫻</v>
      </c>
      <c r="BL15" s="348"/>
      <c r="BM15" s="348"/>
      <c r="BN15" s="348">
        <v>4</v>
      </c>
      <c r="BO15" s="348"/>
      <c r="BP15" s="348">
        <v>4</v>
      </c>
      <c r="BQ15" s="348"/>
      <c r="BR15" s="348">
        <v>16</v>
      </c>
      <c r="BS15" s="348" t="s">
        <v>464</v>
      </c>
      <c r="BT15" s="348">
        <v>2</v>
      </c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hidden="1" customHeight="1">
      <c r="A16" s="6" t="str">
        <f t="shared" si="9"/>
        <v>K馮佳祺</v>
      </c>
      <c r="B16" s="338" t="str">
        <f t="shared" si="3"/>
        <v>x</v>
      </c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2"/>
        <v>232</v>
      </c>
      <c r="AI16" s="3">
        <f>COUNTIF(C16:AG16,"D")+COUNTIF(C16:AG16,"NurseD")</f>
        <v>0</v>
      </c>
      <c r="AJ16" s="3">
        <f t="shared" si="10"/>
        <v>0</v>
      </c>
      <c r="AK16" s="3">
        <f t="shared" si="11"/>
        <v>0</v>
      </c>
      <c r="AL16" s="3">
        <f t="shared" si="12"/>
        <v>27</v>
      </c>
      <c r="AM16" s="3">
        <f t="shared" si="13"/>
        <v>4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4"/>
        <v>0</v>
      </c>
      <c r="AS16" s="256">
        <f t="shared" si="5"/>
        <v>0</v>
      </c>
      <c r="AT16" s="256">
        <f t="shared" si="6"/>
        <v>0</v>
      </c>
      <c r="AU16" s="256">
        <f t="shared" si="7"/>
        <v>0</v>
      </c>
      <c r="BJ16" s="355"/>
      <c r="BK16" s="348" t="str">
        <f t="shared" si="8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9"/>
        <v>M柳春霙</v>
      </c>
      <c r="B17" s="338" t="str">
        <f t="shared" si="3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2"/>
        <v>232</v>
      </c>
      <c r="AI17" s="3">
        <f>COUNTIF(C17:AG17,"D")+COUNTIF(C17:AG17,"NurseD")</f>
        <v>0</v>
      </c>
      <c r="AJ17" s="3">
        <f t="shared" si="10"/>
        <v>0</v>
      </c>
      <c r="AK17" s="3">
        <f t="shared" si="11"/>
        <v>0</v>
      </c>
      <c r="AL17" s="3">
        <f t="shared" si="12"/>
        <v>27</v>
      </c>
      <c r="AM17" s="3">
        <f t="shared" si="13"/>
        <v>4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4"/>
        <v>0</v>
      </c>
      <c r="AS17" s="256">
        <f t="shared" si="5"/>
        <v>0</v>
      </c>
      <c r="AT17" s="256">
        <f t="shared" si="6"/>
        <v>0</v>
      </c>
      <c r="AU17" s="256">
        <f t="shared" si="7"/>
        <v>0</v>
      </c>
      <c r="BJ17" s="91"/>
      <c r="BK17" s="348" t="str">
        <f t="shared" si="8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5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3</v>
      </c>
      <c r="D18" s="172">
        <f t="shared" si="15"/>
        <v>3</v>
      </c>
      <c r="E18" s="172">
        <f t="shared" si="15"/>
        <v>3</v>
      </c>
      <c r="F18" s="172">
        <f t="shared" si="15"/>
        <v>3</v>
      </c>
      <c r="G18" s="172">
        <f t="shared" si="15"/>
        <v>3</v>
      </c>
      <c r="H18" s="172">
        <f t="shared" si="15"/>
        <v>3</v>
      </c>
      <c r="I18" s="172">
        <f t="shared" si="15"/>
        <v>5</v>
      </c>
      <c r="J18" s="172">
        <f t="shared" si="15"/>
        <v>3</v>
      </c>
      <c r="K18" s="172">
        <f t="shared" si="15"/>
        <v>3</v>
      </c>
      <c r="L18" s="172">
        <f t="shared" si="15"/>
        <v>3</v>
      </c>
      <c r="M18" s="172">
        <f t="shared" si="15"/>
        <v>3</v>
      </c>
      <c r="N18" s="172">
        <f t="shared" si="15"/>
        <v>3</v>
      </c>
      <c r="O18" s="172">
        <f t="shared" si="15"/>
        <v>3</v>
      </c>
      <c r="P18" s="172">
        <f t="shared" si="15"/>
        <v>5</v>
      </c>
      <c r="Q18" s="172">
        <f t="shared" si="15"/>
        <v>3</v>
      </c>
      <c r="R18" s="172">
        <f t="shared" si="15"/>
        <v>3</v>
      </c>
      <c r="S18" s="172">
        <f t="shared" si="15"/>
        <v>3</v>
      </c>
      <c r="T18" s="172">
        <f t="shared" si="15"/>
        <v>3</v>
      </c>
      <c r="U18" s="172">
        <f t="shared" si="15"/>
        <v>3</v>
      </c>
      <c r="V18" s="172">
        <f t="shared" si="15"/>
        <v>3</v>
      </c>
      <c r="W18" s="172">
        <f t="shared" si="15"/>
        <v>5</v>
      </c>
      <c r="X18" s="172">
        <f t="shared" si="15"/>
        <v>3</v>
      </c>
      <c r="Y18" s="172">
        <f t="shared" si="15"/>
        <v>3</v>
      </c>
      <c r="Z18" s="172">
        <f t="shared" si="15"/>
        <v>3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5</v>
      </c>
      <c r="AB18" s="172">
        <f t="shared" ref="AB18:AG18" si="16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3</v>
      </c>
      <c r="AC18" s="172">
        <f t="shared" si="16"/>
        <v>3</v>
      </c>
      <c r="AD18" s="172">
        <f t="shared" si="16"/>
        <v>5</v>
      </c>
      <c r="AE18" s="172">
        <f t="shared" si="16"/>
        <v>3</v>
      </c>
      <c r="AF18" s="172">
        <f t="shared" si="16"/>
        <v>3</v>
      </c>
      <c r="AG18" s="172">
        <f t="shared" si="16"/>
        <v>3</v>
      </c>
      <c r="AH18" s="3" t="s">
        <v>391</v>
      </c>
      <c r="AI18" s="3">
        <f>COUNTIF(C18:AG18,"D")+COUNTIF(C18:AG18,"NurseD")</f>
        <v>0</v>
      </c>
      <c r="AJ18" s="3">
        <f>SUM(AJ6:AJ15)</f>
        <v>31</v>
      </c>
      <c r="AK18" s="3">
        <f>SUM(AK6:AK15)</f>
        <v>122</v>
      </c>
      <c r="AL18" s="3">
        <f>SUM(AL6:AL15)</f>
        <v>94</v>
      </c>
      <c r="AM18" s="3">
        <f>SUM(AM6:AM15)-SUM(AM10:AM11)-SUM(AM16:AM17)</f>
        <v>0</v>
      </c>
      <c r="AN18" s="3">
        <f>SUM(AN6:AN15)</f>
        <v>14</v>
      </c>
      <c r="AO18" s="3"/>
      <c r="AP18" s="3"/>
      <c r="AQ18" s="12"/>
      <c r="AR18" s="55">
        <f>SUBTOTAL(109,AR5:AR17)</f>
        <v>31</v>
      </c>
      <c r="AS18" s="55">
        <f>SUBTOTAL(109,AS5:AS17)</f>
        <v>31</v>
      </c>
      <c r="AT18" s="55">
        <f>SUM(AT6:AT17)</f>
        <v>109</v>
      </c>
      <c r="AU18" s="55">
        <f>SUBTOTAL(109,AU5:AU17)</f>
        <v>13</v>
      </c>
      <c r="BJ18" s="348" t="s">
        <v>460</v>
      </c>
      <c r="BK18" s="348">
        <f>COUNTA(BJ6:BJ17)-COUNTA(BL6:BL17)</f>
        <v>7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 t="s">
        <v>452</v>
      </c>
      <c r="AB19" s="173"/>
      <c r="AC19" s="173"/>
      <c r="AD19" s="173"/>
      <c r="AE19" s="173"/>
      <c r="AF19" s="173"/>
      <c r="AG19" s="173"/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4</v>
      </c>
      <c r="D20" s="360">
        <f t="shared" ref="D20:AG20" si="17">COUNTIF(D6:D15,"off")</f>
        <v>4</v>
      </c>
      <c r="E20" s="360">
        <f t="shared" si="17"/>
        <v>3</v>
      </c>
      <c r="F20" s="360">
        <f t="shared" si="17"/>
        <v>4</v>
      </c>
      <c r="G20" s="360">
        <f t="shared" si="17"/>
        <v>4</v>
      </c>
      <c r="H20" s="360">
        <f t="shared" si="17"/>
        <v>4</v>
      </c>
      <c r="I20" s="360">
        <f t="shared" si="17"/>
        <v>6</v>
      </c>
      <c r="J20" s="360">
        <f t="shared" si="17"/>
        <v>4</v>
      </c>
      <c r="K20" s="360">
        <f t="shared" si="17"/>
        <v>3</v>
      </c>
      <c r="L20" s="360">
        <f t="shared" si="17"/>
        <v>3</v>
      </c>
      <c r="M20" s="360">
        <f t="shared" si="17"/>
        <v>4</v>
      </c>
      <c r="N20" s="360">
        <f t="shared" si="17"/>
        <v>4</v>
      </c>
      <c r="O20" s="360">
        <f t="shared" si="17"/>
        <v>3</v>
      </c>
      <c r="P20" s="360">
        <f t="shared" si="17"/>
        <v>5</v>
      </c>
      <c r="Q20" s="360">
        <f t="shared" si="17"/>
        <v>3</v>
      </c>
      <c r="R20" s="360">
        <f t="shared" si="17"/>
        <v>3</v>
      </c>
      <c r="S20" s="360">
        <f t="shared" si="17"/>
        <v>3</v>
      </c>
      <c r="T20" s="360">
        <f t="shared" si="17"/>
        <v>4</v>
      </c>
      <c r="U20" s="360">
        <f t="shared" si="17"/>
        <v>4</v>
      </c>
      <c r="V20" s="360">
        <f t="shared" si="17"/>
        <v>4</v>
      </c>
      <c r="W20" s="360">
        <f t="shared" si="17"/>
        <v>6</v>
      </c>
      <c r="X20" s="360">
        <f t="shared" si="17"/>
        <v>3</v>
      </c>
      <c r="Y20" s="360">
        <f t="shared" si="17"/>
        <v>3</v>
      </c>
      <c r="Z20" s="360">
        <f t="shared" si="17"/>
        <v>4</v>
      </c>
      <c r="AA20" s="360">
        <f t="shared" si="17"/>
        <v>6</v>
      </c>
      <c r="AB20" s="360">
        <f t="shared" si="17"/>
        <v>3</v>
      </c>
      <c r="AC20" s="360">
        <f t="shared" si="17"/>
        <v>3</v>
      </c>
      <c r="AD20" s="360">
        <f t="shared" si="17"/>
        <v>6</v>
      </c>
      <c r="AE20" s="360">
        <f t="shared" si="17"/>
        <v>4</v>
      </c>
      <c r="AF20" s="360">
        <f>COUNTIF(AF6:AF15,"off")</f>
        <v>4</v>
      </c>
      <c r="AG20" s="360">
        <f t="shared" si="17"/>
        <v>4</v>
      </c>
      <c r="AH20" s="12">
        <f>SUM(C20:AG20)</f>
        <v>122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1</v>
      </c>
      <c r="D21" s="360">
        <f t="shared" ref="D21:AG21" si="18">COUNTIF(D6:D15,"D")+COUNTIF(D6:D15,"NrsD")</f>
        <v>1</v>
      </c>
      <c r="E21" s="360">
        <f t="shared" si="18"/>
        <v>1</v>
      </c>
      <c r="F21" s="360">
        <f t="shared" si="18"/>
        <v>1</v>
      </c>
      <c r="G21" s="360">
        <f t="shared" si="18"/>
        <v>1</v>
      </c>
      <c r="H21" s="360">
        <f t="shared" si="18"/>
        <v>1</v>
      </c>
      <c r="I21" s="360">
        <f t="shared" si="18"/>
        <v>1</v>
      </c>
      <c r="J21" s="360">
        <f t="shared" si="18"/>
        <v>1</v>
      </c>
      <c r="K21" s="360">
        <f t="shared" si="18"/>
        <v>1</v>
      </c>
      <c r="L21" s="360">
        <f t="shared" si="18"/>
        <v>1</v>
      </c>
      <c r="M21" s="360">
        <f t="shared" si="18"/>
        <v>1</v>
      </c>
      <c r="N21" s="360">
        <f t="shared" si="18"/>
        <v>1</v>
      </c>
      <c r="O21" s="360">
        <f t="shared" si="18"/>
        <v>1</v>
      </c>
      <c r="P21" s="360">
        <f t="shared" si="18"/>
        <v>1</v>
      </c>
      <c r="Q21" s="360">
        <f t="shared" si="18"/>
        <v>1</v>
      </c>
      <c r="R21" s="360">
        <f t="shared" si="18"/>
        <v>1</v>
      </c>
      <c r="S21" s="360">
        <f t="shared" si="18"/>
        <v>1</v>
      </c>
      <c r="T21" s="360">
        <f t="shared" si="18"/>
        <v>1</v>
      </c>
      <c r="U21" s="360">
        <f t="shared" si="18"/>
        <v>1</v>
      </c>
      <c r="V21" s="360">
        <f t="shared" si="18"/>
        <v>1</v>
      </c>
      <c r="W21" s="360">
        <f t="shared" si="18"/>
        <v>1</v>
      </c>
      <c r="X21" s="360">
        <f t="shared" si="18"/>
        <v>1</v>
      </c>
      <c r="Y21" s="360">
        <f t="shared" si="18"/>
        <v>1</v>
      </c>
      <c r="Z21" s="360">
        <f t="shared" si="18"/>
        <v>1</v>
      </c>
      <c r="AA21" s="360">
        <f t="shared" si="18"/>
        <v>1</v>
      </c>
      <c r="AB21" s="360">
        <f t="shared" si="18"/>
        <v>1</v>
      </c>
      <c r="AC21" s="360">
        <f t="shared" si="18"/>
        <v>1</v>
      </c>
      <c r="AD21" s="360">
        <f t="shared" si="18"/>
        <v>1</v>
      </c>
      <c r="AE21" s="360">
        <f t="shared" si="18"/>
        <v>1</v>
      </c>
      <c r="AF21" s="360">
        <f t="shared" si="18"/>
        <v>1</v>
      </c>
      <c r="AG21" s="360">
        <f t="shared" si="18"/>
        <v>1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1</v>
      </c>
      <c r="D22" s="360">
        <f t="shared" ref="D22:AG22" si="19">COUNTIF(D6:D15,"N")</f>
        <v>1</v>
      </c>
      <c r="E22" s="360">
        <f t="shared" si="19"/>
        <v>1</v>
      </c>
      <c r="F22" s="360">
        <f t="shared" si="19"/>
        <v>1</v>
      </c>
      <c r="G22" s="360">
        <f t="shared" si="19"/>
        <v>1</v>
      </c>
      <c r="H22" s="360">
        <f t="shared" si="19"/>
        <v>1</v>
      </c>
      <c r="I22" s="360">
        <f t="shared" si="19"/>
        <v>1</v>
      </c>
      <c r="J22" s="360">
        <f t="shared" si="19"/>
        <v>1</v>
      </c>
      <c r="K22" s="360">
        <f t="shared" si="19"/>
        <v>1</v>
      </c>
      <c r="L22" s="360">
        <f t="shared" si="19"/>
        <v>1</v>
      </c>
      <c r="M22" s="360">
        <f t="shared" si="19"/>
        <v>1</v>
      </c>
      <c r="N22" s="360">
        <f t="shared" si="19"/>
        <v>1</v>
      </c>
      <c r="O22" s="360">
        <f t="shared" si="19"/>
        <v>1</v>
      </c>
      <c r="P22" s="360">
        <f t="shared" si="19"/>
        <v>1</v>
      </c>
      <c r="Q22" s="360">
        <f t="shared" si="19"/>
        <v>1</v>
      </c>
      <c r="R22" s="360">
        <f t="shared" si="19"/>
        <v>1</v>
      </c>
      <c r="S22" s="360">
        <f t="shared" si="19"/>
        <v>1</v>
      </c>
      <c r="T22" s="360">
        <f t="shared" si="19"/>
        <v>1</v>
      </c>
      <c r="U22" s="360">
        <f t="shared" si="19"/>
        <v>1</v>
      </c>
      <c r="V22" s="360">
        <f t="shared" si="19"/>
        <v>1</v>
      </c>
      <c r="W22" s="360">
        <f t="shared" si="19"/>
        <v>1</v>
      </c>
      <c r="X22" s="360">
        <f t="shared" si="19"/>
        <v>1</v>
      </c>
      <c r="Y22" s="360">
        <f t="shared" si="19"/>
        <v>1</v>
      </c>
      <c r="Z22" s="360">
        <f t="shared" si="19"/>
        <v>1</v>
      </c>
      <c r="AA22" s="360">
        <f t="shared" si="19"/>
        <v>1</v>
      </c>
      <c r="AB22" s="360">
        <f t="shared" si="19"/>
        <v>1</v>
      </c>
      <c r="AC22" s="360">
        <f t="shared" si="19"/>
        <v>1</v>
      </c>
      <c r="AD22" s="360">
        <f t="shared" si="19"/>
        <v>1</v>
      </c>
      <c r="AE22" s="360">
        <f t="shared" si="19"/>
        <v>1</v>
      </c>
      <c r="AF22" s="360">
        <f t="shared" si="19"/>
        <v>1</v>
      </c>
      <c r="AG22" s="360">
        <f t="shared" si="19"/>
        <v>1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459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459"/>
      <c r="B26" s="460"/>
      <c r="C26" s="460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460"/>
      <c r="O26" s="460"/>
      <c r="P26" s="460"/>
      <c r="Q26" s="460"/>
      <c r="R26" s="460"/>
      <c r="S26" s="460"/>
      <c r="T26" s="460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28"/>
      <c r="Q28" s="329"/>
      <c r="R28" s="328"/>
      <c r="S28" s="328"/>
      <c r="T28" s="330"/>
      <c r="U28" s="331"/>
      <c r="V28" s="330"/>
      <c r="W28" s="323"/>
      <c r="X28" s="332"/>
      <c r="Y28" s="332"/>
      <c r="Z28" s="332"/>
      <c r="AA28" s="332" t="s">
        <v>452</v>
      </c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45992</v>
      </c>
      <c r="D29" s="30">
        <f t="shared" ref="D29:AC29" si="20">C29+1</f>
        <v>45993</v>
      </c>
      <c r="E29" s="30">
        <f t="shared" si="20"/>
        <v>45994</v>
      </c>
      <c r="F29" s="30">
        <f t="shared" si="20"/>
        <v>45995</v>
      </c>
      <c r="G29" s="30">
        <f t="shared" si="20"/>
        <v>45996</v>
      </c>
      <c r="H29" s="30">
        <f t="shared" si="20"/>
        <v>45997</v>
      </c>
      <c r="I29" s="30">
        <f t="shared" si="20"/>
        <v>45998</v>
      </c>
      <c r="J29" s="30">
        <f t="shared" si="20"/>
        <v>45999</v>
      </c>
      <c r="K29" s="30">
        <f t="shared" si="20"/>
        <v>46000</v>
      </c>
      <c r="L29" s="30">
        <f t="shared" si="20"/>
        <v>46001</v>
      </c>
      <c r="M29" s="30">
        <f t="shared" si="20"/>
        <v>46002</v>
      </c>
      <c r="N29" s="30">
        <f t="shared" si="20"/>
        <v>46003</v>
      </c>
      <c r="O29" s="30">
        <f t="shared" si="20"/>
        <v>46004</v>
      </c>
      <c r="P29" s="30">
        <f t="shared" si="20"/>
        <v>46005</v>
      </c>
      <c r="Q29" s="30">
        <f t="shared" si="20"/>
        <v>46006</v>
      </c>
      <c r="R29" s="30">
        <f t="shared" si="20"/>
        <v>46007</v>
      </c>
      <c r="S29" s="30">
        <f t="shared" si="20"/>
        <v>46008</v>
      </c>
      <c r="T29" s="30">
        <f t="shared" si="20"/>
        <v>46009</v>
      </c>
      <c r="U29" s="30">
        <f t="shared" si="20"/>
        <v>46010</v>
      </c>
      <c r="V29" s="30">
        <f t="shared" si="20"/>
        <v>46011</v>
      </c>
      <c r="W29" s="30">
        <f t="shared" si="20"/>
        <v>46012</v>
      </c>
      <c r="X29" s="30">
        <f t="shared" si="20"/>
        <v>46013</v>
      </c>
      <c r="Y29" s="30">
        <f t="shared" si="20"/>
        <v>46014</v>
      </c>
      <c r="Z29" s="30">
        <f t="shared" si="20"/>
        <v>46015</v>
      </c>
      <c r="AA29" s="30">
        <f t="shared" si="20"/>
        <v>46016</v>
      </c>
      <c r="AB29" s="30">
        <f t="shared" si="20"/>
        <v>46017</v>
      </c>
      <c r="AC29" s="30">
        <f t="shared" si="20"/>
        <v>46018</v>
      </c>
      <c r="AD29" s="30">
        <f>IFERROR(IF(MONTH(AC29+1)=$J$2,AC29+1,""),"")</f>
        <v>46019</v>
      </c>
      <c r="AE29" s="30">
        <f>IFERROR(IF(MONTH(AD29+1)=$J$2,AD29+1,""),"")</f>
        <v>46020</v>
      </c>
      <c r="AF29" s="30">
        <f>IFERROR(IF(MONTH(AE29+1)=$J$2,AE29+1,""),"")</f>
        <v>46021</v>
      </c>
      <c r="AG29" s="30">
        <f>IFERROR(IF(MONTH(AF29+1)=$J$2,AF29+1,""),"")</f>
        <v>46022</v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1</v>
      </c>
      <c r="D30" s="31">
        <f>IFERROR(IF(WEEKDAY(D29,2)=7,"日",WEEKDAY(D29,2)),"")</f>
        <v>2</v>
      </c>
      <c r="E30" s="31">
        <f t="shared" ref="E30:AG30" si="21">IFERROR(IF(WEEKDAY(E29,2)=7,"日",WEEKDAY(E29,2)),"")</f>
        <v>3</v>
      </c>
      <c r="F30" s="31">
        <f t="shared" si="21"/>
        <v>4</v>
      </c>
      <c r="G30" s="31">
        <f t="shared" si="21"/>
        <v>5</v>
      </c>
      <c r="H30" s="31">
        <f t="shared" si="21"/>
        <v>6</v>
      </c>
      <c r="I30" s="31" t="str">
        <f t="shared" si="21"/>
        <v>日</v>
      </c>
      <c r="J30" s="31">
        <f t="shared" si="21"/>
        <v>1</v>
      </c>
      <c r="K30" s="31">
        <f t="shared" si="21"/>
        <v>2</v>
      </c>
      <c r="L30" s="31">
        <f t="shared" si="21"/>
        <v>3</v>
      </c>
      <c r="M30" s="31">
        <f t="shared" si="21"/>
        <v>4</v>
      </c>
      <c r="N30" s="31">
        <f t="shared" si="21"/>
        <v>5</v>
      </c>
      <c r="O30" s="31">
        <f t="shared" si="21"/>
        <v>6</v>
      </c>
      <c r="P30" s="31" t="str">
        <f t="shared" si="21"/>
        <v>日</v>
      </c>
      <c r="Q30" s="31">
        <f t="shared" si="21"/>
        <v>1</v>
      </c>
      <c r="R30" s="31">
        <f t="shared" si="21"/>
        <v>2</v>
      </c>
      <c r="S30" s="31">
        <f t="shared" si="21"/>
        <v>3</v>
      </c>
      <c r="T30" s="31">
        <f t="shared" si="21"/>
        <v>4</v>
      </c>
      <c r="U30" s="31">
        <f t="shared" si="21"/>
        <v>5</v>
      </c>
      <c r="V30" s="31">
        <f t="shared" si="21"/>
        <v>6</v>
      </c>
      <c r="W30" s="31" t="str">
        <f t="shared" si="21"/>
        <v>日</v>
      </c>
      <c r="X30" s="31">
        <f t="shared" si="21"/>
        <v>1</v>
      </c>
      <c r="Y30" s="31">
        <f t="shared" si="21"/>
        <v>2</v>
      </c>
      <c r="Z30" s="31">
        <f t="shared" si="21"/>
        <v>3</v>
      </c>
      <c r="AA30" s="31">
        <f t="shared" si="21"/>
        <v>4</v>
      </c>
      <c r="AB30" s="31">
        <f t="shared" si="21"/>
        <v>5</v>
      </c>
      <c r="AC30" s="31">
        <f t="shared" si="21"/>
        <v>6</v>
      </c>
      <c r="AD30" s="31" t="str">
        <f t="shared" si="21"/>
        <v>日</v>
      </c>
      <c r="AE30" s="31">
        <f t="shared" si="21"/>
        <v>1</v>
      </c>
      <c r="AF30" s="31">
        <f t="shared" si="21"/>
        <v>2</v>
      </c>
      <c r="AG30" s="31">
        <f t="shared" si="21"/>
        <v>3</v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 t="s">
        <v>2</v>
      </c>
      <c r="G31" s="33" t="s">
        <v>2</v>
      </c>
      <c r="H31" s="33" t="s">
        <v>2</v>
      </c>
      <c r="I31" s="33"/>
      <c r="J31" s="33"/>
      <c r="K31" s="33"/>
      <c r="L31" s="33"/>
      <c r="M31" s="33"/>
      <c r="N31" s="33" t="s">
        <v>458</v>
      </c>
      <c r="O31" s="33" t="s">
        <v>6</v>
      </c>
      <c r="P31" s="33" t="s">
        <v>6</v>
      </c>
      <c r="Q31" s="33"/>
      <c r="R31" s="33"/>
      <c r="S31" s="33"/>
      <c r="T31" s="33"/>
      <c r="U31" s="33" t="s">
        <v>458</v>
      </c>
      <c r="V31" s="33"/>
      <c r="W31" s="33"/>
      <c r="X31" s="33" t="s">
        <v>2</v>
      </c>
      <c r="Y31" s="33" t="s">
        <v>2</v>
      </c>
      <c r="Z31" s="33" t="s">
        <v>2</v>
      </c>
      <c r="AA31" s="33" t="s">
        <v>2</v>
      </c>
      <c r="AB31" s="33" t="s">
        <v>2</v>
      </c>
      <c r="AC31" s="33" t="s">
        <v>441</v>
      </c>
      <c r="AD31" s="33"/>
      <c r="AE31" s="33"/>
      <c r="AF31" s="33"/>
      <c r="AG31" s="33"/>
      <c r="AH31" s="3">
        <f>(AI31*12)+(AJ31*12)+(AL31*8)+(AM31*4)</f>
        <v>176</v>
      </c>
      <c r="AI31" s="3">
        <f t="shared" ref="AI31:AI40" si="22">COUNTIF(C31:AG31,"D")</f>
        <v>1</v>
      </c>
      <c r="AJ31" s="3">
        <f t="shared" ref="AJ31:AJ40" si="23">COUNTIF(C31:AG31,"N")</f>
        <v>2</v>
      </c>
      <c r="AK31" s="3">
        <f t="shared" ref="AK31:AK40" si="24">COUNTIF(C31:AG31,"OFF")+COUNTIF(C31:AG31,"上課")</f>
        <v>8</v>
      </c>
      <c r="AL31" s="3">
        <f t="shared" ref="AL31:AL40" si="25">COUNTIF(C31:AG31,"")-AM31+COUNTIF(C31:AG31,"h3")</f>
        <v>17</v>
      </c>
      <c r="AM31" s="3">
        <f t="shared" ref="AM31:AM40" si="26">COUNTIFS($C$5:$AG$5,"6",C31:AG31,"")+COUNTIF(C31:AG31,"h3")</f>
        <v>1</v>
      </c>
      <c r="AN31" s="3">
        <f t="array" ref="AN31">SUMPRODUCT(($C$5:$AG$5=6)*(C31:AG31="off"))</f>
        <v>1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 t="s">
        <v>456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 t="s">
        <v>457</v>
      </c>
      <c r="S32" s="33"/>
      <c r="T32" s="33"/>
      <c r="U32" s="33"/>
      <c r="V32" s="33" t="s">
        <v>6</v>
      </c>
      <c r="W32" s="33" t="s">
        <v>6</v>
      </c>
      <c r="X32" s="33"/>
      <c r="Y32" s="33"/>
      <c r="Z32" s="33"/>
      <c r="AA32" s="33"/>
      <c r="AB32" s="33"/>
      <c r="AC32" s="33" t="s">
        <v>457</v>
      </c>
      <c r="AD32" s="33"/>
      <c r="AE32" s="33"/>
      <c r="AF32" s="33"/>
      <c r="AG32" s="33" t="s">
        <v>457</v>
      </c>
      <c r="AH32" s="3">
        <f>(AI32*12)+(AJ32*12)+(AL32*8)+(AM32*4)</f>
        <v>216</v>
      </c>
      <c r="AI32" s="3">
        <f t="shared" si="22"/>
        <v>0</v>
      </c>
      <c r="AJ32" s="3">
        <f t="shared" si="23"/>
        <v>2</v>
      </c>
      <c r="AK32" s="3">
        <f t="shared" si="24"/>
        <v>0</v>
      </c>
      <c r="AL32" s="3">
        <f t="shared" si="25"/>
        <v>23</v>
      </c>
      <c r="AM32" s="3">
        <f t="shared" si="26"/>
        <v>2</v>
      </c>
      <c r="AN32" s="3">
        <f t="array" ref="AN32">SUMPRODUCT(($C$5:$AG$5=6)*(C32:AG32="off"))</f>
        <v>0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/>
      <c r="D33" s="33"/>
      <c r="E33" s="33"/>
      <c r="F33" s="33" t="s">
        <v>6</v>
      </c>
      <c r="G33" s="33" t="s">
        <v>6</v>
      </c>
      <c r="H33" s="33" t="s">
        <v>6</v>
      </c>
      <c r="I33" s="33" t="s">
        <v>6</v>
      </c>
      <c r="J33" s="33" t="s">
        <v>2</v>
      </c>
      <c r="K33" s="33"/>
      <c r="L33" s="33"/>
      <c r="M33" s="33"/>
      <c r="N33" s="33"/>
      <c r="O33" s="33"/>
      <c r="P33" s="33"/>
      <c r="Q33" s="33"/>
      <c r="R33" s="33"/>
      <c r="S33" s="33" t="s">
        <v>466</v>
      </c>
      <c r="T33" s="33"/>
      <c r="U33" s="33"/>
      <c r="V33" s="33"/>
      <c r="W33" s="33" t="s">
        <v>7</v>
      </c>
      <c r="X33" s="33"/>
      <c r="Y33" s="33" t="s">
        <v>462</v>
      </c>
      <c r="Z33" s="33"/>
      <c r="AA33" s="33" t="s">
        <v>7</v>
      </c>
      <c r="AB33" s="33"/>
      <c r="AC33" s="33"/>
      <c r="AD33" s="33" t="s">
        <v>2</v>
      </c>
      <c r="AE33" s="33" t="s">
        <v>2</v>
      </c>
      <c r="AF33" s="33" t="s">
        <v>2</v>
      </c>
      <c r="AG33" s="33" t="s">
        <v>2</v>
      </c>
      <c r="AH33" s="3">
        <f>(AI33*12)+(AJ33*12)+(AL33*8)+(AM33*4)</f>
        <v>204</v>
      </c>
      <c r="AI33" s="3">
        <f t="shared" si="22"/>
        <v>2</v>
      </c>
      <c r="AJ33" s="3">
        <f t="shared" si="23"/>
        <v>4</v>
      </c>
      <c r="AK33" s="3">
        <f t="shared" si="24"/>
        <v>5</v>
      </c>
      <c r="AL33" s="3">
        <f t="shared" si="25"/>
        <v>15</v>
      </c>
      <c r="AM33" s="3">
        <f t="shared" si="26"/>
        <v>3</v>
      </c>
      <c r="AN33" s="3">
        <f t="array" ref="AN33">SUMPRODUCT(($C$5:$AG$5=6)*(C33:AG33="off"))</f>
        <v>0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 t="s">
        <v>2</v>
      </c>
      <c r="H34" s="33" t="s">
        <v>2</v>
      </c>
      <c r="I34" s="33" t="s">
        <v>2</v>
      </c>
      <c r="J34" s="33" t="s">
        <v>2</v>
      </c>
      <c r="K34" s="33"/>
      <c r="L34" s="33"/>
      <c r="M34" s="33"/>
      <c r="N34" s="33" t="s">
        <v>2</v>
      </c>
      <c r="O34" s="33" t="s">
        <v>2</v>
      </c>
      <c r="P34" s="33" t="s">
        <v>2</v>
      </c>
      <c r="Q34" s="33" t="s">
        <v>2</v>
      </c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176</v>
      </c>
      <c r="AI34" s="3">
        <f t="shared" si="22"/>
        <v>0</v>
      </c>
      <c r="AJ34" s="3">
        <f t="shared" si="23"/>
        <v>0</v>
      </c>
      <c r="AK34" s="3">
        <f t="shared" si="24"/>
        <v>8</v>
      </c>
      <c r="AL34" s="3">
        <f t="shared" si="25"/>
        <v>21</v>
      </c>
      <c r="AM34" s="3">
        <f t="shared" si="26"/>
        <v>2</v>
      </c>
      <c r="AN34" s="3">
        <f t="array" ref="AN34">SUMPRODUCT(($C$5:$AG$5=6)*(C34:AG34="off"))</f>
        <v>2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7">(AI35*12)+(AJ35*12)+(AL35*8)+(AM35*4)</f>
        <v>232</v>
      </c>
      <c r="AI35" s="3">
        <f t="shared" si="22"/>
        <v>0</v>
      </c>
      <c r="AJ35" s="3">
        <f t="shared" si="23"/>
        <v>0</v>
      </c>
      <c r="AK35" s="3">
        <f t="shared" si="24"/>
        <v>0</v>
      </c>
      <c r="AL35" s="3">
        <f t="shared" si="25"/>
        <v>27</v>
      </c>
      <c r="AM35" s="3">
        <f t="shared" si="26"/>
        <v>4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7"/>
        <v>232</v>
      </c>
      <c r="AI36" s="3">
        <f t="shared" si="22"/>
        <v>0</v>
      </c>
      <c r="AJ36" s="3">
        <f t="shared" si="23"/>
        <v>0</v>
      </c>
      <c r="AK36" s="3">
        <f t="shared" si="24"/>
        <v>0</v>
      </c>
      <c r="AL36" s="3">
        <f t="shared" si="25"/>
        <v>27</v>
      </c>
      <c r="AM36" s="3">
        <f t="shared" si="26"/>
        <v>4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 t="s">
        <v>2</v>
      </c>
      <c r="D37" s="33" t="s">
        <v>2</v>
      </c>
      <c r="E37" s="33" t="s">
        <v>2</v>
      </c>
      <c r="F37" s="33" t="s">
        <v>2</v>
      </c>
      <c r="G37" s="33" t="s">
        <v>2</v>
      </c>
      <c r="H37" s="33" t="s">
        <v>2</v>
      </c>
      <c r="I37" s="33" t="s">
        <v>7</v>
      </c>
      <c r="J37" s="33"/>
      <c r="K37" s="33"/>
      <c r="L37" s="33"/>
      <c r="M37" s="33"/>
      <c r="N37" s="33"/>
      <c r="O37" s="33"/>
      <c r="P37" s="33"/>
      <c r="Q37" s="33" t="s">
        <v>2</v>
      </c>
      <c r="R37" s="33"/>
      <c r="S37" s="33"/>
      <c r="T37" s="33"/>
      <c r="U37" s="33"/>
      <c r="V37" s="33"/>
      <c r="W37" s="33"/>
      <c r="X37" s="33" t="s">
        <v>2</v>
      </c>
      <c r="Y37" s="33"/>
      <c r="Z37" s="33"/>
      <c r="AA37" s="33"/>
      <c r="AB37" s="33"/>
      <c r="AC37" s="33"/>
      <c r="AD37" s="33"/>
      <c r="AE37" s="33"/>
      <c r="AF37" s="33"/>
      <c r="AG37" s="33"/>
      <c r="AH37" s="3">
        <f t="shared" si="27"/>
        <v>176</v>
      </c>
      <c r="AI37" s="3">
        <f t="shared" si="22"/>
        <v>1</v>
      </c>
      <c r="AJ37" s="3">
        <f t="shared" si="23"/>
        <v>0</v>
      </c>
      <c r="AK37" s="3">
        <f t="shared" si="24"/>
        <v>8</v>
      </c>
      <c r="AL37" s="3">
        <f t="shared" si="25"/>
        <v>19</v>
      </c>
      <c r="AM37" s="3">
        <f t="shared" si="26"/>
        <v>3</v>
      </c>
      <c r="AN37" s="3">
        <f t="array" ref="AN37">SUMPRODUCT(($C$5:$AG$5=6)*(C37:AG37="off"))</f>
        <v>1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 t="s">
        <v>316</v>
      </c>
      <c r="D38" s="33"/>
      <c r="E38" s="33"/>
      <c r="F38" s="33"/>
      <c r="G38" s="33"/>
      <c r="H38" s="33" t="s">
        <v>7</v>
      </c>
      <c r="I38" s="33"/>
      <c r="J38" s="33" t="s">
        <v>316</v>
      </c>
      <c r="K38" s="33"/>
      <c r="L38" s="33"/>
      <c r="M38" s="33"/>
      <c r="N38" s="33"/>
      <c r="O38" s="33"/>
      <c r="P38" s="33" t="s">
        <v>7</v>
      </c>
      <c r="Q38" s="33" t="s">
        <v>316</v>
      </c>
      <c r="R38" s="33"/>
      <c r="S38" s="33"/>
      <c r="T38" s="33" t="s">
        <v>455</v>
      </c>
      <c r="U38" s="33"/>
      <c r="V38" s="33" t="s">
        <v>2</v>
      </c>
      <c r="W38" s="33" t="s">
        <v>2</v>
      </c>
      <c r="X38" s="33" t="s">
        <v>316</v>
      </c>
      <c r="Y38" s="33"/>
      <c r="Z38" s="33"/>
      <c r="AA38" s="33"/>
      <c r="AB38" s="33"/>
      <c r="AC38" s="33"/>
      <c r="AD38" s="33" t="s">
        <v>441</v>
      </c>
      <c r="AE38" s="33" t="s">
        <v>316</v>
      </c>
      <c r="AF38" s="33"/>
      <c r="AG38" s="33"/>
      <c r="AH38" s="3">
        <f t="shared" si="27"/>
        <v>188</v>
      </c>
      <c r="AI38" s="3">
        <f t="shared" si="22"/>
        <v>3</v>
      </c>
      <c r="AJ38" s="3">
        <f t="shared" si="23"/>
        <v>0</v>
      </c>
      <c r="AK38" s="3">
        <f t="shared" si="24"/>
        <v>2</v>
      </c>
      <c r="AL38" s="3">
        <f t="shared" si="25"/>
        <v>18</v>
      </c>
      <c r="AM38" s="3">
        <f t="shared" si="26"/>
        <v>2</v>
      </c>
      <c r="AN38" s="3">
        <f t="array" ref="AN38">SUMPRODUCT(($C$5:$AG$5=6)*(C38:AG38="off"))</f>
        <v>1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/>
      <c r="D39" s="33"/>
      <c r="E39" s="33"/>
      <c r="F39" s="33"/>
      <c r="G39" s="33" t="s">
        <v>316</v>
      </c>
      <c r="H39" s="33"/>
      <c r="I39" s="33"/>
      <c r="J39" s="33"/>
      <c r="K39" s="33"/>
      <c r="L39" s="33"/>
      <c r="M39" s="33"/>
      <c r="N39" s="33" t="s">
        <v>316</v>
      </c>
      <c r="O39" s="33" t="s">
        <v>7</v>
      </c>
      <c r="P39" s="33"/>
      <c r="Q39" s="33"/>
      <c r="R39" s="33"/>
      <c r="S39" s="33"/>
      <c r="T39" s="33" t="s">
        <v>455</v>
      </c>
      <c r="U39" s="33" t="s">
        <v>316</v>
      </c>
      <c r="V39" s="33"/>
      <c r="W39" s="33" t="s">
        <v>2</v>
      </c>
      <c r="X39" s="33"/>
      <c r="Y39" s="33"/>
      <c r="Z39" s="33" t="s">
        <v>316</v>
      </c>
      <c r="AA39" s="33" t="s">
        <v>316</v>
      </c>
      <c r="AB39" s="33" t="s">
        <v>2</v>
      </c>
      <c r="AC39" s="33" t="s">
        <v>2</v>
      </c>
      <c r="AD39" s="33" t="s">
        <v>2</v>
      </c>
      <c r="AE39" s="33" t="s">
        <v>2</v>
      </c>
      <c r="AF39" s="33" t="s">
        <v>2</v>
      </c>
      <c r="AG39" s="33" t="s">
        <v>2</v>
      </c>
      <c r="AH39" s="3">
        <f t="shared" si="27"/>
        <v>140</v>
      </c>
      <c r="AI39" s="3">
        <f t="shared" si="22"/>
        <v>1</v>
      </c>
      <c r="AJ39" s="3">
        <f t="shared" si="23"/>
        <v>0</v>
      </c>
      <c r="AK39" s="3">
        <f t="shared" si="24"/>
        <v>7</v>
      </c>
      <c r="AL39" s="3">
        <f t="shared" si="25"/>
        <v>15</v>
      </c>
      <c r="AM39" s="3">
        <f t="shared" si="26"/>
        <v>2</v>
      </c>
      <c r="AN39" s="3">
        <f t="array" ref="AN39">SUMPRODUCT(($C$5:$AG$5=6)*(C39:AG39="off"))</f>
        <v>1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 t="s">
        <v>2</v>
      </c>
      <c r="D40" s="33"/>
      <c r="E40" s="33"/>
      <c r="F40" s="33"/>
      <c r="G40" s="33" t="s">
        <v>2</v>
      </c>
      <c r="H40" s="33" t="s">
        <v>2</v>
      </c>
      <c r="I40" s="33" t="s">
        <v>2</v>
      </c>
      <c r="J40" s="33" t="s">
        <v>2</v>
      </c>
      <c r="K40" s="33"/>
      <c r="L40" s="33"/>
      <c r="M40" s="33"/>
      <c r="N40" s="33" t="s">
        <v>2</v>
      </c>
      <c r="O40" s="33" t="s">
        <v>2</v>
      </c>
      <c r="P40" s="33"/>
      <c r="Q40" s="33" t="s">
        <v>6</v>
      </c>
      <c r="R40" s="33"/>
      <c r="S40" s="33"/>
      <c r="T40" s="33" t="s">
        <v>455</v>
      </c>
      <c r="U40" s="33"/>
      <c r="V40" s="33" t="s">
        <v>441</v>
      </c>
      <c r="W40" s="33"/>
      <c r="X40" s="33"/>
      <c r="Y40" s="33"/>
      <c r="Z40" s="33"/>
      <c r="AA40" s="33"/>
      <c r="AB40" s="33"/>
      <c r="AC40" s="33" t="s">
        <v>6</v>
      </c>
      <c r="AD40" s="33" t="s">
        <v>6</v>
      </c>
      <c r="AE40" s="33" t="s">
        <v>2</v>
      </c>
      <c r="AF40" s="33"/>
      <c r="AG40" s="33"/>
      <c r="AH40" s="3">
        <f t="shared" si="27"/>
        <v>192</v>
      </c>
      <c r="AI40" s="3">
        <f t="shared" si="22"/>
        <v>1</v>
      </c>
      <c r="AJ40" s="3">
        <f t="shared" si="23"/>
        <v>3</v>
      </c>
      <c r="AK40" s="3">
        <f t="shared" si="24"/>
        <v>8</v>
      </c>
      <c r="AL40" s="3">
        <f t="shared" si="25"/>
        <v>18</v>
      </c>
      <c r="AM40" s="3">
        <f t="shared" si="26"/>
        <v>0</v>
      </c>
      <c r="AN40" s="3">
        <f t="array" ref="AN40">SUMPRODUCT(($C$5:$AG$5=6)*(C40:AG40="off"))</f>
        <v>2</v>
      </c>
      <c r="AO40" s="3"/>
      <c r="AP40" s="3"/>
      <c r="AQ40" s="12"/>
      <c r="AR40" s="12"/>
      <c r="AS40" s="12"/>
      <c r="AT40" s="12"/>
      <c r="AU40" s="12"/>
    </row>
    <row r="41" spans="1:47" ht="20.25" hidden="1" customHeight="1">
      <c r="A41" s="6" t="s">
        <v>440</v>
      </c>
      <c r="B41" s="6" t="s">
        <v>449</v>
      </c>
      <c r="C41" s="88"/>
      <c r="D41" s="88"/>
      <c r="E41" s="88"/>
      <c r="F41" s="88"/>
      <c r="G41" s="88"/>
      <c r="H41" s="33"/>
      <c r="I41" s="33"/>
      <c r="J41" s="33"/>
      <c r="K41" s="33"/>
      <c r="L41" s="33"/>
      <c r="M41" s="33"/>
      <c r="N41" s="33"/>
      <c r="O41" s="33"/>
      <c r="P41" s="88"/>
      <c r="Q41" s="33"/>
      <c r="R41" s="88"/>
      <c r="S41" s="88"/>
      <c r="T41" s="88"/>
      <c r="U41" s="88"/>
      <c r="V41" s="88"/>
      <c r="W41" s="88"/>
      <c r="X41" s="83"/>
      <c r="Y41" s="33"/>
      <c r="Z41" s="88"/>
      <c r="AA41" s="88"/>
      <c r="AB41" s="33"/>
      <c r="AC41" s="33"/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3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3</v>
      </c>
      <c r="E43" s="172">
        <f t="shared" ref="E43:AG43" si="28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3</v>
      </c>
      <c r="F43" s="172">
        <f t="shared" si="28"/>
        <v>3</v>
      </c>
      <c r="G43" s="172">
        <f t="shared" si="28"/>
        <v>3</v>
      </c>
      <c r="H43" s="172">
        <f t="shared" si="28"/>
        <v>3</v>
      </c>
      <c r="I43" s="172">
        <f t="shared" si="28"/>
        <v>5</v>
      </c>
      <c r="J43" s="172">
        <f t="shared" si="28"/>
        <v>3</v>
      </c>
      <c r="K43" s="172">
        <f t="shared" si="28"/>
        <v>3</v>
      </c>
      <c r="L43" s="172">
        <f t="shared" si="28"/>
        <v>3</v>
      </c>
      <c r="M43" s="172">
        <f t="shared" si="28"/>
        <v>3</v>
      </c>
      <c r="N43" s="172">
        <f t="shared" si="28"/>
        <v>3</v>
      </c>
      <c r="O43" s="172">
        <f t="shared" si="28"/>
        <v>3</v>
      </c>
      <c r="P43" s="172">
        <f t="shared" si="28"/>
        <v>5</v>
      </c>
      <c r="Q43" s="172">
        <f t="shared" si="28"/>
        <v>3</v>
      </c>
      <c r="R43" s="172">
        <f t="shared" si="28"/>
        <v>3</v>
      </c>
      <c r="S43" s="172">
        <f t="shared" si="28"/>
        <v>3</v>
      </c>
      <c r="T43" s="172">
        <f t="shared" si="28"/>
        <v>3</v>
      </c>
      <c r="U43" s="172">
        <f t="shared" si="28"/>
        <v>3</v>
      </c>
      <c r="V43" s="172">
        <f t="shared" si="28"/>
        <v>3</v>
      </c>
      <c r="W43" s="172">
        <f t="shared" si="28"/>
        <v>5</v>
      </c>
      <c r="X43" s="172">
        <f t="shared" si="28"/>
        <v>3</v>
      </c>
      <c r="Y43" s="172">
        <f t="shared" si="28"/>
        <v>3</v>
      </c>
      <c r="Z43" s="172">
        <f t="shared" si="28"/>
        <v>3</v>
      </c>
      <c r="AA43" s="172">
        <f t="shared" si="28"/>
        <v>5</v>
      </c>
      <c r="AB43" s="172">
        <f t="shared" si="28"/>
        <v>3</v>
      </c>
      <c r="AC43" s="172">
        <f t="shared" si="28"/>
        <v>3</v>
      </c>
      <c r="AD43" s="172">
        <f t="shared" si="28"/>
        <v>5</v>
      </c>
      <c r="AE43" s="172">
        <f t="shared" si="28"/>
        <v>3</v>
      </c>
      <c r="AF43" s="172">
        <f t="shared" si="28"/>
        <v>3</v>
      </c>
      <c r="AG43" s="172">
        <f t="shared" si="28"/>
        <v>3</v>
      </c>
      <c r="AH43" s="3" t="s">
        <v>391</v>
      </c>
      <c r="AI43" s="3">
        <f>SUM(AI31:AI40)</f>
        <v>9</v>
      </c>
      <c r="AJ43" s="3">
        <f>SUM(AJ31:AJ40)</f>
        <v>11</v>
      </c>
      <c r="AK43" s="3">
        <f>SUM(AK31:AK40)</f>
        <v>46</v>
      </c>
      <c r="AL43" s="3">
        <f>SUM(AL31:AL40)</f>
        <v>200</v>
      </c>
      <c r="AM43" s="3">
        <f>SUM(AM31:AM40)-SUM(AM35:AM36)-SUM(AM41:AM42)</f>
        <v>15</v>
      </c>
      <c r="AN43" s="3">
        <f>SUM(AN31:AN40)</f>
        <v>8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 t="s">
        <v>452</v>
      </c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2</v>
      </c>
      <c r="D45" s="360">
        <f>COUNTIF(D31:D40,"off")</f>
        <v>1</v>
      </c>
      <c r="E45" s="360">
        <f t="shared" ref="E45:AG45" si="29">COUNTIF(E31:E40,"off")</f>
        <v>1</v>
      </c>
      <c r="F45" s="360">
        <f t="shared" si="29"/>
        <v>2</v>
      </c>
      <c r="G45" s="360">
        <f t="shared" si="29"/>
        <v>4</v>
      </c>
      <c r="H45" s="360">
        <f t="shared" si="29"/>
        <v>4</v>
      </c>
      <c r="I45" s="360">
        <f t="shared" si="29"/>
        <v>2</v>
      </c>
      <c r="J45" s="360">
        <f t="shared" si="29"/>
        <v>3</v>
      </c>
      <c r="K45" s="360">
        <f t="shared" si="29"/>
        <v>0</v>
      </c>
      <c r="L45" s="360">
        <f t="shared" si="29"/>
        <v>0</v>
      </c>
      <c r="M45" s="360">
        <f t="shared" si="29"/>
        <v>0</v>
      </c>
      <c r="N45" s="360">
        <f t="shared" si="29"/>
        <v>2</v>
      </c>
      <c r="O45" s="360">
        <f t="shared" si="29"/>
        <v>2</v>
      </c>
      <c r="P45" s="360">
        <f t="shared" si="29"/>
        <v>1</v>
      </c>
      <c r="Q45" s="360">
        <f t="shared" si="29"/>
        <v>2</v>
      </c>
      <c r="R45" s="360">
        <f t="shared" si="29"/>
        <v>0</v>
      </c>
      <c r="S45" s="360">
        <f t="shared" si="29"/>
        <v>0</v>
      </c>
      <c r="T45" s="360">
        <f t="shared" si="29"/>
        <v>0</v>
      </c>
      <c r="U45" s="360">
        <f t="shared" si="29"/>
        <v>0</v>
      </c>
      <c r="V45" s="360">
        <f t="shared" si="29"/>
        <v>1</v>
      </c>
      <c r="W45" s="360">
        <f t="shared" si="29"/>
        <v>2</v>
      </c>
      <c r="X45" s="360">
        <f t="shared" si="29"/>
        <v>2</v>
      </c>
      <c r="Y45" s="360">
        <f t="shared" si="29"/>
        <v>1</v>
      </c>
      <c r="Z45" s="360">
        <f t="shared" si="29"/>
        <v>1</v>
      </c>
      <c r="AA45" s="360">
        <f t="shared" si="29"/>
        <v>1</v>
      </c>
      <c r="AB45" s="360">
        <f t="shared" si="29"/>
        <v>2</v>
      </c>
      <c r="AC45" s="360">
        <f t="shared" si="29"/>
        <v>1</v>
      </c>
      <c r="AD45" s="360">
        <f t="shared" si="29"/>
        <v>2</v>
      </c>
      <c r="AE45" s="360">
        <f t="shared" si="29"/>
        <v>3</v>
      </c>
      <c r="AF45" s="360">
        <f t="shared" si="29"/>
        <v>2</v>
      </c>
      <c r="AG45" s="360">
        <f t="shared" si="29"/>
        <v>2</v>
      </c>
    </row>
  </sheetData>
  <protectedRanges>
    <protectedRange password="CC6F" sqref="C4:AG5 D1:P2 A29:AG30 AH31:AN43 AR6:AU6 BB4:BC4 BB2:BH2 AR7:AR16 AS7:AU17 C18:AG18 C43:AG43 AH6:AN18" name="範圍1"/>
  </protectedRanges>
  <mergeCells count="17">
    <mergeCell ref="A26:T26"/>
    <mergeCell ref="T27:W27"/>
    <mergeCell ref="AH30:AM30"/>
    <mergeCell ref="BX11:BZ11"/>
    <mergeCell ref="AW23:AZ26"/>
    <mergeCell ref="BA23:BH26"/>
    <mergeCell ref="U23:AP26"/>
    <mergeCell ref="BJ23:BT26"/>
    <mergeCell ref="AH5:AM5"/>
    <mergeCell ref="A1:C2"/>
    <mergeCell ref="A25:T25"/>
    <mergeCell ref="D1:E1"/>
    <mergeCell ref="T1:W2"/>
    <mergeCell ref="G1:H1"/>
    <mergeCell ref="A23:T23"/>
    <mergeCell ref="J1:K1"/>
    <mergeCell ref="A24:T24"/>
  </mergeCells>
  <phoneticPr fontId="56" type="noConversion"/>
  <conditionalFormatting sqref="AH4">
    <cfRule type="expression" dxfId="575" priority="42" stopIfTrue="1">
      <formula>WEEKDAY(AH$4)=7</formula>
    </cfRule>
    <cfRule type="expression" dxfId="574" priority="43" stopIfTrue="1">
      <formula>WEEKDAY(AH$4)=1</formula>
    </cfRule>
    <cfRule type="expression" dxfId="573" priority="44" stopIfTrue="1">
      <formula>WEEKDAY(AH$4)=7</formula>
    </cfRule>
    <cfRule type="expression" dxfId="572" priority="45" stopIfTrue="1">
      <formula>WEEKDAY(AH$4)=1</formula>
    </cfRule>
  </conditionalFormatting>
  <conditionalFormatting sqref="C43:AG43">
    <cfRule type="expression" dxfId="571" priority="46" stopIfTrue="1">
      <formula>(COUNTIF(C$31:C$42,"off")+COUNTIF(C$31:C$42,"護"))&lt;&gt;C$43</formula>
    </cfRule>
  </conditionalFormatting>
  <conditionalFormatting sqref="C4:AG6 C7:AF7 C8:AG17">
    <cfRule type="expression" dxfId="570" priority="40" stopIfTrue="1">
      <formula>WEEKDAY(C$4,2)=6</formula>
    </cfRule>
    <cfRule type="expression" dxfId="569" priority="41" stopIfTrue="1">
      <formula>WEEKDAY(C$4,2)=7</formula>
    </cfRule>
  </conditionalFormatting>
  <conditionalFormatting sqref="CD5">
    <cfRule type="expression" dxfId="568" priority="36" stopIfTrue="1">
      <formula>COUNTIF(#REF!,"D")&lt;&gt;$BV4</formula>
    </cfRule>
  </conditionalFormatting>
  <conditionalFormatting sqref="CF5">
    <cfRule type="expression" dxfId="567" priority="37" stopIfTrue="1">
      <formula>COUNTIF(#REF!,"N")&lt;&gt;#REF!</formula>
    </cfRule>
  </conditionalFormatting>
  <conditionalFormatting sqref="CF14">
    <cfRule type="expression" dxfId="566" priority="47" stopIfTrue="1">
      <formula>COUNTIF($C9:$AH9,"N")&lt;&gt;#REF!</formula>
    </cfRule>
  </conditionalFormatting>
  <conditionalFormatting sqref="CF15">
    <cfRule type="expression" dxfId="565" priority="48" stopIfTrue="1">
      <formula>COUNTIF($C9:$AH9,"N")&lt;&gt;#REF!</formula>
    </cfRule>
  </conditionalFormatting>
  <conditionalFormatting sqref="CD6:CD9">
    <cfRule type="expression" dxfId="564" priority="49" stopIfTrue="1">
      <formula>COUNTIF($C2:$AG2,"D")&lt;&gt;$BV5</formula>
    </cfRule>
  </conditionalFormatting>
  <conditionalFormatting sqref="CF12:CF15">
    <cfRule type="expression" dxfId="563" priority="50" stopIfTrue="1">
      <formula>COUNTIF($C8:$AH8,"N")&lt;&gt;#REF!</formula>
    </cfRule>
  </conditionalFormatting>
  <conditionalFormatting sqref="CD12:CD15">
    <cfRule type="expression" dxfId="562" priority="51" stopIfTrue="1">
      <formula>COUNTIF($C8:$AH8,"D")&lt;&gt;$BV11</formula>
    </cfRule>
  </conditionalFormatting>
  <conditionalFormatting sqref="CF6:CF9">
    <cfRule type="expression" dxfId="561" priority="52" stopIfTrue="1">
      <formula>COUNTIF($C2:$AG2,"N")&lt;&gt;#REF!</formula>
    </cfRule>
  </conditionalFormatting>
  <conditionalFormatting sqref="CF11">
    <cfRule type="expression" dxfId="560" priority="53" stopIfTrue="1">
      <formula>COUNTIF($D7:$AH7,"N")&lt;&gt;#REF!</formula>
    </cfRule>
  </conditionalFormatting>
  <conditionalFormatting sqref="CD11">
    <cfRule type="expression" dxfId="559" priority="54" stopIfTrue="1">
      <formula>COUNTIF($D7:$AH7,"D")&lt;&gt;$BV10</formula>
    </cfRule>
  </conditionalFormatting>
  <conditionalFormatting sqref="AH29">
    <cfRule type="expression" dxfId="558" priority="32" stopIfTrue="1">
      <formula>WEEKDAY(AH$4)=7</formula>
    </cfRule>
    <cfRule type="expression" dxfId="557" priority="33" stopIfTrue="1">
      <formula>WEEKDAY(AH$4)=1</formula>
    </cfRule>
    <cfRule type="expression" dxfId="556" priority="34" stopIfTrue="1">
      <formula>WEEKDAY(AH$4)=7</formula>
    </cfRule>
    <cfRule type="expression" dxfId="555" priority="35" stopIfTrue="1">
      <formula>WEEKDAY(AH$4)=1</formula>
    </cfRule>
  </conditionalFormatting>
  <conditionalFormatting sqref="C29:AG42">
    <cfRule type="expression" dxfId="554" priority="30" stopIfTrue="1">
      <formula>WEEKDAY(C$4,2)=6</formula>
    </cfRule>
    <cfRule type="expression" dxfId="553" priority="31" stopIfTrue="1">
      <formula>WEEKDAY(C$4,2)=7</formula>
    </cfRule>
  </conditionalFormatting>
  <conditionalFormatting sqref="C18:AG18">
    <cfRule type="expression" dxfId="552" priority="1" stopIfTrue="1">
      <formula>(COUNTIF(C$6:C$17,"off")+COUNTIF(C$6:C$17,"護"))&lt;&gt;C$18</formula>
    </cfRule>
  </conditionalFormatting>
  <conditionalFormatting sqref="AG7">
    <cfRule type="expression" dxfId="551" priority="4287" stopIfTrue="1">
      <formula>WEEKDAY(AF$4,2)=6</formula>
    </cfRule>
    <cfRule type="expression" dxfId="550" priority="4288" stopIfTrue="1">
      <formula>WEEKDAY(AF$4,2)=7</formula>
    </cfRule>
  </conditionalFormatting>
  <dataValidations count="6">
    <dataValidation type="list" allowBlank="1" sqref="A31:A42 A6:A17" xr:uid="{794FC305-0877-4A5C-8C7D-78CDE63A030A}">
      <formula1>姓名清單</formula1>
    </dataValidation>
    <dataValidation type="list" allowBlank="1" showInputMessage="1" sqref="A43:A44 A18:A19" xr:uid="{FA3514C6-52AE-4720-AE3B-FA4AA6269681}">
      <formula1>$CM$11:$CN$11</formula1>
    </dataValidation>
    <dataValidation type="list" allowBlank="1" showInputMessage="1" sqref="C17:AG17 C41:AG42" xr:uid="{F4709F95-4C23-4A49-94A0-177BA025EB27}">
      <formula1>$AI$19:$AI$31</formula1>
    </dataValidation>
    <dataValidation type="list" allowBlank="1" sqref="C16:AG16" xr:uid="{38ED6299-0848-4628-A8D4-9110B14D1B59}">
      <formula1>$AI$4:$AK$4</formula1>
    </dataValidation>
    <dataValidation type="list" allowBlank="1" sqref="C31:AG40" xr:uid="{2CE4604F-3F82-47D8-AA29-FD048C582B30}">
      <formula1>$AI$3:$AL$3</formula1>
    </dataValidation>
    <dataValidation type="list" allowBlank="1" sqref="C6:AG15" xr:uid="{45D62B32-6685-4CBF-A4EC-ED3A1B6BB8D3}">
      <formula1>$AI$3:$AM$3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9" name="Button 8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0" name="Button 9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1" name="Button 10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2" name="Button 11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3" name="Button 15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14" name="Button 20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15" name="Button 25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16" name="Button 29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E72E-8DB7-43B2-9FC9-45FE3B49102A}">
  <sheetPr codeName="工作表23">
    <pageSetUpPr fitToPage="1"/>
  </sheetPr>
  <dimension ref="A1:CP45"/>
  <sheetViews>
    <sheetView topLeftCell="BF1" zoomScale="55" zoomScaleNormal="55" workbookViewId="0">
      <selection activeCell="P32" sqref="P32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3 ... 7</v>
      </c>
      <c r="G1" s="381" t="s">
        <v>410</v>
      </c>
      <c r="H1" s="381"/>
      <c r="I1" s="358" t="str">
        <f>BB4</f>
        <v>3 ... 7</v>
      </c>
      <c r="J1" s="381" t="s">
        <v>437</v>
      </c>
      <c r="K1" s="381"/>
      <c r="L1" s="358" t="str">
        <f>BG4</f>
        <v>17 ... 0</v>
      </c>
      <c r="M1" s="99" t="s">
        <v>438</v>
      </c>
      <c r="N1" s="358">
        <f>COUNTIF(C5:AG5,6)</f>
        <v>5</v>
      </c>
      <c r="O1" s="99" t="s">
        <v>439</v>
      </c>
      <c r="P1" s="358">
        <f>COUNTIF(C5:AG5,"日")</f>
        <v>4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1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31</v>
      </c>
      <c r="BC2" s="350">
        <f>DAY(EOMONTH(C4,0))</f>
        <v>31</v>
      </c>
      <c r="BD2" s="350">
        <f>IF(ISBLANK(AY2),COUNTIF(C5:AG5,"6")*(COUNTA(BJ6:BJ17)-AX5-COUNTA(BL6:BL17)),"手動計算填入下方")</f>
        <v>20</v>
      </c>
      <c r="BE2" s="350">
        <f>COUNTIF(C5:AG5,"日")*((COUNTA(BJ6:BJ17))-AX4-AX3-COUNTA(AX14BE4:BL6:BL17))</f>
        <v>20</v>
      </c>
      <c r="BF2" s="350">
        <f t="array" ref="BF2">IF(ISBLANK(AY2),(SUMPRODUCT(--(C4:AG4&lt;&gt;""))-COUNTIF(C5:AG5,"日")-COUNTIF(C5:AG5,"6")-BH2)*((COUNTA(BJ6:BJ17))-AX5-COUNTA(BL6:BL17)),"手動計算填入下方")</f>
        <v>84</v>
      </c>
      <c r="BG2" s="350">
        <f>IF(ISBLANK(AY2),COUNTIF(C5:AG5,"6")*(COUNTA(BJ6:BJ17)-AX5-COUNTA(BL6:BL17)),BD3)+BE2+BH2*((COUNTA(BJ6:BJ17))-AX2-COUNTA(BL6:BL17))+IF(ISBLANK(AY2),((SUMPRODUCT(--(C4:AG4&lt;&gt;""))-COUNTIF(C5:AG5,"日")-COUNTIF(C5:AG5,"6")-BH2)*((COUNTA(BJ6:BJ17))-AX5-COUNTA(BL6:BL17))),BF3)+BG5</f>
        <v>136</v>
      </c>
      <c r="BH2" s="350">
        <f>COUNTIF(C19:AG19,"*國*")</f>
        <v>1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>元旦</v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>
        <f>IF(ISBLANK(AY3),COUNTIF(C6:AG6,"6")*(COUNTA(BJ7:BJ18)-AX6-COUNTA(BL7:BL18)),BD4)+BE3+BH3*((COUNTA(BJ7:BJ18))-AX3-COUNTA(BL7:BL18))+IF(ISBLANK(AY3),((SUMPRODUCT(--(C5:AG5&lt;&gt;""))-COUNTIF(C6:AG6,"日")-COUNTIF(C6:AG6,"6")-BH3)*((COUNTA(BJ7:BJ18))-AX6-COUNTA(BL7:BL18))),BF4)+BG6</f>
        <v>217</v>
      </c>
      <c r="BH3" s="350">
        <f>COUNTIF(C20:AG20,"*國*")</f>
        <v>0</v>
      </c>
      <c r="BW3" s="13"/>
    </row>
    <row r="4" spans="1:94" ht="20.25" customHeight="1">
      <c r="A4" s="19" t="s">
        <v>1</v>
      </c>
      <c r="B4" s="19"/>
      <c r="C4" s="30">
        <f>DATE($G$2,$J$2,1)</f>
        <v>46023</v>
      </c>
      <c r="D4" s="30">
        <f>C4+1</f>
        <v>46024</v>
      </c>
      <c r="E4" s="30">
        <f t="shared" ref="E4:AC4" si="1">D4+1</f>
        <v>46025</v>
      </c>
      <c r="F4" s="30">
        <f t="shared" si="1"/>
        <v>46026</v>
      </c>
      <c r="G4" s="30">
        <f t="shared" si="1"/>
        <v>46027</v>
      </c>
      <c r="H4" s="30">
        <f t="shared" si="1"/>
        <v>46028</v>
      </c>
      <c r="I4" s="30">
        <f t="shared" si="1"/>
        <v>46029</v>
      </c>
      <c r="J4" s="30">
        <f t="shared" si="1"/>
        <v>46030</v>
      </c>
      <c r="K4" s="30">
        <f t="shared" si="1"/>
        <v>46031</v>
      </c>
      <c r="L4" s="30">
        <f t="shared" si="1"/>
        <v>46032</v>
      </c>
      <c r="M4" s="30">
        <f t="shared" si="1"/>
        <v>46033</v>
      </c>
      <c r="N4" s="30">
        <f t="shared" si="1"/>
        <v>46034</v>
      </c>
      <c r="O4" s="30">
        <f t="shared" si="1"/>
        <v>46035</v>
      </c>
      <c r="P4" s="30">
        <f t="shared" si="1"/>
        <v>46036</v>
      </c>
      <c r="Q4" s="30">
        <f t="shared" si="1"/>
        <v>46037</v>
      </c>
      <c r="R4" s="30">
        <f t="shared" si="1"/>
        <v>46038</v>
      </c>
      <c r="S4" s="30">
        <f t="shared" si="1"/>
        <v>46039</v>
      </c>
      <c r="T4" s="30">
        <f t="shared" si="1"/>
        <v>46040</v>
      </c>
      <c r="U4" s="30">
        <f t="shared" si="1"/>
        <v>46041</v>
      </c>
      <c r="V4" s="30">
        <f t="shared" si="1"/>
        <v>46042</v>
      </c>
      <c r="W4" s="30">
        <f t="shared" si="1"/>
        <v>46043</v>
      </c>
      <c r="X4" s="30">
        <f t="shared" si="1"/>
        <v>46044</v>
      </c>
      <c r="Y4" s="30">
        <f t="shared" si="1"/>
        <v>46045</v>
      </c>
      <c r="Z4" s="30">
        <f t="shared" si="1"/>
        <v>46046</v>
      </c>
      <c r="AA4" s="30">
        <f t="shared" si="1"/>
        <v>46047</v>
      </c>
      <c r="AB4" s="30">
        <f t="shared" si="1"/>
        <v>46048</v>
      </c>
      <c r="AC4" s="30">
        <f t="shared" si="1"/>
        <v>46049</v>
      </c>
      <c r="AD4" s="30">
        <f>IFERROR(IF(MONTH(AC4+1)=$J$2,AC4+1,""),"")</f>
        <v>46050</v>
      </c>
      <c r="AE4" s="30">
        <f>IFERROR(IF(MONTH(AD4+1)=$J$2,AD4+1,""),"")</f>
        <v>46051</v>
      </c>
      <c r="AF4" s="30">
        <f>IFERROR(IF(MONTH(AE4+1)=$J$2,AE4+1,""),"")</f>
        <v>46052</v>
      </c>
      <c r="AG4" s="30">
        <f>IFERROR(IF(MONTH(AF4+1)=$J$2,AF4+1,""),"")</f>
        <v>46053</v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3 ... 7</v>
      </c>
      <c r="BC4" s="350" t="str">
        <f>QUOTIENT((COUNTA(C4:AG4)-COUNTIF(AE4:AG4,"")),COUNTA(BJ6:BJ15)-COUNTA(BL6:BL17))&amp;" ... "&amp;MOD((COUNTA(C4:AG4)-COUNTIF(AE4:AG4,"")),COUNTA(BJ6:BJ15)-COUNTA(BL6:BL17))</f>
        <v>3 ... 7</v>
      </c>
      <c r="BD4" s="350"/>
      <c r="BE4" s="350"/>
      <c r="BF4" s="350"/>
      <c r="BG4" s="350" t="str">
        <f>QUOTIENT(BG2,COUNTA(BJ6:BJ17)-COUNTA(BL6:BL17))&amp;" ... "&amp;MOD(BG2,COUNTA(BJ6:BJ17)-COUNTA(BL6:BL17))</f>
        <v>17 ... 0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2">IFERROR(IF(WEEKDAY(C4,2)=7,"日",WEEKDAY(C4,2)),"")</f>
        <v>4</v>
      </c>
      <c r="D5" s="31">
        <f>IFERROR(IF(WEEKDAY(D4,2)=7,"日",WEEKDAY(D4,2)),"")</f>
        <v>5</v>
      </c>
      <c r="E5" s="31">
        <f t="shared" si="2"/>
        <v>6</v>
      </c>
      <c r="F5" s="31" t="str">
        <f t="shared" si="2"/>
        <v>日</v>
      </c>
      <c r="G5" s="31">
        <f t="shared" si="2"/>
        <v>1</v>
      </c>
      <c r="H5" s="31">
        <f t="shared" si="2"/>
        <v>2</v>
      </c>
      <c r="I5" s="31">
        <f t="shared" si="2"/>
        <v>3</v>
      </c>
      <c r="J5" s="31">
        <f t="shared" si="2"/>
        <v>4</v>
      </c>
      <c r="K5" s="31">
        <f t="shared" si="2"/>
        <v>5</v>
      </c>
      <c r="L5" s="31">
        <f t="shared" si="2"/>
        <v>6</v>
      </c>
      <c r="M5" s="31" t="str">
        <f t="shared" si="2"/>
        <v>日</v>
      </c>
      <c r="N5" s="31">
        <f t="shared" si="2"/>
        <v>1</v>
      </c>
      <c r="O5" s="31">
        <f t="shared" si="2"/>
        <v>2</v>
      </c>
      <c r="P5" s="31">
        <f t="shared" si="2"/>
        <v>3</v>
      </c>
      <c r="Q5" s="31">
        <f t="shared" si="2"/>
        <v>4</v>
      </c>
      <c r="R5" s="31">
        <f t="shared" si="2"/>
        <v>5</v>
      </c>
      <c r="S5" s="31">
        <f t="shared" si="2"/>
        <v>6</v>
      </c>
      <c r="T5" s="31" t="str">
        <f t="shared" si="2"/>
        <v>日</v>
      </c>
      <c r="U5" s="31">
        <f t="shared" si="2"/>
        <v>1</v>
      </c>
      <c r="V5" s="31">
        <f t="shared" si="2"/>
        <v>2</v>
      </c>
      <c r="W5" s="31">
        <f t="shared" si="2"/>
        <v>3</v>
      </c>
      <c r="X5" s="31">
        <f t="shared" si="2"/>
        <v>4</v>
      </c>
      <c r="Y5" s="31">
        <f t="shared" si="2"/>
        <v>5</v>
      </c>
      <c r="Z5" s="31">
        <f t="shared" si="2"/>
        <v>6</v>
      </c>
      <c r="AA5" s="31" t="str">
        <f t="shared" si="2"/>
        <v>日</v>
      </c>
      <c r="AB5" s="31">
        <f t="shared" si="2"/>
        <v>1</v>
      </c>
      <c r="AC5" s="31">
        <f t="shared" si="2"/>
        <v>2</v>
      </c>
      <c r="AD5" s="31">
        <f t="shared" si="2"/>
        <v>3</v>
      </c>
      <c r="AE5" s="31">
        <f t="shared" si="2"/>
        <v>4</v>
      </c>
      <c r="AF5" s="31">
        <f t="shared" si="2"/>
        <v>5</v>
      </c>
      <c r="AG5" s="31">
        <f t="shared" si="2"/>
        <v>6</v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G5">
        <v>6</v>
      </c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62" t="s">
        <v>2</v>
      </c>
      <c r="D6" s="33" t="s">
        <v>2</v>
      </c>
      <c r="E6" s="62" t="s">
        <v>2</v>
      </c>
      <c r="F6" s="62" t="s">
        <v>2</v>
      </c>
      <c r="G6" s="33"/>
      <c r="H6" s="33"/>
      <c r="I6" s="33"/>
      <c r="J6" s="33" t="s">
        <v>7</v>
      </c>
      <c r="K6" s="62" t="s">
        <v>2</v>
      </c>
      <c r="L6" s="33" t="s">
        <v>2</v>
      </c>
      <c r="M6" s="62" t="s">
        <v>2</v>
      </c>
      <c r="N6" s="33" t="s">
        <v>7</v>
      </c>
      <c r="O6" s="33"/>
      <c r="P6" s="62" t="s">
        <v>2</v>
      </c>
      <c r="Q6" s="62" t="s">
        <v>2</v>
      </c>
      <c r="R6" s="62" t="s">
        <v>2</v>
      </c>
      <c r="S6" s="33"/>
      <c r="T6" s="33" t="s">
        <v>7</v>
      </c>
      <c r="U6" s="62" t="s">
        <v>2</v>
      </c>
      <c r="V6" s="62" t="s">
        <v>2</v>
      </c>
      <c r="W6" s="62" t="s">
        <v>2</v>
      </c>
      <c r="X6" s="33" t="s">
        <v>7</v>
      </c>
      <c r="Y6" s="33"/>
      <c r="Z6" s="33"/>
      <c r="AA6" s="62" t="s">
        <v>2</v>
      </c>
      <c r="AB6" s="62" t="s">
        <v>2</v>
      </c>
      <c r="AC6" s="62" t="s">
        <v>2</v>
      </c>
      <c r="AD6" s="33" t="s">
        <v>6</v>
      </c>
      <c r="AE6" s="33" t="s">
        <v>6</v>
      </c>
      <c r="AF6" s="33" t="s">
        <v>6</v>
      </c>
      <c r="AG6" s="62" t="s">
        <v>2</v>
      </c>
      <c r="AH6" s="3">
        <f t="shared" ref="AH6:AH17" si="3">(AI6*12)+(AJ6*12)+(AL6*8)+(AM6*4)</f>
        <v>132</v>
      </c>
      <c r="AI6" s="3">
        <f>COUNTIF(C6:AG6,"D")+COUNTIF(C6:AG6,"NrsD")</f>
        <v>4</v>
      </c>
      <c r="AJ6" s="3">
        <f>COUNTIF(C6:AG6,"N")</f>
        <v>3</v>
      </c>
      <c r="AK6" s="3">
        <f>COUNTIF(C6:AG6,"OFF")+COUNTIF(C6:AG6,"上課")</f>
        <v>17</v>
      </c>
      <c r="AL6" s="3">
        <f>COUNTIF(C6:AG6,"")-AM6+COUNTIF(C6:AG6,"h3")</f>
        <v>5</v>
      </c>
      <c r="AM6" s="3">
        <f>COUNTIFS($C$5:$AG$5,"6",C6:AG6,"")+COUNTIF(C6:AG6,"h3")</f>
        <v>2</v>
      </c>
      <c r="AN6" s="3">
        <f t="array" ref="AN6">SUMPRODUCT(($C$5:$AG$5=6)*(C6:AG6="off"))</f>
        <v>3</v>
      </c>
      <c r="AO6" s="3" t="s">
        <v>404</v>
      </c>
      <c r="AP6" s="3" t="s">
        <v>56</v>
      </c>
      <c r="AQ6" s="12"/>
      <c r="AR6" s="256">
        <f>BN6</f>
        <v>4</v>
      </c>
      <c r="AS6" s="256">
        <f>BP6</f>
        <v>3</v>
      </c>
      <c r="AT6" s="256">
        <f>BR6</f>
        <v>17</v>
      </c>
      <c r="AU6" s="256">
        <f>BT6</f>
        <v>3</v>
      </c>
      <c r="AV6" s="91"/>
      <c r="BJ6" s="348" t="s">
        <v>384</v>
      </c>
      <c r="BK6" s="348" t="str">
        <f>A31</f>
        <v>B黃郁芳</v>
      </c>
      <c r="BL6" s="348"/>
      <c r="BM6" s="348"/>
      <c r="BN6" s="348">
        <v>4</v>
      </c>
      <c r="BO6" s="348"/>
      <c r="BP6" s="348">
        <v>3</v>
      </c>
      <c r="BQ6" s="348"/>
      <c r="BR6" s="348">
        <v>17</v>
      </c>
      <c r="BS6" s="348"/>
      <c r="BT6" s="348">
        <v>3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3" t="s">
        <v>7</v>
      </c>
      <c r="D7" s="33"/>
      <c r="E7" s="33" t="s">
        <v>7</v>
      </c>
      <c r="F7" s="62" t="s">
        <v>2</v>
      </c>
      <c r="G7" s="62" t="s">
        <v>2</v>
      </c>
      <c r="H7" s="62" t="s">
        <v>2</v>
      </c>
      <c r="I7" s="62" t="s">
        <v>2</v>
      </c>
      <c r="J7" s="33" t="s">
        <v>6</v>
      </c>
      <c r="K7" s="33" t="s">
        <v>6</v>
      </c>
      <c r="L7" s="62" t="s">
        <v>2</v>
      </c>
      <c r="M7" s="62" t="s">
        <v>2</v>
      </c>
      <c r="N7" s="62" t="s">
        <v>2</v>
      </c>
      <c r="O7" s="62" t="s">
        <v>2</v>
      </c>
      <c r="P7" s="33"/>
      <c r="Q7" s="33" t="s">
        <v>7</v>
      </c>
      <c r="R7" s="33"/>
      <c r="S7" s="33" t="s">
        <v>2</v>
      </c>
      <c r="T7" s="62" t="s">
        <v>2</v>
      </c>
      <c r="U7" s="33"/>
      <c r="V7" s="33"/>
      <c r="W7" s="33"/>
      <c r="X7" s="62" t="s">
        <v>2</v>
      </c>
      <c r="Y7" s="62" t="s">
        <v>2</v>
      </c>
      <c r="Z7" s="62" t="s">
        <v>2</v>
      </c>
      <c r="AA7" s="33" t="s">
        <v>7</v>
      </c>
      <c r="AB7" s="33" t="s">
        <v>6</v>
      </c>
      <c r="AC7" s="33" t="s">
        <v>6</v>
      </c>
      <c r="AD7" s="62" t="s">
        <v>2</v>
      </c>
      <c r="AE7" s="62" t="s">
        <v>2</v>
      </c>
      <c r="AF7" s="62" t="s">
        <v>2</v>
      </c>
      <c r="AG7" s="33"/>
      <c r="AH7" s="3">
        <f t="shared" si="3"/>
        <v>148</v>
      </c>
      <c r="AI7" s="3">
        <f>COUNTIF(C7:AG7,"D")+COUNTIF(C7:AG7,"NrsD")</f>
        <v>4</v>
      </c>
      <c r="AJ7" s="3">
        <f>COUNTIF(C7:AG7,"N")</f>
        <v>4</v>
      </c>
      <c r="AK7" s="3">
        <f>COUNTIF(C7:AG7,"OFF")+COUNTIF(C7:AG7,"上課")</f>
        <v>16</v>
      </c>
      <c r="AL7" s="3">
        <f>COUNTIF(C7:AG7,"")-AM7+COUNTIF(C7:AG7,"h3")</f>
        <v>6</v>
      </c>
      <c r="AM7" s="3">
        <f>COUNTIFS($C$5:$AG$5,"6",C7:AG7,"")+COUNTIF(C7:AG7,"h3")</f>
        <v>1</v>
      </c>
      <c r="AN7" s="3">
        <f t="array" ref="AN7">SUMPRODUCT(($C$5:$AG$5=6)*(C7:AG7="off"))</f>
        <v>3</v>
      </c>
      <c r="AO7" s="3" t="s">
        <v>406</v>
      </c>
      <c r="AP7" s="3" t="s">
        <v>84</v>
      </c>
      <c r="AQ7" s="12"/>
      <c r="AR7" s="256">
        <f t="shared" ref="AR7:AR17" si="5">BN7</f>
        <v>4</v>
      </c>
      <c r="AS7" s="256">
        <f t="shared" ref="AS7:AS17" si="6">BP7</f>
        <v>4</v>
      </c>
      <c r="AT7" s="256">
        <v>16</v>
      </c>
      <c r="AU7" s="256">
        <f t="shared" ref="AU7:AU17" si="7">BT7</f>
        <v>3</v>
      </c>
      <c r="BJ7" s="348" t="s">
        <v>384</v>
      </c>
      <c r="BK7" s="348" t="str">
        <f t="shared" ref="BK7:BK17" si="8">A32</f>
        <v>C詹絲庭</v>
      </c>
      <c r="BL7" s="348"/>
      <c r="BM7" s="348" t="s">
        <v>419</v>
      </c>
      <c r="BN7" s="348">
        <v>4</v>
      </c>
      <c r="BO7" s="348" t="s">
        <v>448</v>
      </c>
      <c r="BP7" s="348">
        <v>4</v>
      </c>
      <c r="BQ7" s="348" t="s">
        <v>419</v>
      </c>
      <c r="BR7" s="348">
        <v>17</v>
      </c>
      <c r="BS7" s="348" t="s">
        <v>419</v>
      </c>
      <c r="BT7" s="348">
        <v>3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9">A33</f>
        <v>D王子建</v>
      </c>
      <c r="B8" s="338" t="str">
        <f t="shared" si="4"/>
        <v/>
      </c>
      <c r="C8" s="62" t="s">
        <v>2</v>
      </c>
      <c r="D8" s="33" t="s">
        <v>2</v>
      </c>
      <c r="E8" s="33" t="s">
        <v>2</v>
      </c>
      <c r="F8" s="62" t="s">
        <v>2</v>
      </c>
      <c r="G8" s="33" t="s">
        <v>7</v>
      </c>
      <c r="H8" s="33"/>
      <c r="I8" s="33"/>
      <c r="J8" s="62" t="s">
        <v>10</v>
      </c>
      <c r="K8" s="33"/>
      <c r="L8" s="33" t="s">
        <v>7</v>
      </c>
      <c r="M8" s="62" t="s">
        <v>2</v>
      </c>
      <c r="N8" s="33" t="s">
        <v>2</v>
      </c>
      <c r="O8" s="33" t="s">
        <v>2</v>
      </c>
      <c r="P8" s="33" t="s">
        <v>6</v>
      </c>
      <c r="Q8" s="33" t="s">
        <v>6</v>
      </c>
      <c r="R8" s="33" t="s">
        <v>2</v>
      </c>
      <c r="S8" s="33"/>
      <c r="T8" s="62" t="s">
        <v>2</v>
      </c>
      <c r="U8" s="62" t="s">
        <v>2</v>
      </c>
      <c r="V8" s="33" t="s">
        <v>2</v>
      </c>
      <c r="W8" s="62" t="s">
        <v>2</v>
      </c>
      <c r="X8" s="33" t="s">
        <v>6</v>
      </c>
      <c r="Y8" s="33" t="s">
        <v>6</v>
      </c>
      <c r="Z8" s="33" t="s">
        <v>2</v>
      </c>
      <c r="AA8" s="62" t="s">
        <v>2</v>
      </c>
      <c r="AB8" s="62" t="s">
        <v>2</v>
      </c>
      <c r="AC8" s="62" t="s">
        <v>2</v>
      </c>
      <c r="AD8" s="33"/>
      <c r="AE8" s="33"/>
      <c r="AF8" s="33" t="s">
        <v>7</v>
      </c>
      <c r="AG8" s="33"/>
      <c r="AH8" s="3">
        <f t="shared" si="3"/>
        <v>132</v>
      </c>
      <c r="AI8" s="3">
        <f>COUNTIF(C8:AG8,"D")+COUNTIF(C8:AG8,"NrsD")</f>
        <v>3</v>
      </c>
      <c r="AJ8" s="3">
        <f t="shared" ref="AJ8:AJ17" si="10">COUNTIF(C8:AG8,"N")</f>
        <v>4</v>
      </c>
      <c r="AK8" s="3">
        <f t="shared" ref="AK8:AK17" si="11">COUNTIF(C8:AG8,"OFF")+COUNTIF(C8:AG8,"上課")</f>
        <v>17</v>
      </c>
      <c r="AL8" s="3">
        <f t="shared" ref="AL8:AL17" si="12">COUNTIF(C8:AG8,"")-AM8+COUNTIF(C8:AG8,"h3")</f>
        <v>5</v>
      </c>
      <c r="AM8" s="3">
        <f t="shared" ref="AM8:AM17" si="13">COUNTIFS($C$5:$AG$5,"6",C8:AG8,"")+COUNTIF(C8:AG8,"h3")</f>
        <v>2</v>
      </c>
      <c r="AN8" s="3">
        <f t="array" ref="AN8">SUMPRODUCT(($C$5:$AG$5=6)*(C8:AG8="off"))</f>
        <v>2</v>
      </c>
      <c r="AO8" s="3" t="s">
        <v>407</v>
      </c>
      <c r="AP8" s="3" t="s">
        <v>90</v>
      </c>
      <c r="AQ8" s="12"/>
      <c r="AR8" s="256">
        <f t="shared" si="5"/>
        <v>3</v>
      </c>
      <c r="AS8" s="256">
        <f t="shared" si="6"/>
        <v>4</v>
      </c>
      <c r="AT8" s="256">
        <v>16</v>
      </c>
      <c r="AU8" s="256">
        <f t="shared" si="7"/>
        <v>2</v>
      </c>
      <c r="BJ8" s="348" t="s">
        <v>384</v>
      </c>
      <c r="BK8" s="348" t="str">
        <f t="shared" si="8"/>
        <v>D王子建</v>
      </c>
      <c r="BL8" s="348"/>
      <c r="BM8" s="348"/>
      <c r="BN8" s="348">
        <v>3</v>
      </c>
      <c r="BO8" s="348"/>
      <c r="BP8" s="348">
        <v>4</v>
      </c>
      <c r="BQ8" s="348" t="s">
        <v>448</v>
      </c>
      <c r="BR8" s="348">
        <v>17</v>
      </c>
      <c r="BS8" s="348"/>
      <c r="BT8" s="348">
        <v>2</v>
      </c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9"/>
        <v>E詹雅慈</v>
      </c>
      <c r="B9" s="338" t="str">
        <f t="shared" si="4"/>
        <v/>
      </c>
      <c r="C9" s="62" t="s">
        <v>2</v>
      </c>
      <c r="D9" s="33" t="s">
        <v>6</v>
      </c>
      <c r="E9" s="33" t="s">
        <v>6</v>
      </c>
      <c r="F9" s="33" t="s">
        <v>6</v>
      </c>
      <c r="G9" s="62" t="s">
        <v>2</v>
      </c>
      <c r="H9" s="62" t="s">
        <v>2</v>
      </c>
      <c r="I9" s="62" t="s">
        <v>2</v>
      </c>
      <c r="J9" s="62"/>
      <c r="K9" s="62" t="s">
        <v>2</v>
      </c>
      <c r="L9" s="33" t="s">
        <v>2</v>
      </c>
      <c r="M9" s="62" t="s">
        <v>2</v>
      </c>
      <c r="N9" s="33" t="s">
        <v>2</v>
      </c>
      <c r="O9" s="62" t="s">
        <v>2</v>
      </c>
      <c r="P9" s="33" t="s">
        <v>2</v>
      </c>
      <c r="Q9" s="33"/>
      <c r="R9" s="33"/>
      <c r="S9" s="33" t="s">
        <v>7</v>
      </c>
      <c r="T9" s="62" t="s">
        <v>2</v>
      </c>
      <c r="U9" s="33" t="s">
        <v>7</v>
      </c>
      <c r="V9" s="62" t="s">
        <v>2</v>
      </c>
      <c r="W9" s="62" t="s">
        <v>2</v>
      </c>
      <c r="X9" s="33"/>
      <c r="Y9" s="33" t="s">
        <v>7</v>
      </c>
      <c r="Z9" s="33"/>
      <c r="AA9" s="62" t="s">
        <v>2</v>
      </c>
      <c r="AB9" s="33" t="s">
        <v>2</v>
      </c>
      <c r="AC9" s="33" t="s">
        <v>2</v>
      </c>
      <c r="AD9" s="62" t="s">
        <v>2</v>
      </c>
      <c r="AE9" s="62" t="s">
        <v>7</v>
      </c>
      <c r="AF9" s="62"/>
      <c r="AG9" s="62" t="s">
        <v>2</v>
      </c>
      <c r="AH9" s="3">
        <f t="shared" si="3"/>
        <v>128</v>
      </c>
      <c r="AI9" s="3">
        <f t="shared" ref="AI9:AI15" si="14">COUNTIF(C9:AG9,"D")+COUNTIF(C9:AG9,"NrsD")</f>
        <v>4</v>
      </c>
      <c r="AJ9" s="3">
        <f t="shared" si="10"/>
        <v>3</v>
      </c>
      <c r="AK9" s="3">
        <f t="shared" si="11"/>
        <v>18</v>
      </c>
      <c r="AL9" s="3">
        <f t="shared" si="12"/>
        <v>5</v>
      </c>
      <c r="AM9" s="3">
        <f t="shared" si="13"/>
        <v>1</v>
      </c>
      <c r="AN9" s="3">
        <f t="array" ref="AN9">SUMPRODUCT(($C$5:$AG$5=6)*(C9:AG9="off"))</f>
        <v>2</v>
      </c>
      <c r="AO9" s="3" t="s">
        <v>405</v>
      </c>
      <c r="AP9" s="3" t="s">
        <v>72</v>
      </c>
      <c r="AQ9" s="12"/>
      <c r="AR9" s="256">
        <f t="shared" si="5"/>
        <v>4</v>
      </c>
      <c r="AS9" s="256">
        <f t="shared" si="6"/>
        <v>4</v>
      </c>
      <c r="AT9" s="256">
        <f t="shared" ref="AT9:AT17" si="15">BR9</f>
        <v>17</v>
      </c>
      <c r="AU9" s="256">
        <f t="shared" si="7"/>
        <v>2</v>
      </c>
      <c r="BJ9" s="348" t="s">
        <v>384</v>
      </c>
      <c r="BK9" s="348" t="str">
        <f t="shared" si="8"/>
        <v>E詹雅慈</v>
      </c>
      <c r="BL9" s="348"/>
      <c r="BM9" s="348" t="s">
        <v>448</v>
      </c>
      <c r="BN9" s="348">
        <v>4</v>
      </c>
      <c r="BO9" s="348"/>
      <c r="BP9" s="348">
        <v>4</v>
      </c>
      <c r="BQ9" s="348"/>
      <c r="BR9" s="348">
        <v>17</v>
      </c>
      <c r="BS9" s="348"/>
      <c r="BT9" s="348">
        <v>2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9"/>
        <v>F丁韋綸</v>
      </c>
      <c r="B10" s="338" t="str">
        <f t="shared" si="4"/>
        <v>X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62"/>
      <c r="U10" s="33"/>
      <c r="V10" s="33"/>
      <c r="W10" s="33"/>
      <c r="X10" s="33"/>
      <c r="Y10" s="33"/>
      <c r="Z10" s="33"/>
      <c r="AA10" s="62"/>
      <c r="AB10" s="33"/>
      <c r="AC10" s="33"/>
      <c r="AD10" s="33"/>
      <c r="AE10" s="33"/>
      <c r="AF10" s="33"/>
      <c r="AG10" s="62"/>
      <c r="AH10" s="3">
        <f t="shared" si="3"/>
        <v>228</v>
      </c>
      <c r="AI10" s="3">
        <f t="shared" si="14"/>
        <v>0</v>
      </c>
      <c r="AJ10" s="3">
        <f t="shared" si="10"/>
        <v>0</v>
      </c>
      <c r="AK10" s="3">
        <f t="shared" si="11"/>
        <v>0</v>
      </c>
      <c r="AL10" s="3">
        <f t="shared" si="12"/>
        <v>26</v>
      </c>
      <c r="AM10" s="3">
        <f t="shared" si="13"/>
        <v>5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15"/>
        <v>0</v>
      </c>
      <c r="AU10" s="256">
        <f t="shared" si="7"/>
        <v>0</v>
      </c>
      <c r="BJ10" s="348"/>
      <c r="BK10" s="348" t="str">
        <f t="shared" si="8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9"/>
        <v>G陳盈潔</v>
      </c>
      <c r="B11" s="338" t="str">
        <f t="shared" si="4"/>
        <v>X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62"/>
      <c r="U11" s="33"/>
      <c r="V11" s="33"/>
      <c r="W11" s="33"/>
      <c r="X11" s="33"/>
      <c r="Y11" s="33"/>
      <c r="Z11" s="33"/>
      <c r="AA11" s="62"/>
      <c r="AB11" s="33"/>
      <c r="AC11" s="33"/>
      <c r="AD11" s="33"/>
      <c r="AE11" s="33"/>
      <c r="AF11" s="33"/>
      <c r="AG11" s="62"/>
      <c r="AH11" s="3">
        <f t="shared" si="3"/>
        <v>228</v>
      </c>
      <c r="AI11" s="3">
        <f t="shared" si="14"/>
        <v>0</v>
      </c>
      <c r="AJ11" s="3">
        <f t="shared" si="10"/>
        <v>0</v>
      </c>
      <c r="AK11" s="3">
        <f t="shared" si="11"/>
        <v>0</v>
      </c>
      <c r="AL11" s="3">
        <f t="shared" si="12"/>
        <v>26</v>
      </c>
      <c r="AM11" s="3">
        <f t="shared" si="13"/>
        <v>5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15"/>
        <v>0</v>
      </c>
      <c r="AU11" s="256">
        <f t="shared" si="7"/>
        <v>0</v>
      </c>
      <c r="BJ11" s="348"/>
      <c r="BK11" s="348" t="str">
        <f t="shared" si="8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9"/>
        <v>H張心柔</v>
      </c>
      <c r="B12" s="338" t="str">
        <f t="shared" si="4"/>
        <v/>
      </c>
      <c r="C12" s="62" t="s">
        <v>2</v>
      </c>
      <c r="D12" s="33" t="s">
        <v>7</v>
      </c>
      <c r="E12" s="33"/>
      <c r="F12" s="62" t="s">
        <v>2</v>
      </c>
      <c r="G12" s="62" t="s">
        <v>2</v>
      </c>
      <c r="H12" s="62" t="s">
        <v>2</v>
      </c>
      <c r="I12" s="62" t="s">
        <v>2</v>
      </c>
      <c r="J12" s="62" t="s">
        <v>2</v>
      </c>
      <c r="K12" s="62" t="s">
        <v>2</v>
      </c>
      <c r="L12" s="33" t="s">
        <v>6</v>
      </c>
      <c r="M12" s="33" t="s">
        <v>6</v>
      </c>
      <c r="N12" s="33" t="s">
        <v>6</v>
      </c>
      <c r="O12" s="33" t="s">
        <v>6</v>
      </c>
      <c r="P12" s="62" t="s">
        <v>2</v>
      </c>
      <c r="Q12" s="33" t="s">
        <v>2</v>
      </c>
      <c r="R12" s="33" t="s">
        <v>2</v>
      </c>
      <c r="S12" s="33" t="s">
        <v>2</v>
      </c>
      <c r="T12" s="62" t="s">
        <v>2</v>
      </c>
      <c r="U12" s="33" t="s">
        <v>2</v>
      </c>
      <c r="V12" s="33" t="s">
        <v>7</v>
      </c>
      <c r="W12" s="33"/>
      <c r="X12" s="33"/>
      <c r="Y12" s="33"/>
      <c r="Z12" s="33" t="s">
        <v>7</v>
      </c>
      <c r="AA12" s="62" t="s">
        <v>2</v>
      </c>
      <c r="AB12" s="33" t="s">
        <v>7</v>
      </c>
      <c r="AC12" s="62"/>
      <c r="AD12" s="33"/>
      <c r="AE12" s="33" t="s">
        <v>2</v>
      </c>
      <c r="AF12" s="62" t="s">
        <v>2</v>
      </c>
      <c r="AG12" s="62" t="s">
        <v>2</v>
      </c>
      <c r="AH12" s="3">
        <f t="shared" si="3"/>
        <v>140</v>
      </c>
      <c r="AI12" s="3">
        <f t="shared" si="14"/>
        <v>4</v>
      </c>
      <c r="AJ12" s="3">
        <f t="shared" si="10"/>
        <v>4</v>
      </c>
      <c r="AK12" s="3">
        <f t="shared" si="11"/>
        <v>17</v>
      </c>
      <c r="AL12" s="3">
        <f t="shared" si="12"/>
        <v>5</v>
      </c>
      <c r="AM12" s="3">
        <f t="shared" si="13"/>
        <v>1</v>
      </c>
      <c r="AN12" s="3">
        <f t="array" ref="AN12">SUMPRODUCT(($C$5:$AG$5=6)*(C12:AG12="off"))</f>
        <v>2</v>
      </c>
      <c r="AO12" s="3" t="s">
        <v>408</v>
      </c>
      <c r="AP12" s="3" t="s">
        <v>95</v>
      </c>
      <c r="AQ12" s="12"/>
      <c r="AR12" s="256">
        <f t="shared" si="5"/>
        <v>4</v>
      </c>
      <c r="AS12" s="256">
        <f t="shared" si="6"/>
        <v>4</v>
      </c>
      <c r="AT12" s="256">
        <f t="shared" si="15"/>
        <v>17</v>
      </c>
      <c r="AU12" s="256">
        <f t="shared" si="7"/>
        <v>2</v>
      </c>
      <c r="BJ12" s="348" t="s">
        <v>384</v>
      </c>
      <c r="BK12" s="348" t="str">
        <f t="shared" si="8"/>
        <v>H張心柔</v>
      </c>
      <c r="BL12" s="348"/>
      <c r="BM12" s="348"/>
      <c r="BN12" s="348">
        <v>4</v>
      </c>
      <c r="BO12" s="348"/>
      <c r="BP12" s="348">
        <v>4</v>
      </c>
      <c r="BQ12" s="348"/>
      <c r="BR12" s="348">
        <v>17</v>
      </c>
      <c r="BS12" s="348"/>
      <c r="BT12" s="348">
        <v>2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9"/>
        <v>I劉子瑄</v>
      </c>
      <c r="B13" s="338" t="str">
        <f t="shared" si="4"/>
        <v/>
      </c>
      <c r="C13" s="33" t="s">
        <v>6</v>
      </c>
      <c r="D13" s="33" t="s">
        <v>2</v>
      </c>
      <c r="E13" s="62" t="s">
        <v>2</v>
      </c>
      <c r="F13" s="62" t="s">
        <v>2</v>
      </c>
      <c r="G13" s="33"/>
      <c r="H13" s="33" t="s">
        <v>7</v>
      </c>
      <c r="I13" s="62" t="s">
        <v>2</v>
      </c>
      <c r="J13" s="62" t="s">
        <v>2</v>
      </c>
      <c r="K13" s="33"/>
      <c r="L13" s="33"/>
      <c r="M13" s="62" t="s">
        <v>2</v>
      </c>
      <c r="N13" s="33"/>
      <c r="O13" s="33" t="s">
        <v>7</v>
      </c>
      <c r="P13" s="33"/>
      <c r="Q13" s="33" t="s">
        <v>2</v>
      </c>
      <c r="R13" s="33" t="s">
        <v>6</v>
      </c>
      <c r="S13" s="33" t="s">
        <v>6</v>
      </c>
      <c r="T13" s="33" t="s">
        <v>6</v>
      </c>
      <c r="U13" s="33" t="s">
        <v>6</v>
      </c>
      <c r="V13" s="62" t="s">
        <v>2</v>
      </c>
      <c r="W13" s="62" t="s">
        <v>2</v>
      </c>
      <c r="X13" s="62" t="s">
        <v>2</v>
      </c>
      <c r="Y13" s="62" t="s">
        <v>2</v>
      </c>
      <c r="Z13" s="62" t="s">
        <v>2</v>
      </c>
      <c r="AA13" s="62" t="s">
        <v>2</v>
      </c>
      <c r="AB13" s="33"/>
      <c r="AC13" s="33" t="s">
        <v>7</v>
      </c>
      <c r="AD13" s="33" t="s">
        <v>2</v>
      </c>
      <c r="AE13" s="33" t="s">
        <v>2</v>
      </c>
      <c r="AF13" s="33"/>
      <c r="AG13" s="33" t="s">
        <v>7</v>
      </c>
      <c r="AH13" s="3">
        <f t="shared" si="3"/>
        <v>160</v>
      </c>
      <c r="AI13" s="3">
        <f t="shared" si="14"/>
        <v>4</v>
      </c>
      <c r="AJ13" s="3">
        <f t="shared" si="10"/>
        <v>5</v>
      </c>
      <c r="AK13" s="3">
        <f t="shared" si="11"/>
        <v>15</v>
      </c>
      <c r="AL13" s="3">
        <f t="shared" si="12"/>
        <v>6</v>
      </c>
      <c r="AM13" s="3">
        <f t="shared" si="13"/>
        <v>1</v>
      </c>
      <c r="AN13" s="3">
        <f t="array" ref="AN13">SUMPRODUCT(($C$5:$AG$5=6)*(C13:AG13="off"))</f>
        <v>2</v>
      </c>
      <c r="AP13" s="3"/>
      <c r="AQ13" s="12"/>
      <c r="AR13" s="256">
        <f t="shared" si="5"/>
        <v>4</v>
      </c>
      <c r="AS13" s="256">
        <f t="shared" si="6"/>
        <v>4</v>
      </c>
      <c r="AT13" s="256">
        <f t="shared" si="15"/>
        <v>17</v>
      </c>
      <c r="AU13" s="256">
        <f t="shared" si="7"/>
        <v>2</v>
      </c>
      <c r="BJ13" s="348" t="s">
        <v>384</v>
      </c>
      <c r="BK13" s="348" t="str">
        <f t="shared" si="8"/>
        <v>I劉子瑄</v>
      </c>
      <c r="BL13" s="348"/>
      <c r="BM13" s="348"/>
      <c r="BN13" s="348">
        <v>4</v>
      </c>
      <c r="BO13" s="348"/>
      <c r="BP13" s="348">
        <v>4</v>
      </c>
      <c r="BQ13" s="348"/>
      <c r="BR13" s="348">
        <v>17</v>
      </c>
      <c r="BS13" s="348"/>
      <c r="BT13" s="348">
        <v>2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9"/>
        <v>L陳咨希</v>
      </c>
      <c r="B14" s="338" t="str">
        <f t="shared" si="4"/>
        <v/>
      </c>
      <c r="C14" s="62" t="s">
        <v>2</v>
      </c>
      <c r="D14" s="33"/>
      <c r="E14" s="33"/>
      <c r="F14" s="33" t="s">
        <v>7</v>
      </c>
      <c r="G14" s="62" t="s">
        <v>2</v>
      </c>
      <c r="H14" s="62" t="s">
        <v>2</v>
      </c>
      <c r="I14" s="33" t="s">
        <v>7</v>
      </c>
      <c r="J14" s="33"/>
      <c r="K14" s="33" t="s">
        <v>7</v>
      </c>
      <c r="L14" s="33" t="s">
        <v>2</v>
      </c>
      <c r="M14" s="62" t="s">
        <v>2</v>
      </c>
      <c r="N14" s="33"/>
      <c r="O14" s="33"/>
      <c r="P14" s="33" t="s">
        <v>2</v>
      </c>
      <c r="Q14" s="62" t="s">
        <v>2</v>
      </c>
      <c r="R14" s="33" t="s">
        <v>4</v>
      </c>
      <c r="S14" s="33" t="s">
        <v>2</v>
      </c>
      <c r="T14" s="62" t="s">
        <v>2</v>
      </c>
      <c r="U14" s="33" t="s">
        <v>2</v>
      </c>
      <c r="V14" s="33" t="s">
        <v>6</v>
      </c>
      <c r="W14" s="33" t="s">
        <v>6</v>
      </c>
      <c r="X14" s="33" t="s">
        <v>2</v>
      </c>
      <c r="Y14" s="33" t="s">
        <v>2</v>
      </c>
      <c r="Z14" s="33" t="s">
        <v>6</v>
      </c>
      <c r="AA14" s="33" t="s">
        <v>6</v>
      </c>
      <c r="AB14" s="62" t="s">
        <v>2</v>
      </c>
      <c r="AC14" s="62" t="s">
        <v>2</v>
      </c>
      <c r="AD14" s="62" t="s">
        <v>7</v>
      </c>
      <c r="AE14" s="33"/>
      <c r="AF14" s="33" t="s">
        <v>2</v>
      </c>
      <c r="AG14" s="33" t="s">
        <v>4</v>
      </c>
      <c r="AH14" s="3">
        <f t="shared" si="3"/>
        <v>140</v>
      </c>
      <c r="AI14" s="3">
        <f t="shared" si="14"/>
        <v>4</v>
      </c>
      <c r="AJ14" s="3">
        <f t="shared" si="10"/>
        <v>4</v>
      </c>
      <c r="AK14" s="3">
        <f t="shared" si="11"/>
        <v>17</v>
      </c>
      <c r="AL14" s="3">
        <f t="shared" si="12"/>
        <v>5</v>
      </c>
      <c r="AM14" s="3">
        <f t="shared" si="13"/>
        <v>1</v>
      </c>
      <c r="AN14" s="3">
        <f t="array" ref="AN14">SUMPRODUCT(($C$5:$AG$5=6)*(C14:AG14="off"))</f>
        <v>3</v>
      </c>
      <c r="AO14" s="3"/>
      <c r="AP14" s="3"/>
      <c r="AQ14" s="12"/>
      <c r="AR14" s="256">
        <f t="shared" si="5"/>
        <v>4</v>
      </c>
      <c r="AS14" s="256">
        <f t="shared" si="6"/>
        <v>4</v>
      </c>
      <c r="AT14" s="256">
        <f t="shared" si="15"/>
        <v>17</v>
      </c>
      <c r="AU14" s="256">
        <f t="shared" si="7"/>
        <v>3</v>
      </c>
      <c r="AY14" s="335"/>
      <c r="BJ14" s="348" t="s">
        <v>451</v>
      </c>
      <c r="BK14" s="348" t="str">
        <f t="shared" si="8"/>
        <v>L陳咨希</v>
      </c>
      <c r="BL14" s="348"/>
      <c r="BM14" s="348"/>
      <c r="BN14" s="348">
        <v>4</v>
      </c>
      <c r="BO14" s="348"/>
      <c r="BP14" s="348">
        <v>4</v>
      </c>
      <c r="BQ14" s="348"/>
      <c r="BR14" s="348">
        <v>17</v>
      </c>
      <c r="BS14" s="348" t="s">
        <v>448</v>
      </c>
      <c r="BT14" s="348">
        <v>3</v>
      </c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9"/>
        <v>J林瑋嫻</v>
      </c>
      <c r="B15" s="338" t="str">
        <f t="shared" si="4"/>
        <v/>
      </c>
      <c r="C15" s="62" t="s">
        <v>2</v>
      </c>
      <c r="D15" s="33" t="s">
        <v>2</v>
      </c>
      <c r="E15" s="33" t="s">
        <v>2</v>
      </c>
      <c r="F15" s="62" t="s">
        <v>2</v>
      </c>
      <c r="G15" s="33" t="s">
        <v>6</v>
      </c>
      <c r="H15" s="33" t="s">
        <v>6</v>
      </c>
      <c r="I15" s="33" t="s">
        <v>6</v>
      </c>
      <c r="J15" s="62" t="s">
        <v>2</v>
      </c>
      <c r="K15" s="62" t="s">
        <v>2</v>
      </c>
      <c r="L15" s="33"/>
      <c r="M15" s="33" t="s">
        <v>7</v>
      </c>
      <c r="N15" s="33" t="s">
        <v>2</v>
      </c>
      <c r="O15" s="62" t="s">
        <v>2</v>
      </c>
      <c r="P15" s="33" t="s">
        <v>7</v>
      </c>
      <c r="Q15" s="33"/>
      <c r="R15" s="33" t="s">
        <v>7</v>
      </c>
      <c r="S15" s="33" t="s">
        <v>2</v>
      </c>
      <c r="T15" s="33" t="s">
        <v>2</v>
      </c>
      <c r="U15" s="33"/>
      <c r="V15" s="33"/>
      <c r="W15" s="33" t="s">
        <v>7</v>
      </c>
      <c r="X15" s="62" t="s">
        <v>2</v>
      </c>
      <c r="Y15" s="33" t="s">
        <v>2</v>
      </c>
      <c r="Z15" s="33" t="s">
        <v>2</v>
      </c>
      <c r="AA15" s="62" t="s">
        <v>2</v>
      </c>
      <c r="AB15" s="33"/>
      <c r="AC15" s="33"/>
      <c r="AD15" s="62" t="s">
        <v>2</v>
      </c>
      <c r="AE15" s="33" t="s">
        <v>2</v>
      </c>
      <c r="AF15" s="33" t="s">
        <v>2</v>
      </c>
      <c r="AG15" s="33" t="s">
        <v>6</v>
      </c>
      <c r="AH15" s="3">
        <f t="shared" si="3"/>
        <v>140</v>
      </c>
      <c r="AI15" s="3">
        <f t="shared" si="14"/>
        <v>4</v>
      </c>
      <c r="AJ15" s="3">
        <f t="shared" si="10"/>
        <v>4</v>
      </c>
      <c r="AK15" s="3">
        <f t="shared" si="11"/>
        <v>17</v>
      </c>
      <c r="AL15" s="3">
        <f t="shared" si="12"/>
        <v>5</v>
      </c>
      <c r="AM15" s="3">
        <f t="shared" si="13"/>
        <v>1</v>
      </c>
      <c r="AN15" s="3">
        <f t="array" ref="AN15">SUMPRODUCT(($C$5:$AG$5=6)*(C15:AG15="off"))</f>
        <v>3</v>
      </c>
      <c r="AO15" s="3"/>
      <c r="AP15" s="3"/>
      <c r="AQ15" s="12"/>
      <c r="AR15" s="256">
        <f t="shared" si="5"/>
        <v>4</v>
      </c>
      <c r="AS15" s="256">
        <f t="shared" si="6"/>
        <v>4</v>
      </c>
      <c r="AT15" s="256">
        <f t="shared" si="15"/>
        <v>17</v>
      </c>
      <c r="AU15" s="256">
        <f t="shared" si="7"/>
        <v>3</v>
      </c>
      <c r="BJ15" s="348" t="s">
        <v>451</v>
      </c>
      <c r="BK15" s="348" t="str">
        <f t="shared" si="8"/>
        <v>J林瑋嫻</v>
      </c>
      <c r="BL15" s="348"/>
      <c r="BM15" s="348"/>
      <c r="BN15" s="348">
        <v>4</v>
      </c>
      <c r="BO15" s="348" t="s">
        <v>419</v>
      </c>
      <c r="BP15" s="348">
        <v>4</v>
      </c>
      <c r="BQ15" s="348"/>
      <c r="BR15" s="348">
        <v>17</v>
      </c>
      <c r="BS15" s="348"/>
      <c r="BT15" s="348">
        <v>3</v>
      </c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hidden="1" customHeight="1">
      <c r="A16" s="6" t="str">
        <f t="shared" si="9"/>
        <v>K馮佳祺</v>
      </c>
      <c r="B16" s="338" t="str">
        <f t="shared" si="4"/>
        <v>x</v>
      </c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3"/>
        <v>228</v>
      </c>
      <c r="AI16" s="3">
        <f>COUNTIF(C16:AG16,"D")+COUNTIF(C16:AG16,"NurseD")</f>
        <v>0</v>
      </c>
      <c r="AJ16" s="3">
        <f t="shared" si="10"/>
        <v>0</v>
      </c>
      <c r="AK16" s="3">
        <f t="shared" si="11"/>
        <v>0</v>
      </c>
      <c r="AL16" s="3">
        <f t="shared" si="12"/>
        <v>26</v>
      </c>
      <c r="AM16" s="3">
        <f t="shared" si="13"/>
        <v>5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15"/>
        <v>0</v>
      </c>
      <c r="AU16" s="256">
        <f t="shared" si="7"/>
        <v>0</v>
      </c>
      <c r="BJ16" s="355"/>
      <c r="BK16" s="348" t="str">
        <f t="shared" si="8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9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228</v>
      </c>
      <c r="AI17" s="3">
        <f>COUNTIF(C17:AG17,"D")+COUNTIF(C17:AG17,"NurseD")</f>
        <v>0</v>
      </c>
      <c r="AJ17" s="3">
        <f t="shared" si="10"/>
        <v>0</v>
      </c>
      <c r="AK17" s="3">
        <f t="shared" si="11"/>
        <v>0</v>
      </c>
      <c r="AL17" s="3">
        <f t="shared" si="12"/>
        <v>26</v>
      </c>
      <c r="AM17" s="3">
        <f t="shared" si="13"/>
        <v>5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15"/>
        <v>0</v>
      </c>
      <c r="AU17" s="256">
        <f t="shared" si="7"/>
        <v>0</v>
      </c>
      <c r="BJ17" s="91"/>
      <c r="BK17" s="348" t="str">
        <f t="shared" si="8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6</v>
      </c>
      <c r="D18" s="172">
        <f t="shared" si="16"/>
        <v>4</v>
      </c>
      <c r="E18" s="172">
        <f t="shared" si="16"/>
        <v>4</v>
      </c>
      <c r="F18" s="172">
        <f t="shared" si="16"/>
        <v>6</v>
      </c>
      <c r="G18" s="172">
        <f t="shared" si="16"/>
        <v>4</v>
      </c>
      <c r="H18" s="172">
        <f t="shared" si="16"/>
        <v>4</v>
      </c>
      <c r="I18" s="172">
        <f t="shared" si="16"/>
        <v>4</v>
      </c>
      <c r="J18" s="172">
        <f t="shared" si="16"/>
        <v>4</v>
      </c>
      <c r="K18" s="172">
        <f t="shared" si="16"/>
        <v>4</v>
      </c>
      <c r="L18" s="172">
        <f t="shared" si="16"/>
        <v>4</v>
      </c>
      <c r="M18" s="172">
        <f t="shared" si="16"/>
        <v>6</v>
      </c>
      <c r="N18" s="172">
        <f t="shared" si="16"/>
        <v>4</v>
      </c>
      <c r="O18" s="172">
        <f t="shared" si="16"/>
        <v>4</v>
      </c>
      <c r="P18" s="172">
        <f t="shared" si="16"/>
        <v>4</v>
      </c>
      <c r="Q18" s="172">
        <f t="shared" si="16"/>
        <v>4</v>
      </c>
      <c r="R18" s="172">
        <f t="shared" si="16"/>
        <v>4</v>
      </c>
      <c r="S18" s="172">
        <f t="shared" si="16"/>
        <v>4</v>
      </c>
      <c r="T18" s="172">
        <f t="shared" si="16"/>
        <v>6</v>
      </c>
      <c r="U18" s="172">
        <f t="shared" si="16"/>
        <v>4</v>
      </c>
      <c r="V18" s="172">
        <f t="shared" si="16"/>
        <v>4</v>
      </c>
      <c r="W18" s="172">
        <f t="shared" si="16"/>
        <v>4</v>
      </c>
      <c r="X18" s="172">
        <f t="shared" si="16"/>
        <v>4</v>
      </c>
      <c r="Y18" s="172">
        <f t="shared" si="16"/>
        <v>4</v>
      </c>
      <c r="Z18" s="172">
        <f t="shared" si="16"/>
        <v>4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6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4</v>
      </c>
      <c r="AC18" s="172">
        <f t="shared" si="17"/>
        <v>4</v>
      </c>
      <c r="AD18" s="172">
        <f t="shared" si="17"/>
        <v>4</v>
      </c>
      <c r="AE18" s="172">
        <f t="shared" si="17"/>
        <v>4</v>
      </c>
      <c r="AF18" s="172">
        <f t="shared" si="17"/>
        <v>4</v>
      </c>
      <c r="AG18" s="172">
        <f t="shared" si="17"/>
        <v>4</v>
      </c>
      <c r="AH18" s="3" t="s">
        <v>391</v>
      </c>
      <c r="AI18" s="3">
        <f>COUNTIF(C18:AG18,"D")+COUNTIF(C18:AG18,"NurseD")</f>
        <v>0</v>
      </c>
      <c r="AJ18" s="3">
        <f>SUM(AJ6:AJ15)</f>
        <v>31</v>
      </c>
      <c r="AK18" s="3">
        <f>SUM(AK6:AK15)</f>
        <v>134</v>
      </c>
      <c r="AL18" s="3">
        <f>SUM(AL6:AL15)</f>
        <v>94</v>
      </c>
      <c r="AM18" s="3">
        <f>SUM(AM6:AM15)-SUM(AM10:AM11)-SUM(AM16:AM17)</f>
        <v>0</v>
      </c>
      <c r="AN18" s="3">
        <f>SUM(AN6:AN15)</f>
        <v>20</v>
      </c>
      <c r="AO18" s="3"/>
      <c r="AP18" s="3"/>
      <c r="AQ18" s="12"/>
      <c r="AR18" s="55">
        <f>SUBTOTAL(109,AR5:AR17)</f>
        <v>31</v>
      </c>
      <c r="AS18" s="55">
        <f>SUBTOTAL(109,AS5:AS17)</f>
        <v>31</v>
      </c>
      <c r="AT18" s="55">
        <f>SUM(AT6:AT17)</f>
        <v>134</v>
      </c>
      <c r="AU18" s="55">
        <f>SUBTOTAL(109,AU5:AU17)</f>
        <v>20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>國</v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/>
      </c>
      <c r="Q19" s="173" t="str">
        <f t="shared" si="18"/>
        <v/>
      </c>
      <c r="R19" s="173" t="str">
        <f t="shared" si="18"/>
        <v/>
      </c>
      <c r="S19" s="173" t="str">
        <f t="shared" si="18"/>
        <v/>
      </c>
      <c r="T19" s="173" t="str">
        <f t="shared" si="18"/>
        <v/>
      </c>
      <c r="U19" s="173" t="str">
        <f t="shared" si="18"/>
        <v/>
      </c>
      <c r="V19" s="173" t="str">
        <f t="shared" si="18"/>
        <v/>
      </c>
      <c r="W19" s="173" t="str">
        <f t="shared" si="18"/>
        <v/>
      </c>
      <c r="X19" s="173" t="str">
        <f t="shared" si="18"/>
        <v/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/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 t="s">
        <v>4</v>
      </c>
      <c r="B20" s="93"/>
      <c r="C20" s="360">
        <f>COUNTIF(C6:C15,"off")</f>
        <v>6</v>
      </c>
      <c r="D20" s="360">
        <f t="shared" ref="D20:AG20" si="19">COUNTIF(D6:D15,"off")</f>
        <v>4</v>
      </c>
      <c r="E20" s="360">
        <f t="shared" si="19"/>
        <v>4</v>
      </c>
      <c r="F20" s="360">
        <f t="shared" si="19"/>
        <v>6</v>
      </c>
      <c r="G20" s="360">
        <f t="shared" si="19"/>
        <v>4</v>
      </c>
      <c r="H20" s="360">
        <f t="shared" si="19"/>
        <v>4</v>
      </c>
      <c r="I20" s="360">
        <f t="shared" si="19"/>
        <v>4</v>
      </c>
      <c r="J20" s="360">
        <f t="shared" si="19"/>
        <v>4</v>
      </c>
      <c r="K20" s="360">
        <f t="shared" si="19"/>
        <v>4</v>
      </c>
      <c r="L20" s="360">
        <f t="shared" si="19"/>
        <v>4</v>
      </c>
      <c r="M20" s="360">
        <f t="shared" si="19"/>
        <v>6</v>
      </c>
      <c r="N20" s="360">
        <f t="shared" si="19"/>
        <v>4</v>
      </c>
      <c r="O20" s="360">
        <f t="shared" si="19"/>
        <v>4</v>
      </c>
      <c r="P20" s="360">
        <f t="shared" si="19"/>
        <v>4</v>
      </c>
      <c r="Q20" s="360">
        <f t="shared" si="19"/>
        <v>4</v>
      </c>
      <c r="R20" s="360">
        <f t="shared" si="19"/>
        <v>4</v>
      </c>
      <c r="S20" s="360">
        <f t="shared" si="19"/>
        <v>4</v>
      </c>
      <c r="T20" s="360">
        <f t="shared" si="19"/>
        <v>6</v>
      </c>
      <c r="U20" s="360">
        <f t="shared" si="19"/>
        <v>4</v>
      </c>
      <c r="V20" s="360">
        <f t="shared" si="19"/>
        <v>4</v>
      </c>
      <c r="W20" s="360">
        <f t="shared" si="19"/>
        <v>4</v>
      </c>
      <c r="X20" s="360">
        <f t="shared" si="19"/>
        <v>4</v>
      </c>
      <c r="Y20" s="360">
        <f t="shared" si="19"/>
        <v>4</v>
      </c>
      <c r="Z20" s="360">
        <f t="shared" si="19"/>
        <v>4</v>
      </c>
      <c r="AA20" s="360">
        <f t="shared" si="19"/>
        <v>6</v>
      </c>
      <c r="AB20" s="360">
        <f t="shared" si="19"/>
        <v>4</v>
      </c>
      <c r="AC20" s="360">
        <f t="shared" si="19"/>
        <v>4</v>
      </c>
      <c r="AD20" s="360">
        <f t="shared" si="19"/>
        <v>4</v>
      </c>
      <c r="AE20" s="360">
        <f t="shared" si="19"/>
        <v>4</v>
      </c>
      <c r="AF20" s="360">
        <f>COUNTIF(AF6:AF15,"off")</f>
        <v>4</v>
      </c>
      <c r="AG20" s="360">
        <f t="shared" si="19"/>
        <v>4</v>
      </c>
      <c r="AH20" s="12">
        <f>SUM(C20:AG20)</f>
        <v>134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 t="s">
        <v>3</v>
      </c>
      <c r="B21" s="93"/>
      <c r="C21" s="360">
        <f>COUNTIF(C6:C15,"D")+COUNTIF(C6:C15,"NrsD")</f>
        <v>1</v>
      </c>
      <c r="D21" s="360">
        <f t="shared" ref="D21:AG21" si="20">COUNTIF(D6:D15,"D")+COUNTIF(D6:D15,"NrsD")</f>
        <v>1</v>
      </c>
      <c r="E21" s="360">
        <f t="shared" si="20"/>
        <v>1</v>
      </c>
      <c r="F21" s="360">
        <f t="shared" si="20"/>
        <v>1</v>
      </c>
      <c r="G21" s="360">
        <f t="shared" si="20"/>
        <v>1</v>
      </c>
      <c r="H21" s="360">
        <f t="shared" si="20"/>
        <v>1</v>
      </c>
      <c r="I21" s="360">
        <f t="shared" si="20"/>
        <v>1</v>
      </c>
      <c r="J21" s="360">
        <f t="shared" si="20"/>
        <v>1</v>
      </c>
      <c r="K21" s="360">
        <f t="shared" si="20"/>
        <v>1</v>
      </c>
      <c r="L21" s="360">
        <f t="shared" si="20"/>
        <v>1</v>
      </c>
      <c r="M21" s="360">
        <f t="shared" si="20"/>
        <v>1</v>
      </c>
      <c r="N21" s="360">
        <f t="shared" si="20"/>
        <v>1</v>
      </c>
      <c r="O21" s="360">
        <f t="shared" si="20"/>
        <v>1</v>
      </c>
      <c r="P21" s="360">
        <f t="shared" si="20"/>
        <v>1</v>
      </c>
      <c r="Q21" s="360">
        <f t="shared" si="20"/>
        <v>1</v>
      </c>
      <c r="R21" s="360">
        <f t="shared" si="20"/>
        <v>1</v>
      </c>
      <c r="S21" s="360">
        <f t="shared" si="20"/>
        <v>1</v>
      </c>
      <c r="T21" s="360">
        <f t="shared" si="20"/>
        <v>1</v>
      </c>
      <c r="U21" s="360">
        <f t="shared" si="20"/>
        <v>1</v>
      </c>
      <c r="V21" s="360">
        <f t="shared" si="20"/>
        <v>1</v>
      </c>
      <c r="W21" s="360">
        <f t="shared" si="20"/>
        <v>1</v>
      </c>
      <c r="X21" s="360">
        <f t="shared" si="20"/>
        <v>1</v>
      </c>
      <c r="Y21" s="360">
        <f t="shared" si="20"/>
        <v>1</v>
      </c>
      <c r="Z21" s="360">
        <f t="shared" si="20"/>
        <v>1</v>
      </c>
      <c r="AA21" s="360">
        <f t="shared" si="20"/>
        <v>1</v>
      </c>
      <c r="AB21" s="360">
        <f t="shared" si="20"/>
        <v>1</v>
      </c>
      <c r="AC21" s="360">
        <f t="shared" si="20"/>
        <v>1</v>
      </c>
      <c r="AD21" s="360">
        <f t="shared" si="20"/>
        <v>1</v>
      </c>
      <c r="AE21" s="360">
        <f t="shared" si="20"/>
        <v>1</v>
      </c>
      <c r="AF21" s="360">
        <f t="shared" si="20"/>
        <v>1</v>
      </c>
      <c r="AG21" s="360">
        <f t="shared" si="20"/>
        <v>1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93" t="s">
        <v>5</v>
      </c>
      <c r="B22" s="4"/>
      <c r="C22" s="360">
        <f>COUNTIF(C6:C15,"N")</f>
        <v>1</v>
      </c>
      <c r="D22" s="360">
        <f t="shared" ref="D22:AG22" si="21">COUNTIF(D6:D15,"N")</f>
        <v>1</v>
      </c>
      <c r="E22" s="360">
        <f t="shared" si="21"/>
        <v>1</v>
      </c>
      <c r="F22" s="360">
        <f t="shared" si="21"/>
        <v>1</v>
      </c>
      <c r="G22" s="360">
        <f t="shared" si="21"/>
        <v>1</v>
      </c>
      <c r="H22" s="360">
        <f t="shared" si="21"/>
        <v>1</v>
      </c>
      <c r="I22" s="360">
        <f t="shared" si="21"/>
        <v>1</v>
      </c>
      <c r="J22" s="360">
        <f t="shared" si="21"/>
        <v>1</v>
      </c>
      <c r="K22" s="360">
        <f t="shared" si="21"/>
        <v>1</v>
      </c>
      <c r="L22" s="360">
        <f t="shared" si="21"/>
        <v>1</v>
      </c>
      <c r="M22" s="360">
        <f t="shared" si="21"/>
        <v>1</v>
      </c>
      <c r="N22" s="360">
        <f t="shared" si="21"/>
        <v>1</v>
      </c>
      <c r="O22" s="360">
        <f t="shared" si="21"/>
        <v>1</v>
      </c>
      <c r="P22" s="360">
        <f t="shared" si="21"/>
        <v>1</v>
      </c>
      <c r="Q22" s="360">
        <f t="shared" si="21"/>
        <v>1</v>
      </c>
      <c r="R22" s="360">
        <f t="shared" si="21"/>
        <v>1</v>
      </c>
      <c r="S22" s="360">
        <f t="shared" si="21"/>
        <v>1</v>
      </c>
      <c r="T22" s="360">
        <f t="shared" si="21"/>
        <v>1</v>
      </c>
      <c r="U22" s="360">
        <f t="shared" si="21"/>
        <v>1</v>
      </c>
      <c r="V22" s="360">
        <f t="shared" si="21"/>
        <v>1</v>
      </c>
      <c r="W22" s="360">
        <f t="shared" si="21"/>
        <v>1</v>
      </c>
      <c r="X22" s="360">
        <f t="shared" si="21"/>
        <v>1</v>
      </c>
      <c r="Y22" s="360">
        <f t="shared" si="21"/>
        <v>1</v>
      </c>
      <c r="Z22" s="360">
        <f t="shared" si="21"/>
        <v>1</v>
      </c>
      <c r="AA22" s="360">
        <f t="shared" si="21"/>
        <v>1</v>
      </c>
      <c r="AB22" s="360">
        <f t="shared" si="21"/>
        <v>1</v>
      </c>
      <c r="AC22" s="360">
        <f t="shared" si="21"/>
        <v>1</v>
      </c>
      <c r="AD22" s="360">
        <f t="shared" si="21"/>
        <v>1</v>
      </c>
      <c r="AE22" s="360">
        <f t="shared" si="21"/>
        <v>1</v>
      </c>
      <c r="AF22" s="360">
        <f t="shared" si="21"/>
        <v>1</v>
      </c>
      <c r="AG22" s="360">
        <f t="shared" si="21"/>
        <v>1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459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459"/>
      <c r="B26" s="460"/>
      <c r="C26" s="460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460"/>
      <c r="O26" s="460"/>
      <c r="P26" s="460"/>
      <c r="Q26" s="460"/>
      <c r="R26" s="460"/>
      <c r="S26" s="460"/>
      <c r="T26" s="460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 t="s">
        <v>470</v>
      </c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28"/>
      <c r="Q28" s="329"/>
      <c r="R28" s="328"/>
      <c r="S28" s="328"/>
      <c r="T28" s="330"/>
      <c r="U28" s="331"/>
      <c r="V28" s="330"/>
      <c r="W28" s="323"/>
      <c r="X28" s="332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46023</v>
      </c>
      <c r="D29" s="30">
        <f t="shared" ref="D29:AC29" si="22">C29+1</f>
        <v>46024</v>
      </c>
      <c r="E29" s="30">
        <f t="shared" si="22"/>
        <v>46025</v>
      </c>
      <c r="F29" s="30">
        <f t="shared" si="22"/>
        <v>46026</v>
      </c>
      <c r="G29" s="30">
        <f t="shared" si="22"/>
        <v>46027</v>
      </c>
      <c r="H29" s="30">
        <f t="shared" si="22"/>
        <v>46028</v>
      </c>
      <c r="I29" s="30">
        <f t="shared" si="22"/>
        <v>46029</v>
      </c>
      <c r="J29" s="30">
        <f t="shared" si="22"/>
        <v>46030</v>
      </c>
      <c r="K29" s="30">
        <f t="shared" si="22"/>
        <v>46031</v>
      </c>
      <c r="L29" s="30">
        <f t="shared" si="22"/>
        <v>46032</v>
      </c>
      <c r="M29" s="30">
        <f t="shared" si="22"/>
        <v>46033</v>
      </c>
      <c r="N29" s="30">
        <f t="shared" si="22"/>
        <v>46034</v>
      </c>
      <c r="O29" s="30">
        <f t="shared" si="22"/>
        <v>46035</v>
      </c>
      <c r="P29" s="30">
        <f t="shared" si="22"/>
        <v>46036</v>
      </c>
      <c r="Q29" s="30">
        <f t="shared" si="22"/>
        <v>46037</v>
      </c>
      <c r="R29" s="30">
        <f t="shared" si="22"/>
        <v>46038</v>
      </c>
      <c r="S29" s="30">
        <f t="shared" si="22"/>
        <v>46039</v>
      </c>
      <c r="T29" s="30">
        <f t="shared" si="22"/>
        <v>46040</v>
      </c>
      <c r="U29" s="30">
        <f t="shared" si="22"/>
        <v>46041</v>
      </c>
      <c r="V29" s="30">
        <f t="shared" si="22"/>
        <v>46042</v>
      </c>
      <c r="W29" s="30">
        <f t="shared" si="22"/>
        <v>46043</v>
      </c>
      <c r="X29" s="30">
        <f t="shared" si="22"/>
        <v>46044</v>
      </c>
      <c r="Y29" s="30">
        <f t="shared" si="22"/>
        <v>46045</v>
      </c>
      <c r="Z29" s="30">
        <f t="shared" si="22"/>
        <v>46046</v>
      </c>
      <c r="AA29" s="30">
        <f t="shared" si="22"/>
        <v>46047</v>
      </c>
      <c r="AB29" s="30">
        <f t="shared" si="22"/>
        <v>46048</v>
      </c>
      <c r="AC29" s="30">
        <f t="shared" si="22"/>
        <v>46049</v>
      </c>
      <c r="AD29" s="30">
        <f>IFERROR(IF(MONTH(AC29+1)=$J$2,AC29+1,""),"")</f>
        <v>46050</v>
      </c>
      <c r="AE29" s="30">
        <f>IFERROR(IF(MONTH(AD29+1)=$J$2,AD29+1,""),"")</f>
        <v>46051</v>
      </c>
      <c r="AF29" s="30">
        <f>IFERROR(IF(MONTH(AE29+1)=$J$2,AE29+1,""),"")</f>
        <v>46052</v>
      </c>
      <c r="AG29" s="30">
        <f>IFERROR(IF(MONTH(AF29+1)=$J$2,AF29+1,""),"")</f>
        <v>46053</v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4</v>
      </c>
      <c r="D30" s="31">
        <f>IFERROR(IF(WEEKDAY(D29,2)=7,"日",WEEKDAY(D29,2)),"")</f>
        <v>5</v>
      </c>
      <c r="E30" s="31">
        <f t="shared" ref="E30:AG30" si="23">IFERROR(IF(WEEKDAY(E29,2)=7,"日",WEEKDAY(E29,2)),"")</f>
        <v>6</v>
      </c>
      <c r="F30" s="31" t="str">
        <f t="shared" si="23"/>
        <v>日</v>
      </c>
      <c r="G30" s="31">
        <f t="shared" si="23"/>
        <v>1</v>
      </c>
      <c r="H30" s="31">
        <f t="shared" si="23"/>
        <v>2</v>
      </c>
      <c r="I30" s="31">
        <f t="shared" si="23"/>
        <v>3</v>
      </c>
      <c r="J30" s="31">
        <f t="shared" si="23"/>
        <v>4</v>
      </c>
      <c r="K30" s="31">
        <f t="shared" si="23"/>
        <v>5</v>
      </c>
      <c r="L30" s="31">
        <f t="shared" si="23"/>
        <v>6</v>
      </c>
      <c r="M30" s="31" t="str">
        <f t="shared" si="23"/>
        <v>日</v>
      </c>
      <c r="N30" s="31">
        <f t="shared" si="23"/>
        <v>1</v>
      </c>
      <c r="O30" s="31">
        <f t="shared" si="23"/>
        <v>2</v>
      </c>
      <c r="P30" s="31">
        <f t="shared" si="23"/>
        <v>3</v>
      </c>
      <c r="Q30" s="31">
        <f t="shared" si="23"/>
        <v>4</v>
      </c>
      <c r="R30" s="31">
        <f t="shared" si="23"/>
        <v>5</v>
      </c>
      <c r="S30" s="31">
        <f t="shared" si="23"/>
        <v>6</v>
      </c>
      <c r="T30" s="31" t="str">
        <f t="shared" si="23"/>
        <v>日</v>
      </c>
      <c r="U30" s="31">
        <f t="shared" si="23"/>
        <v>1</v>
      </c>
      <c r="V30" s="31">
        <f t="shared" si="23"/>
        <v>2</v>
      </c>
      <c r="W30" s="31">
        <f t="shared" si="23"/>
        <v>3</v>
      </c>
      <c r="X30" s="31">
        <f t="shared" si="23"/>
        <v>4</v>
      </c>
      <c r="Y30" s="31">
        <f t="shared" si="23"/>
        <v>5</v>
      </c>
      <c r="Z30" s="31">
        <f t="shared" si="23"/>
        <v>6</v>
      </c>
      <c r="AA30" s="31" t="str">
        <f t="shared" si="23"/>
        <v>日</v>
      </c>
      <c r="AB30" s="31">
        <f t="shared" si="23"/>
        <v>1</v>
      </c>
      <c r="AC30" s="31">
        <f t="shared" si="23"/>
        <v>2</v>
      </c>
      <c r="AD30" s="31">
        <f t="shared" si="23"/>
        <v>3</v>
      </c>
      <c r="AE30" s="31">
        <f t="shared" si="23"/>
        <v>4</v>
      </c>
      <c r="AF30" s="31">
        <f t="shared" si="23"/>
        <v>5</v>
      </c>
      <c r="AG30" s="31">
        <f t="shared" si="23"/>
        <v>6</v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 t="s">
        <v>80</v>
      </c>
      <c r="E31" s="33"/>
      <c r="F31" s="33"/>
      <c r="G31" s="33"/>
      <c r="H31" s="33"/>
      <c r="I31" s="33"/>
      <c r="J31" s="33"/>
      <c r="K31" s="33" t="s">
        <v>80</v>
      </c>
      <c r="L31" s="33" t="s">
        <v>2</v>
      </c>
      <c r="M31" s="33"/>
      <c r="N31" s="33"/>
      <c r="O31" s="33"/>
      <c r="P31" s="33"/>
      <c r="Q31" s="33"/>
      <c r="R31" s="33" t="s">
        <v>80</v>
      </c>
      <c r="S31" s="33"/>
      <c r="T31" s="33" t="s">
        <v>7</v>
      </c>
      <c r="U31" s="33"/>
      <c r="V31" s="33"/>
      <c r="W31" s="33"/>
      <c r="X31" s="33"/>
      <c r="Y31" s="33" t="s">
        <v>80</v>
      </c>
      <c r="Z31" s="33"/>
      <c r="AA31" s="33"/>
      <c r="AB31" s="33"/>
      <c r="AC31" s="33"/>
      <c r="AD31" s="33"/>
      <c r="AE31" s="33"/>
      <c r="AF31" s="33"/>
      <c r="AG31" s="33"/>
      <c r="AH31" s="3">
        <f>(AI31*12)+(AJ31*12)+(AL31*8)+(AM31*4)</f>
        <v>196</v>
      </c>
      <c r="AI31" s="3">
        <f t="shared" ref="AI31:AI40" si="24">COUNTIF(C31:AG31,"D")</f>
        <v>1</v>
      </c>
      <c r="AJ31" s="3">
        <f t="shared" ref="AJ31:AJ40" si="25">COUNTIF(C31:AG31,"N")</f>
        <v>0</v>
      </c>
      <c r="AK31" s="3">
        <f t="shared" ref="AK31:AK40" si="26">COUNTIF(C31:AG31,"OFF")+COUNTIF(C31:AG31,"上課")</f>
        <v>1</v>
      </c>
      <c r="AL31" s="3">
        <f t="shared" ref="AL31:AL40" si="27">COUNTIF(C31:AG31,"")-AM31+COUNTIF(C31:AG31,"h3")</f>
        <v>21</v>
      </c>
      <c r="AM31" s="3">
        <f t="shared" ref="AM31:AM40" si="28">COUNTIFS($C$5:$AG$5,"6",C31:AG31,"")+COUNTIF(C31:AG31,"h3")</f>
        <v>4</v>
      </c>
      <c r="AN31" s="3">
        <f t="array" ref="AN31">SUMPRODUCT(($C$5:$AG$5=6)*(C31:AG31="off"))</f>
        <v>1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 t="s">
        <v>7</v>
      </c>
      <c r="D32" s="33"/>
      <c r="E32" s="33" t="s">
        <v>7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 t="s">
        <v>85</v>
      </c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 t="s">
        <v>7</v>
      </c>
      <c r="AB32" s="33"/>
      <c r="AC32" s="33"/>
      <c r="AD32" s="33"/>
      <c r="AE32" s="33" t="s">
        <v>85</v>
      </c>
      <c r="AF32" s="33"/>
      <c r="AG32" s="33" t="s">
        <v>85</v>
      </c>
      <c r="AH32" s="3">
        <f>(AI32*12)+(AJ32*12)+(AL32*8)+(AM32*4)</f>
        <v>224</v>
      </c>
      <c r="AI32" s="3">
        <f t="shared" si="24"/>
        <v>3</v>
      </c>
      <c r="AJ32" s="3">
        <f t="shared" si="25"/>
        <v>0</v>
      </c>
      <c r="AK32" s="3">
        <f t="shared" si="26"/>
        <v>0</v>
      </c>
      <c r="AL32" s="3">
        <f t="shared" si="27"/>
        <v>22</v>
      </c>
      <c r="AM32" s="3">
        <f t="shared" si="28"/>
        <v>3</v>
      </c>
      <c r="AN32" s="3">
        <f t="array" ref="AN32">SUMPRODUCT(($C$5:$AG$5=6)*(C32:AG32="off"))</f>
        <v>0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 t="s">
        <v>2</v>
      </c>
      <c r="D33" s="33" t="s">
        <v>2</v>
      </c>
      <c r="E33" s="33" t="s">
        <v>2</v>
      </c>
      <c r="F33" s="33" t="s">
        <v>2</v>
      </c>
      <c r="G33" s="33"/>
      <c r="H33" s="33"/>
      <c r="I33" s="33"/>
      <c r="J33" s="33"/>
      <c r="K33" s="33"/>
      <c r="L33" s="33" t="s">
        <v>7</v>
      </c>
      <c r="M33" s="33"/>
      <c r="N33" s="33"/>
      <c r="O33" s="33"/>
      <c r="P33" s="33"/>
      <c r="Q33" s="33"/>
      <c r="R33" s="33"/>
      <c r="S33" s="33"/>
      <c r="T33" s="33"/>
      <c r="U33" s="33"/>
      <c r="V33" s="33" t="s">
        <v>2</v>
      </c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">
        <f>(AI33*12)+(AJ33*12)+(AL33*8)+(AM33*4)</f>
        <v>200</v>
      </c>
      <c r="AI33" s="3">
        <f t="shared" si="24"/>
        <v>1</v>
      </c>
      <c r="AJ33" s="3">
        <f t="shared" si="25"/>
        <v>0</v>
      </c>
      <c r="AK33" s="3">
        <f t="shared" si="26"/>
        <v>5</v>
      </c>
      <c r="AL33" s="3">
        <f t="shared" si="27"/>
        <v>22</v>
      </c>
      <c r="AM33" s="3">
        <f t="shared" si="28"/>
        <v>3</v>
      </c>
      <c r="AN33" s="3">
        <f t="array" ref="AN33">SUMPRODUCT(($C$5:$AG$5=6)*(C33:AG33="off"))</f>
        <v>1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 t="s">
        <v>6</v>
      </c>
      <c r="D34" s="33"/>
      <c r="E34" s="33" t="s">
        <v>6</v>
      </c>
      <c r="F34" s="33" t="s">
        <v>6</v>
      </c>
      <c r="G34" s="33"/>
      <c r="H34" s="33"/>
      <c r="I34" s="33"/>
      <c r="J34" s="33"/>
      <c r="K34" s="33"/>
      <c r="L34" s="33"/>
      <c r="M34" s="33"/>
      <c r="N34" s="33"/>
      <c r="O34" s="33"/>
      <c r="P34" s="33" t="s">
        <v>2</v>
      </c>
      <c r="Q34" s="33"/>
      <c r="R34" s="33"/>
      <c r="S34" s="33" t="s">
        <v>7</v>
      </c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244</v>
      </c>
      <c r="AI34" s="3">
        <f t="shared" si="24"/>
        <v>1</v>
      </c>
      <c r="AJ34" s="3">
        <f t="shared" si="25"/>
        <v>3</v>
      </c>
      <c r="AK34" s="3">
        <f t="shared" si="26"/>
        <v>1</v>
      </c>
      <c r="AL34" s="3">
        <f t="shared" si="27"/>
        <v>23</v>
      </c>
      <c r="AM34" s="3">
        <f t="shared" si="28"/>
        <v>3</v>
      </c>
      <c r="AN34" s="3">
        <f t="array" ref="AN34">SUMPRODUCT(($C$5:$AG$5=6)*(C34:AG34="off"))</f>
        <v>0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228</v>
      </c>
      <c r="AI35" s="3">
        <f t="shared" si="24"/>
        <v>0</v>
      </c>
      <c r="AJ35" s="3">
        <f t="shared" si="25"/>
        <v>0</v>
      </c>
      <c r="AK35" s="3">
        <f t="shared" si="26"/>
        <v>0</v>
      </c>
      <c r="AL35" s="3">
        <f t="shared" si="27"/>
        <v>26</v>
      </c>
      <c r="AM35" s="3">
        <f t="shared" si="28"/>
        <v>5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228</v>
      </c>
      <c r="AI36" s="3">
        <f t="shared" si="24"/>
        <v>0</v>
      </c>
      <c r="AJ36" s="3">
        <f t="shared" si="25"/>
        <v>0</v>
      </c>
      <c r="AK36" s="3">
        <f t="shared" si="26"/>
        <v>0</v>
      </c>
      <c r="AL36" s="3">
        <f t="shared" si="27"/>
        <v>26</v>
      </c>
      <c r="AM36" s="3">
        <f t="shared" si="28"/>
        <v>5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/>
      <c r="F37" s="33"/>
      <c r="G37" s="33" t="s">
        <v>2</v>
      </c>
      <c r="H37" s="33"/>
      <c r="I37" s="33"/>
      <c r="J37" s="33"/>
      <c r="K37" s="33"/>
      <c r="L37" s="33" t="s">
        <v>6</v>
      </c>
      <c r="M37" s="33" t="s">
        <v>6</v>
      </c>
      <c r="N37" s="33"/>
      <c r="O37" s="33"/>
      <c r="P37" s="33"/>
      <c r="Q37" s="33" t="s">
        <v>2</v>
      </c>
      <c r="R37" s="33" t="s">
        <v>2</v>
      </c>
      <c r="S37" s="33" t="s">
        <v>2</v>
      </c>
      <c r="T37" s="33"/>
      <c r="U37" s="33" t="s">
        <v>2</v>
      </c>
      <c r="V37" s="33"/>
      <c r="W37" s="33"/>
      <c r="X37" s="33"/>
      <c r="Y37" s="33"/>
      <c r="Z37" s="33" t="s">
        <v>7</v>
      </c>
      <c r="AA37" s="33"/>
      <c r="AB37" s="33" t="s">
        <v>2</v>
      </c>
      <c r="AC37" s="33"/>
      <c r="AD37" s="33"/>
      <c r="AE37" s="33"/>
      <c r="AF37" s="33"/>
      <c r="AG37" s="33"/>
      <c r="AH37" s="3">
        <f t="shared" si="29"/>
        <v>204</v>
      </c>
      <c r="AI37" s="3">
        <f t="shared" si="24"/>
        <v>1</v>
      </c>
      <c r="AJ37" s="3">
        <f t="shared" si="25"/>
        <v>2</v>
      </c>
      <c r="AK37" s="3">
        <f t="shared" si="26"/>
        <v>6</v>
      </c>
      <c r="AL37" s="3">
        <f t="shared" si="27"/>
        <v>20</v>
      </c>
      <c r="AM37" s="3">
        <f t="shared" si="28"/>
        <v>2</v>
      </c>
      <c r="AN37" s="3">
        <f t="array" ref="AN37">SUMPRODUCT(($C$5:$AG$5=6)*(C37:AG37="off"))</f>
        <v>1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 t="s">
        <v>333</v>
      </c>
      <c r="R38" s="33"/>
      <c r="S38" s="33" t="s">
        <v>6</v>
      </c>
      <c r="T38" s="33" t="s">
        <v>6</v>
      </c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 t="s">
        <v>7</v>
      </c>
      <c r="AH38" s="3">
        <f t="shared" si="29"/>
        <v>240</v>
      </c>
      <c r="AI38" s="3">
        <f t="shared" si="24"/>
        <v>1</v>
      </c>
      <c r="AJ38" s="3">
        <f t="shared" si="25"/>
        <v>2</v>
      </c>
      <c r="AK38" s="3">
        <f t="shared" si="26"/>
        <v>0</v>
      </c>
      <c r="AL38" s="3">
        <f t="shared" si="27"/>
        <v>24</v>
      </c>
      <c r="AM38" s="3">
        <f t="shared" si="28"/>
        <v>3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/>
      <c r="D39" s="33" t="s">
        <v>333</v>
      </c>
      <c r="E39" s="33"/>
      <c r="F39" s="33" t="s">
        <v>7</v>
      </c>
      <c r="G39" s="33"/>
      <c r="H39" s="33"/>
      <c r="I39" s="33"/>
      <c r="J39" s="33"/>
      <c r="K39" s="33" t="s">
        <v>85</v>
      </c>
      <c r="L39" s="33" t="s">
        <v>2</v>
      </c>
      <c r="M39" s="33" t="s">
        <v>2</v>
      </c>
      <c r="N39" s="33" t="s">
        <v>333</v>
      </c>
      <c r="O39" s="33" t="s">
        <v>480</v>
      </c>
      <c r="P39" s="33" t="s">
        <v>2</v>
      </c>
      <c r="Q39" s="33" t="s">
        <v>333</v>
      </c>
      <c r="R39" s="33" t="s">
        <v>4</v>
      </c>
      <c r="S39" s="33" t="s">
        <v>2</v>
      </c>
      <c r="T39" s="33" t="s">
        <v>2</v>
      </c>
      <c r="U39" s="33"/>
      <c r="V39" s="33"/>
      <c r="W39" s="33"/>
      <c r="X39" s="33"/>
      <c r="Y39" s="33" t="s">
        <v>333</v>
      </c>
      <c r="Z39" s="33" t="s">
        <v>6</v>
      </c>
      <c r="AA39" s="33" t="s">
        <v>6</v>
      </c>
      <c r="AB39" s="33"/>
      <c r="AC39" s="33"/>
      <c r="AD39" s="33"/>
      <c r="AE39" s="33" t="s">
        <v>333</v>
      </c>
      <c r="AF39" s="33" t="s">
        <v>2</v>
      </c>
      <c r="AG39" s="33" t="s">
        <v>4</v>
      </c>
      <c r="AH39" s="3">
        <f t="shared" si="29"/>
        <v>136</v>
      </c>
      <c r="AI39" s="3">
        <f t="shared" si="24"/>
        <v>1</v>
      </c>
      <c r="AJ39" s="3">
        <f t="shared" si="25"/>
        <v>2</v>
      </c>
      <c r="AK39" s="3">
        <f t="shared" si="26"/>
        <v>8</v>
      </c>
      <c r="AL39" s="3">
        <f t="shared" si="27"/>
        <v>12</v>
      </c>
      <c r="AM39" s="3">
        <f t="shared" si="28"/>
        <v>1</v>
      </c>
      <c r="AN39" s="3">
        <f t="array" ref="AN39">SUMPRODUCT(($C$5:$AG$5=6)*(C39:AG39="off"))</f>
        <v>3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/>
      <c r="D40" s="33" t="s">
        <v>2</v>
      </c>
      <c r="E40" s="33" t="s">
        <v>2</v>
      </c>
      <c r="F40" s="33"/>
      <c r="G40" s="33"/>
      <c r="H40" s="33"/>
      <c r="I40" s="33"/>
      <c r="J40" s="33"/>
      <c r="K40" s="33"/>
      <c r="L40" s="33"/>
      <c r="M40" s="33" t="s">
        <v>7</v>
      </c>
      <c r="N40" s="33" t="s">
        <v>2</v>
      </c>
      <c r="O40" s="33"/>
      <c r="P40" s="33"/>
      <c r="Q40" s="33" t="s">
        <v>333</v>
      </c>
      <c r="R40" s="33"/>
      <c r="S40" s="33"/>
      <c r="T40" s="33"/>
      <c r="U40" s="33" t="s">
        <v>333</v>
      </c>
      <c r="V40" s="33" t="s">
        <v>333</v>
      </c>
      <c r="W40" s="33"/>
      <c r="X40" s="33" t="s">
        <v>2</v>
      </c>
      <c r="Y40" s="33"/>
      <c r="Z40" s="33"/>
      <c r="AA40" s="33"/>
      <c r="AB40" s="33"/>
      <c r="AC40" s="33"/>
      <c r="AD40" s="33"/>
      <c r="AE40" s="33" t="s">
        <v>2</v>
      </c>
      <c r="AF40" s="33" t="s">
        <v>2</v>
      </c>
      <c r="AG40" s="33" t="s">
        <v>6</v>
      </c>
      <c r="AH40" s="3">
        <f t="shared" si="29"/>
        <v>172</v>
      </c>
      <c r="AI40" s="3">
        <f t="shared" si="24"/>
        <v>1</v>
      </c>
      <c r="AJ40" s="3">
        <f t="shared" si="25"/>
        <v>1</v>
      </c>
      <c r="AK40" s="3">
        <f t="shared" si="26"/>
        <v>6</v>
      </c>
      <c r="AL40" s="3">
        <f t="shared" si="27"/>
        <v>17</v>
      </c>
      <c r="AM40" s="3">
        <f t="shared" si="28"/>
        <v>3</v>
      </c>
      <c r="AN40" s="3">
        <f t="array" ref="AN40">SUMPRODUCT(($C$5:$AG$5=6)*(C40:AG40="off"))</f>
        <v>1</v>
      </c>
      <c r="AO40" s="3"/>
      <c r="AP40" s="3"/>
      <c r="AQ40" s="12"/>
      <c r="AR40" s="12"/>
      <c r="AS40" s="12"/>
      <c r="AT40" s="12"/>
      <c r="AU40" s="12"/>
    </row>
    <row r="41" spans="1:47" ht="20.25" hidden="1" customHeight="1">
      <c r="A41" s="6" t="s">
        <v>440</v>
      </c>
      <c r="B41" s="6" t="s">
        <v>449</v>
      </c>
      <c r="C41" s="88"/>
      <c r="D41" s="88"/>
      <c r="E41" s="88"/>
      <c r="F41" s="88"/>
      <c r="G41" s="88"/>
      <c r="H41" s="33"/>
      <c r="I41" s="33"/>
      <c r="J41" s="33"/>
      <c r="K41" s="33"/>
      <c r="L41" s="33"/>
      <c r="M41" s="33"/>
      <c r="N41" s="33"/>
      <c r="O41" s="33"/>
      <c r="P41" s="88"/>
      <c r="Q41" s="33"/>
      <c r="R41" s="88"/>
      <c r="S41" s="88"/>
      <c r="T41" s="88"/>
      <c r="U41" s="88"/>
      <c r="V41" s="88"/>
      <c r="W41" s="88"/>
      <c r="X41" s="83"/>
      <c r="Y41" s="33"/>
      <c r="Z41" s="88"/>
      <c r="AA41" s="88"/>
      <c r="AB41" s="33"/>
      <c r="AC41" s="33"/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6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4</v>
      </c>
      <c r="F43" s="172">
        <f t="shared" si="30"/>
        <v>6</v>
      </c>
      <c r="G43" s="172">
        <f t="shared" si="30"/>
        <v>4</v>
      </c>
      <c r="H43" s="172">
        <f t="shared" si="30"/>
        <v>4</v>
      </c>
      <c r="I43" s="172">
        <f t="shared" si="30"/>
        <v>4</v>
      </c>
      <c r="J43" s="172">
        <f t="shared" si="30"/>
        <v>4</v>
      </c>
      <c r="K43" s="172">
        <f t="shared" si="30"/>
        <v>4</v>
      </c>
      <c r="L43" s="172">
        <f t="shared" si="30"/>
        <v>4</v>
      </c>
      <c r="M43" s="172">
        <f t="shared" si="30"/>
        <v>6</v>
      </c>
      <c r="N43" s="172">
        <f t="shared" si="30"/>
        <v>4</v>
      </c>
      <c r="O43" s="172">
        <f t="shared" si="30"/>
        <v>4</v>
      </c>
      <c r="P43" s="172">
        <f t="shared" si="30"/>
        <v>4</v>
      </c>
      <c r="Q43" s="172">
        <f t="shared" si="30"/>
        <v>4</v>
      </c>
      <c r="R43" s="172">
        <f t="shared" si="30"/>
        <v>4</v>
      </c>
      <c r="S43" s="172">
        <f t="shared" si="30"/>
        <v>4</v>
      </c>
      <c r="T43" s="172">
        <f t="shared" si="30"/>
        <v>6</v>
      </c>
      <c r="U43" s="172">
        <f t="shared" si="30"/>
        <v>4</v>
      </c>
      <c r="V43" s="172">
        <f t="shared" si="30"/>
        <v>4</v>
      </c>
      <c r="W43" s="172">
        <f t="shared" si="30"/>
        <v>4</v>
      </c>
      <c r="X43" s="172">
        <f t="shared" si="30"/>
        <v>4</v>
      </c>
      <c r="Y43" s="172">
        <f t="shared" si="30"/>
        <v>4</v>
      </c>
      <c r="Z43" s="172">
        <f t="shared" si="30"/>
        <v>4</v>
      </c>
      <c r="AA43" s="172">
        <f t="shared" si="30"/>
        <v>6</v>
      </c>
      <c r="AB43" s="172">
        <f t="shared" si="30"/>
        <v>4</v>
      </c>
      <c r="AC43" s="172">
        <f t="shared" si="30"/>
        <v>4</v>
      </c>
      <c r="AD43" s="172">
        <f t="shared" si="30"/>
        <v>4</v>
      </c>
      <c r="AE43" s="172">
        <f t="shared" si="30"/>
        <v>4</v>
      </c>
      <c r="AF43" s="172">
        <f t="shared" si="30"/>
        <v>4</v>
      </c>
      <c r="AG43" s="172">
        <f t="shared" si="30"/>
        <v>4</v>
      </c>
      <c r="AH43" s="3" t="s">
        <v>391</v>
      </c>
      <c r="AI43" s="3">
        <f>SUM(AI31:AI40)</f>
        <v>10</v>
      </c>
      <c r="AJ43" s="3">
        <f>SUM(AJ31:AJ40)</f>
        <v>10</v>
      </c>
      <c r="AK43" s="3">
        <f>SUM(AK31:AK40)</f>
        <v>27</v>
      </c>
      <c r="AL43" s="3">
        <f>SUM(AL31:AL40)</f>
        <v>213</v>
      </c>
      <c r="AM43" s="3">
        <f>SUM(AM31:AM40)-SUM(AM35:AM36)-SUM(AM41:AM42)</f>
        <v>22</v>
      </c>
      <c r="AN43" s="3">
        <f>SUM(AN31:AN40)</f>
        <v>7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 t="s">
        <v>471</v>
      </c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1</v>
      </c>
      <c r="D45" s="360">
        <f>COUNTIF(D31:D40,"off")</f>
        <v>2</v>
      </c>
      <c r="E45" s="360">
        <f t="shared" ref="E45:AG45" si="31">COUNTIF(E31:E40,"off")</f>
        <v>2</v>
      </c>
      <c r="F45" s="360">
        <f t="shared" si="31"/>
        <v>1</v>
      </c>
      <c r="G45" s="360">
        <f t="shared" si="31"/>
        <v>1</v>
      </c>
      <c r="H45" s="360">
        <f t="shared" si="31"/>
        <v>0</v>
      </c>
      <c r="I45" s="360">
        <f t="shared" si="31"/>
        <v>0</v>
      </c>
      <c r="J45" s="360">
        <f t="shared" si="31"/>
        <v>0</v>
      </c>
      <c r="K45" s="360">
        <f t="shared" si="31"/>
        <v>0</v>
      </c>
      <c r="L45" s="360">
        <f t="shared" si="31"/>
        <v>2</v>
      </c>
      <c r="M45" s="360">
        <f t="shared" si="31"/>
        <v>1</v>
      </c>
      <c r="N45" s="360">
        <f t="shared" si="31"/>
        <v>1</v>
      </c>
      <c r="O45" s="360">
        <f t="shared" si="31"/>
        <v>0</v>
      </c>
      <c r="P45" s="360">
        <f t="shared" si="31"/>
        <v>2</v>
      </c>
      <c r="Q45" s="360">
        <f t="shared" si="31"/>
        <v>1</v>
      </c>
      <c r="R45" s="360">
        <f t="shared" si="31"/>
        <v>2</v>
      </c>
      <c r="S45" s="360">
        <f t="shared" si="31"/>
        <v>2</v>
      </c>
      <c r="T45" s="360">
        <f t="shared" si="31"/>
        <v>1</v>
      </c>
      <c r="U45" s="360">
        <f t="shared" si="31"/>
        <v>1</v>
      </c>
      <c r="V45" s="360">
        <f t="shared" si="31"/>
        <v>1</v>
      </c>
      <c r="W45" s="360">
        <f t="shared" si="31"/>
        <v>0</v>
      </c>
      <c r="X45" s="360">
        <f t="shared" si="31"/>
        <v>1</v>
      </c>
      <c r="Y45" s="360">
        <f t="shared" si="31"/>
        <v>0</v>
      </c>
      <c r="Z45" s="360">
        <f t="shared" si="31"/>
        <v>0</v>
      </c>
      <c r="AA45" s="360">
        <f t="shared" si="31"/>
        <v>0</v>
      </c>
      <c r="AB45" s="360">
        <f t="shared" si="31"/>
        <v>1</v>
      </c>
      <c r="AC45" s="360">
        <f t="shared" si="31"/>
        <v>0</v>
      </c>
      <c r="AD45" s="360">
        <f t="shared" si="31"/>
        <v>0</v>
      </c>
      <c r="AE45" s="360">
        <f t="shared" si="31"/>
        <v>1</v>
      </c>
      <c r="AF45" s="360">
        <f t="shared" si="31"/>
        <v>2</v>
      </c>
      <c r="AG45" s="360">
        <f t="shared" si="31"/>
        <v>1</v>
      </c>
    </row>
  </sheetData>
  <protectedRanges>
    <protectedRange password="CC6F" sqref="C4:AG5 D1:P2 A29:AG30 AH31:AN43 AR6:AU6 BB4:BC4 BB2:BH2 AR7:AR16 AS7:AU17 C18:AG18 C43:AG43 AH6:AN18" name="範圍1_24"/>
  </protectedRanges>
  <mergeCells count="17"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  <mergeCell ref="AH5:AM5"/>
    <mergeCell ref="A26:T26"/>
    <mergeCell ref="A1:C2"/>
    <mergeCell ref="D1:E1"/>
    <mergeCell ref="G1:H1"/>
    <mergeCell ref="J1:K1"/>
    <mergeCell ref="T1:W2"/>
  </mergeCells>
  <phoneticPr fontId="11" type="noConversion"/>
  <conditionalFormatting sqref="AH4">
    <cfRule type="expression" dxfId="505" priority="28" stopIfTrue="1">
      <formula>WEEKDAY(AH$4)=7</formula>
    </cfRule>
    <cfRule type="expression" dxfId="504" priority="29" stopIfTrue="1">
      <formula>WEEKDAY(AH$4)=1</formula>
    </cfRule>
    <cfRule type="expression" dxfId="503" priority="30" stopIfTrue="1">
      <formula>WEEKDAY(AH$4)=7</formula>
    </cfRule>
    <cfRule type="expression" dxfId="502" priority="31" stopIfTrue="1">
      <formula>WEEKDAY(AH$4)=1</formula>
    </cfRule>
  </conditionalFormatting>
  <conditionalFormatting sqref="C43:AG43">
    <cfRule type="expression" dxfId="501" priority="32" stopIfTrue="1">
      <formula>(COUNTIF(C$31:C$42,"off")+COUNTIF(C$31:C$42,"護"))&lt;&gt;C$43</formula>
    </cfRule>
  </conditionalFormatting>
  <conditionalFormatting sqref="C4:AG5 C16:AG17">
    <cfRule type="expression" dxfId="500" priority="26" stopIfTrue="1">
      <formula>WEEKDAY(C$4,2)=6</formula>
    </cfRule>
    <cfRule type="expression" dxfId="499" priority="27" stopIfTrue="1">
      <formula>WEEKDAY(C$4,2)=7</formula>
    </cfRule>
  </conditionalFormatting>
  <conditionalFormatting sqref="CD5">
    <cfRule type="expression" dxfId="498" priority="24" stopIfTrue="1">
      <formula>COUNTIF(#REF!,"D")&lt;&gt;$BV4</formula>
    </cfRule>
  </conditionalFormatting>
  <conditionalFormatting sqref="CF5">
    <cfRule type="expression" dxfId="497" priority="25" stopIfTrue="1">
      <formula>COUNTIF(#REF!,"N")&lt;&gt;#REF!</formula>
    </cfRule>
  </conditionalFormatting>
  <conditionalFormatting sqref="CF14">
    <cfRule type="expression" dxfId="496" priority="33" stopIfTrue="1">
      <formula>COUNTIF($C9:$AH9,"N")&lt;&gt;#REF!</formula>
    </cfRule>
  </conditionalFormatting>
  <conditionalFormatting sqref="CF15">
    <cfRule type="expression" dxfId="495" priority="34" stopIfTrue="1">
      <formula>COUNTIF($C9:$AH9,"N")&lt;&gt;#REF!</formula>
    </cfRule>
  </conditionalFormatting>
  <conditionalFormatting sqref="CD6:CD9">
    <cfRule type="expression" dxfId="494" priority="35" stopIfTrue="1">
      <formula>COUNTIF($C2:$AG2,"D")&lt;&gt;$BV5</formula>
    </cfRule>
  </conditionalFormatting>
  <conditionalFormatting sqref="CF12:CF15">
    <cfRule type="expression" dxfId="493" priority="36" stopIfTrue="1">
      <formula>COUNTIF($C8:$AH8,"N")&lt;&gt;#REF!</formula>
    </cfRule>
  </conditionalFormatting>
  <conditionalFormatting sqref="CD12:CD15">
    <cfRule type="expression" dxfId="492" priority="37" stopIfTrue="1">
      <formula>COUNTIF($C8:$AH8,"D")&lt;&gt;$BV11</formula>
    </cfRule>
  </conditionalFormatting>
  <conditionalFormatting sqref="CF6:CF9">
    <cfRule type="expression" dxfId="491" priority="38" stopIfTrue="1">
      <formula>COUNTIF($C2:$AG2,"N")&lt;&gt;#REF!</formula>
    </cfRule>
  </conditionalFormatting>
  <conditionalFormatting sqref="CF11">
    <cfRule type="expression" dxfId="490" priority="39" stopIfTrue="1">
      <formula>COUNTIF($D7:$AH7,"N")&lt;&gt;#REF!</formula>
    </cfRule>
  </conditionalFormatting>
  <conditionalFormatting sqref="CD11">
    <cfRule type="expression" dxfId="489" priority="40" stopIfTrue="1">
      <formula>COUNTIF($D7:$AH7,"D")&lt;&gt;$BV10</formula>
    </cfRule>
  </conditionalFormatting>
  <conditionalFormatting sqref="AH29">
    <cfRule type="expression" dxfId="488" priority="20" stopIfTrue="1">
      <formula>WEEKDAY(AH$4)=7</formula>
    </cfRule>
    <cfRule type="expression" dxfId="487" priority="21" stopIfTrue="1">
      <formula>WEEKDAY(AH$4)=1</formula>
    </cfRule>
    <cfRule type="expression" dxfId="486" priority="22" stopIfTrue="1">
      <formula>WEEKDAY(AH$4)=7</formula>
    </cfRule>
    <cfRule type="expression" dxfId="485" priority="23" stopIfTrue="1">
      <formula>WEEKDAY(AH$4)=1</formula>
    </cfRule>
  </conditionalFormatting>
  <conditionalFormatting sqref="C29:AG42">
    <cfRule type="expression" dxfId="484" priority="18" stopIfTrue="1">
      <formula>WEEKDAY(C$4,2)=6</formula>
    </cfRule>
    <cfRule type="expression" dxfId="483" priority="19" stopIfTrue="1">
      <formula>WEEKDAY(C$4,2)=7</formula>
    </cfRule>
  </conditionalFormatting>
  <conditionalFormatting sqref="C18:AG18">
    <cfRule type="expression" dxfId="482" priority="17" stopIfTrue="1">
      <formula>(COUNTIF(C$6:C$17,"off")+COUNTIF(C$6:C$17,"護"))&lt;&gt;C$18</formula>
    </cfRule>
  </conditionalFormatting>
  <conditionalFormatting sqref="C6:AG15">
    <cfRule type="expression" dxfId="481" priority="1" stopIfTrue="1">
      <formula>WEEKDAY(C$4,2)=6</formula>
    </cfRule>
    <cfRule type="expression" dxfId="480" priority="2" stopIfTrue="1">
      <formula>WEEKDAY(C$4,2)=7</formula>
    </cfRule>
  </conditionalFormatting>
  <dataValidations count="5">
    <dataValidation type="list" allowBlank="1" sqref="C31:AG40 C6:AG15" xr:uid="{917D78EA-8352-4ABE-BA55-E24AF5D04BC9}">
      <formula1>$AI$3:$AL$3</formula1>
    </dataValidation>
    <dataValidation type="list" allowBlank="1" sqref="C16:AG16" xr:uid="{D93F05D7-648C-45D2-9E22-2EA93263FF70}">
      <formula1>$AI$4:$AK$4</formula1>
    </dataValidation>
    <dataValidation type="list" allowBlank="1" showInputMessage="1" sqref="C17:AG17 C41:AG42" xr:uid="{8494663E-70B7-414C-A4F0-2606A3911630}">
      <formula1>$AI$19:$AI$31</formula1>
    </dataValidation>
    <dataValidation type="list" allowBlank="1" showInputMessage="1" sqref="A43:A44 A18:A19" xr:uid="{741C31D3-2112-41E3-A671-82D24823891A}">
      <formula1>$CM$11:$CN$11</formula1>
    </dataValidation>
    <dataValidation type="list" allowBlank="1" sqref="A31:A42 A6:A17" xr:uid="{2D91DABA-64B8-406F-B42C-7996D94987A1}">
      <formula1>姓名清單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0DE33-BBBA-49A5-9FBD-B43C4C4B27A1}">
  <sheetPr codeName="工作表24">
    <pageSetUpPr fitToPage="1"/>
  </sheetPr>
  <dimension ref="A1:CP45"/>
  <sheetViews>
    <sheetView zoomScale="55" zoomScaleNormal="55" workbookViewId="0">
      <selection activeCell="A26" sqref="A26:T26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3 ... 4</v>
      </c>
      <c r="G1" s="381" t="s">
        <v>410</v>
      </c>
      <c r="H1" s="381"/>
      <c r="I1" s="358" t="str">
        <f>BB4</f>
        <v>3 ... 4</v>
      </c>
      <c r="J1" s="381" t="s">
        <v>437</v>
      </c>
      <c r="K1" s="381"/>
      <c r="L1" s="358" t="str">
        <f>BG4</f>
        <v>17 ... 6</v>
      </c>
      <c r="M1" s="99" t="s">
        <v>438</v>
      </c>
      <c r="N1" s="358">
        <f>COUNTIF(C5:AG5,6)</f>
        <v>4</v>
      </c>
      <c r="O1" s="99" t="s">
        <v>439</v>
      </c>
      <c r="P1" s="358">
        <f>COUNTIF(C5:AG5,"日")</f>
        <v>4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2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28</v>
      </c>
      <c r="BC2" s="350">
        <f>DAY(EOMONTH(C4,0))</f>
        <v>28</v>
      </c>
      <c r="BD2" s="350">
        <f>IF(ISBLANK(AY2),COUNTIF(C5:AG5,"6")*(COUNTA(BJ6:BJ17)-AX5-COUNTA(BL6:BL17)),"手動計算填入下方")</f>
        <v>16</v>
      </c>
      <c r="BE2" s="350">
        <f>COUNTIF(C5:AG5,"日")*((COUNTA(BJ6:BJ17))-AX4-AX3-COUNTA(AX14BE4:BL6:BL17))</f>
        <v>20</v>
      </c>
      <c r="BF2" s="350">
        <f t="array" ref="BF2">IF(ISBLANK(AY2),(SUMPRODUCT(--(C4:AG4&lt;&gt;""))-COUNTIF(C5:AG5,"日")-COUNTIF(C5:AG5,"6")-BH2)*((COUNTA(BJ6:BJ17))-AX5-COUNTA(BL6:BL17)),"手動計算填入下方")</f>
        <v>40</v>
      </c>
      <c r="BG2" s="350">
        <f t="array" ref="BG2">IF(ISBLANK(AY2),COUNTIF(C5:AG5,"6")*(COUNTA(BJ6:BJ17)-AX5-COUNTA(BL6:BL17)),BD3)+BE2+BH2*((COUNTA(BJ6:BJ17))-AX2-COUNTA(BL6:BL17))+IF(ISBLANK(AY2),((SUMPRODUCT(--(C4:AG4&lt;&gt;""))-COUNTIF(C5:AG5,"日")-COUNTIF(C5:AG5,"6")-BH2)*((COUNTA(BJ6:BJ17))-AX5-COUNTA(BL6:BL17))),BF3)+BG5</f>
        <v>142</v>
      </c>
      <c r="BH2" s="350">
        <f>COUNTIF(C19:AG19,"*國*")</f>
        <v>10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/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>關</v>
      </c>
      <c r="P3" s="367" t="str">
        <f t="shared" si="0"/>
        <v>春節</v>
      </c>
      <c r="Q3" s="367" t="str">
        <f t="shared" si="0"/>
        <v>春節</v>
      </c>
      <c r="R3" s="367" t="str">
        <f t="shared" si="0"/>
        <v>春節</v>
      </c>
      <c r="S3" s="367" t="str">
        <f t="shared" si="0"/>
        <v>春節</v>
      </c>
      <c r="T3" s="367" t="str">
        <f t="shared" si="0"/>
        <v>春節</v>
      </c>
      <c r="U3" s="367" t="str">
        <f t="shared" si="0"/>
        <v>春節</v>
      </c>
      <c r="V3" s="321" t="str">
        <f t="shared" si="0"/>
        <v>開</v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67" t="str">
        <f t="shared" si="0"/>
        <v>國補</v>
      </c>
      <c r="AD3" s="367">
        <f t="shared" si="0"/>
        <v>228</v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/>
      <c r="BH3" s="350"/>
      <c r="BW3" s="13"/>
    </row>
    <row r="4" spans="1:94" ht="20.25" customHeight="1">
      <c r="A4" s="19" t="s">
        <v>1</v>
      </c>
      <c r="B4" s="19"/>
      <c r="C4" s="30">
        <f>DATE($G$2,$J$2,1)</f>
        <v>46054</v>
      </c>
      <c r="D4" s="30">
        <f>C4+1</f>
        <v>46055</v>
      </c>
      <c r="E4" s="30">
        <f t="shared" ref="E4:AC4" si="1">D4+1</f>
        <v>46056</v>
      </c>
      <c r="F4" s="30">
        <f t="shared" si="1"/>
        <v>46057</v>
      </c>
      <c r="G4" s="30">
        <f t="shared" si="1"/>
        <v>46058</v>
      </c>
      <c r="H4" s="30">
        <f t="shared" si="1"/>
        <v>46059</v>
      </c>
      <c r="I4" s="30">
        <f t="shared" si="1"/>
        <v>46060</v>
      </c>
      <c r="J4" s="30">
        <f t="shared" si="1"/>
        <v>46061</v>
      </c>
      <c r="K4" s="30">
        <f t="shared" si="1"/>
        <v>46062</v>
      </c>
      <c r="L4" s="30">
        <f t="shared" si="1"/>
        <v>46063</v>
      </c>
      <c r="M4" s="30">
        <f t="shared" si="1"/>
        <v>46064</v>
      </c>
      <c r="N4" s="30">
        <f t="shared" si="1"/>
        <v>46065</v>
      </c>
      <c r="O4" s="371">
        <f t="shared" si="1"/>
        <v>46066</v>
      </c>
      <c r="P4" s="368">
        <f t="shared" si="1"/>
        <v>46067</v>
      </c>
      <c r="Q4" s="368">
        <f t="shared" si="1"/>
        <v>46068</v>
      </c>
      <c r="R4" s="368">
        <f t="shared" si="1"/>
        <v>46069</v>
      </c>
      <c r="S4" s="368">
        <f t="shared" si="1"/>
        <v>46070</v>
      </c>
      <c r="T4" s="368">
        <f t="shared" si="1"/>
        <v>46071</v>
      </c>
      <c r="U4" s="368">
        <f t="shared" si="1"/>
        <v>46072</v>
      </c>
      <c r="V4" s="371">
        <f t="shared" si="1"/>
        <v>46073</v>
      </c>
      <c r="W4" s="30">
        <f t="shared" si="1"/>
        <v>46074</v>
      </c>
      <c r="X4" s="30">
        <f t="shared" si="1"/>
        <v>46075</v>
      </c>
      <c r="Y4" s="30">
        <f t="shared" si="1"/>
        <v>46076</v>
      </c>
      <c r="Z4" s="30">
        <f t="shared" si="1"/>
        <v>46077</v>
      </c>
      <c r="AA4" s="30">
        <f t="shared" si="1"/>
        <v>46078</v>
      </c>
      <c r="AB4" s="30">
        <f t="shared" si="1"/>
        <v>46079</v>
      </c>
      <c r="AC4" s="368">
        <f t="shared" si="1"/>
        <v>46080</v>
      </c>
      <c r="AD4" s="368">
        <f>IFERROR(IF(MONTH(AC4+1)=$J$2,AC4+1,""),"")</f>
        <v>46081</v>
      </c>
      <c r="AE4" s="30" t="str">
        <f>IFERROR(IF(MONTH(AD4+1)=$J$2,AD4+1,""),"")</f>
        <v/>
      </c>
      <c r="AF4" s="30" t="str">
        <f>IFERROR(IF(MONTH(AE4+1)=$J$2,AE4+1,""),"")</f>
        <v/>
      </c>
      <c r="AG4" s="30" t="str">
        <f>IFERROR(IF(MONTH(AF4+1)=$J$2,AF4+1,""),"")</f>
        <v/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3 ... 4</v>
      </c>
      <c r="BC4" s="350" t="str">
        <f>QUOTIENT((COUNTA(C4:AG4)-COUNTIF(AE4:AG4,"")),COUNTA(BJ6:BJ15)-COUNTA(BL6:BL17))&amp;" ... "&amp;MOD((COUNTA(C4:AG4)-COUNTIF(AE4:AG4,"")),COUNTA(BJ6:BJ15)-COUNTA(BL6:BL17))</f>
        <v>3 ... 4</v>
      </c>
      <c r="BD4" s="350"/>
      <c r="BE4" s="350"/>
      <c r="BF4" s="350"/>
      <c r="BG4" s="350" t="str">
        <f>QUOTIENT(BG2,COUNTA(BJ6:BJ17)-COUNTA(BL6:BL17))&amp;" ... "&amp;MOD(BG2,COUNTA(BJ6:BJ17)-COUNTA(BL6:BL17))</f>
        <v>17 ... 6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 t="str">
        <f t="shared" ref="C5:AG5" si="2">IFERROR(IF(WEEKDAY(C4,2)=7,"日",WEEKDAY(C4,2)),"")</f>
        <v>日</v>
      </c>
      <c r="D5" s="31">
        <f>IFERROR(IF(WEEKDAY(D4,2)=7,"日",WEEKDAY(D4,2)),"")</f>
        <v>1</v>
      </c>
      <c r="E5" s="31">
        <f t="shared" si="2"/>
        <v>2</v>
      </c>
      <c r="F5" s="31">
        <f t="shared" si="2"/>
        <v>3</v>
      </c>
      <c r="G5" s="31">
        <f t="shared" si="2"/>
        <v>4</v>
      </c>
      <c r="H5" s="31">
        <f t="shared" si="2"/>
        <v>5</v>
      </c>
      <c r="I5" s="31">
        <f t="shared" si="2"/>
        <v>6</v>
      </c>
      <c r="J5" s="31" t="str">
        <f t="shared" si="2"/>
        <v>日</v>
      </c>
      <c r="K5" s="31">
        <f t="shared" si="2"/>
        <v>1</v>
      </c>
      <c r="L5" s="31">
        <f t="shared" si="2"/>
        <v>2</v>
      </c>
      <c r="M5" s="31">
        <f t="shared" si="2"/>
        <v>3</v>
      </c>
      <c r="N5" s="31">
        <f t="shared" si="2"/>
        <v>4</v>
      </c>
      <c r="O5" s="372">
        <f t="shared" si="2"/>
        <v>5</v>
      </c>
      <c r="P5" s="369">
        <f t="shared" si="2"/>
        <v>6</v>
      </c>
      <c r="Q5" s="369" t="str">
        <f t="shared" si="2"/>
        <v>日</v>
      </c>
      <c r="R5" s="369">
        <f t="shared" si="2"/>
        <v>1</v>
      </c>
      <c r="S5" s="369">
        <f t="shared" si="2"/>
        <v>2</v>
      </c>
      <c r="T5" s="369">
        <f t="shared" si="2"/>
        <v>3</v>
      </c>
      <c r="U5" s="369">
        <f t="shared" si="2"/>
        <v>4</v>
      </c>
      <c r="V5" s="372">
        <f t="shared" si="2"/>
        <v>5</v>
      </c>
      <c r="W5" s="31">
        <f t="shared" si="2"/>
        <v>6</v>
      </c>
      <c r="X5" s="31" t="str">
        <f t="shared" si="2"/>
        <v>日</v>
      </c>
      <c r="Y5" s="31">
        <f t="shared" si="2"/>
        <v>1</v>
      </c>
      <c r="Z5" s="31">
        <f t="shared" si="2"/>
        <v>2</v>
      </c>
      <c r="AA5" s="31">
        <f t="shared" si="2"/>
        <v>3</v>
      </c>
      <c r="AB5" s="31">
        <f t="shared" si="2"/>
        <v>4</v>
      </c>
      <c r="AC5" s="369">
        <f t="shared" si="2"/>
        <v>5</v>
      </c>
      <c r="AD5" s="369">
        <f t="shared" si="2"/>
        <v>6</v>
      </c>
      <c r="AE5" s="31" t="str">
        <f t="shared" si="2"/>
        <v/>
      </c>
      <c r="AF5" s="31" t="str">
        <f t="shared" si="2"/>
        <v/>
      </c>
      <c r="AG5" s="31" t="str">
        <f t="shared" si="2"/>
        <v/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G5">
        <v>6</v>
      </c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3" t="s">
        <v>2</v>
      </c>
      <c r="D6" s="33" t="s">
        <v>7</v>
      </c>
      <c r="E6" s="33"/>
      <c r="F6" s="33"/>
      <c r="G6" s="33" t="s">
        <v>2</v>
      </c>
      <c r="H6" s="33" t="s">
        <v>6</v>
      </c>
      <c r="I6" s="33" t="s">
        <v>6</v>
      </c>
      <c r="J6" s="33" t="s">
        <v>6</v>
      </c>
      <c r="K6" s="33" t="s">
        <v>2</v>
      </c>
      <c r="L6" s="33" t="s">
        <v>2</v>
      </c>
      <c r="M6" s="33" t="s">
        <v>2</v>
      </c>
      <c r="N6" s="33" t="s">
        <v>2</v>
      </c>
      <c r="O6" s="33" t="s">
        <v>2</v>
      </c>
      <c r="P6" s="366" t="s">
        <v>2</v>
      </c>
      <c r="Q6" s="366" t="s">
        <v>2</v>
      </c>
      <c r="R6" s="366" t="s">
        <v>2</v>
      </c>
      <c r="S6" s="366" t="s">
        <v>2</v>
      </c>
      <c r="T6" s="62" t="s">
        <v>3</v>
      </c>
      <c r="U6" s="62" t="s">
        <v>5</v>
      </c>
      <c r="V6" s="33" t="s">
        <v>2</v>
      </c>
      <c r="W6" s="33"/>
      <c r="X6" s="33" t="s">
        <v>2</v>
      </c>
      <c r="Y6" s="33" t="s">
        <v>7</v>
      </c>
      <c r="Z6" s="33" t="s">
        <v>2</v>
      </c>
      <c r="AA6" s="33"/>
      <c r="AB6" s="33"/>
      <c r="AC6" s="33" t="s">
        <v>2</v>
      </c>
      <c r="AD6" s="33" t="s">
        <v>2</v>
      </c>
      <c r="AE6" s="33"/>
      <c r="AF6" s="33"/>
      <c r="AG6" s="33"/>
      <c r="AH6" s="3">
        <f t="shared" ref="AH6:AH17" si="3">(AI6*12)+(AJ6*12)+(AL6*8)+(AM6*4)</f>
        <v>144</v>
      </c>
      <c r="AI6" s="3">
        <f>COUNTIF(C6:AG6,"D")+COUNTIF(C6:AG6,"NrsD")</f>
        <v>3</v>
      </c>
      <c r="AJ6" s="3">
        <f>COUNTIF(C6:AG6,"N")</f>
        <v>4</v>
      </c>
      <c r="AK6" s="3">
        <f>COUNTIF(C6:AG6,"OFF")+COUNTIF(C6:AG6,"上課")</f>
        <v>16</v>
      </c>
      <c r="AL6" s="3">
        <f>COUNTIF(C6:AG6,"")-AM6+COUNTIF(C6:AG6,"h3")</f>
        <v>7</v>
      </c>
      <c r="AM6" s="3">
        <f>COUNTIFS($C$5:$AG$5,"6",C6:AG6,"")+COUNTIF(C6:AG6,"h3")</f>
        <v>1</v>
      </c>
      <c r="AN6" s="3">
        <f t="array" ref="AN6">SUMPRODUCT(($C$5:$AG$5=6)*(C6:AG6="off"))</f>
        <v>2</v>
      </c>
      <c r="AO6" s="3" t="s">
        <v>404</v>
      </c>
      <c r="AP6" s="3" t="s">
        <v>56</v>
      </c>
      <c r="AQ6" s="12"/>
      <c r="AR6" s="256">
        <f>BN6</f>
        <v>3</v>
      </c>
      <c r="AS6" s="256">
        <f>BP6</f>
        <v>4</v>
      </c>
      <c r="AT6" s="256">
        <f>BR6</f>
        <v>17</v>
      </c>
      <c r="AU6" s="256">
        <f>BT6</f>
        <v>2</v>
      </c>
      <c r="AV6" s="91"/>
      <c r="BJ6" s="348" t="s">
        <v>384</v>
      </c>
      <c r="BK6" s="348" t="str">
        <f>A31</f>
        <v>B黃郁芳</v>
      </c>
      <c r="BL6" s="348"/>
      <c r="BM6" s="348"/>
      <c r="BN6" s="348">
        <v>3</v>
      </c>
      <c r="BO6" s="348" t="s">
        <v>448</v>
      </c>
      <c r="BP6" s="348">
        <v>4</v>
      </c>
      <c r="BQ6" s="348"/>
      <c r="BR6" s="348">
        <v>17</v>
      </c>
      <c r="BS6" s="348"/>
      <c r="BT6" s="348">
        <v>2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3" t="s">
        <v>2</v>
      </c>
      <c r="D7" s="33"/>
      <c r="E7" s="33"/>
      <c r="F7" s="33"/>
      <c r="G7" s="33" t="s">
        <v>7</v>
      </c>
      <c r="H7" s="33" t="s">
        <v>2</v>
      </c>
      <c r="I7" s="33" t="s">
        <v>2</v>
      </c>
      <c r="J7" s="33" t="s">
        <v>2</v>
      </c>
      <c r="K7" s="33" t="s">
        <v>2</v>
      </c>
      <c r="L7" s="33" t="s">
        <v>2</v>
      </c>
      <c r="M7" s="33" t="s">
        <v>2</v>
      </c>
      <c r="N7" s="33" t="s">
        <v>2</v>
      </c>
      <c r="O7" s="33" t="s">
        <v>2</v>
      </c>
      <c r="P7" s="366" t="s">
        <v>2</v>
      </c>
      <c r="Q7" s="366" t="s">
        <v>2</v>
      </c>
      <c r="R7" s="366" t="s">
        <v>2</v>
      </c>
      <c r="S7" s="366" t="s">
        <v>2</v>
      </c>
      <c r="T7" s="366" t="s">
        <v>2</v>
      </c>
      <c r="U7" s="366" t="s">
        <v>2</v>
      </c>
      <c r="V7" s="33" t="s">
        <v>7</v>
      </c>
      <c r="W7" s="33" t="s">
        <v>6</v>
      </c>
      <c r="X7" s="33" t="s">
        <v>6</v>
      </c>
      <c r="Y7" s="33" t="s">
        <v>6</v>
      </c>
      <c r="Z7" s="33" t="s">
        <v>2</v>
      </c>
      <c r="AA7" s="33" t="s">
        <v>2</v>
      </c>
      <c r="AB7" s="33"/>
      <c r="AC7" s="33" t="s">
        <v>2</v>
      </c>
      <c r="AD7" s="33" t="s">
        <v>2</v>
      </c>
      <c r="AE7" s="33"/>
      <c r="AF7" s="33"/>
      <c r="AG7" s="33"/>
      <c r="AH7" s="3">
        <f t="shared" si="3"/>
        <v>116</v>
      </c>
      <c r="AI7" s="3">
        <f>COUNTIF(C7:AG7,"D")+COUNTIF(C7:AG7,"NrsD")</f>
        <v>2</v>
      </c>
      <c r="AJ7" s="3">
        <f>COUNTIF(C7:AG7,"N")</f>
        <v>3</v>
      </c>
      <c r="AK7" s="3">
        <f>COUNTIF(C7:AG7,"OFF")+COUNTIF(C7:AG7,"上課")</f>
        <v>19</v>
      </c>
      <c r="AL7" s="3">
        <f>COUNTIF(C7:AG7,"")-AM7+COUNTIF(C7:AG7,"h3")</f>
        <v>7</v>
      </c>
      <c r="AM7" s="3">
        <f>COUNTIFS($C$5:$AG$5,"6",C7:AG7,"")+COUNTIF(C7:AG7,"h3")</f>
        <v>0</v>
      </c>
      <c r="AN7" s="3">
        <f t="array" ref="AN7">SUMPRODUCT(($C$5:$AG$5=6)*(C7:AG7="off"))</f>
        <v>3</v>
      </c>
      <c r="AO7" s="3" t="s">
        <v>406</v>
      </c>
      <c r="AP7" s="3" t="s">
        <v>84</v>
      </c>
      <c r="AQ7" s="12"/>
      <c r="AR7" s="256">
        <f t="shared" ref="AR7:AR17" si="5">BN7</f>
        <v>3</v>
      </c>
      <c r="AS7" s="256">
        <f t="shared" ref="AS7:AS17" si="6">BP7</f>
        <v>4</v>
      </c>
      <c r="AT7" s="256">
        <f t="shared" ref="AT7:AT17" si="7">BR7</f>
        <v>17</v>
      </c>
      <c r="AU7" s="256">
        <f t="shared" ref="AU7:AU17" si="8">BT7</f>
        <v>2</v>
      </c>
      <c r="BJ7" s="348" t="s">
        <v>384</v>
      </c>
      <c r="BK7" s="348" t="str">
        <f t="shared" ref="BK7:BK17" si="9">A32</f>
        <v>C詹絲庭</v>
      </c>
      <c r="BL7" s="348"/>
      <c r="BM7" s="348"/>
      <c r="BN7" s="348">
        <v>3</v>
      </c>
      <c r="BO7" s="348"/>
      <c r="BP7" s="348">
        <v>4</v>
      </c>
      <c r="BQ7" s="348"/>
      <c r="BR7" s="348">
        <v>17</v>
      </c>
      <c r="BS7" s="348" t="s">
        <v>419</v>
      </c>
      <c r="BT7" s="348">
        <v>2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3" t="s">
        <v>2</v>
      </c>
      <c r="D8" s="33"/>
      <c r="E8" s="33" t="s">
        <v>7</v>
      </c>
      <c r="F8" s="33" t="s">
        <v>2</v>
      </c>
      <c r="G8" s="33" t="s">
        <v>2</v>
      </c>
      <c r="H8" s="33" t="s">
        <v>2</v>
      </c>
      <c r="I8" s="33" t="s">
        <v>2</v>
      </c>
      <c r="J8" s="33" t="s">
        <v>2</v>
      </c>
      <c r="K8" s="33" t="s">
        <v>2</v>
      </c>
      <c r="L8" s="33" t="s">
        <v>2</v>
      </c>
      <c r="M8" s="33" t="s">
        <v>6</v>
      </c>
      <c r="N8" s="33" t="s">
        <v>6</v>
      </c>
      <c r="O8" s="33" t="s">
        <v>2</v>
      </c>
      <c r="P8" s="366" t="s">
        <v>2</v>
      </c>
      <c r="Q8" s="366" t="s">
        <v>2</v>
      </c>
      <c r="R8" s="366" t="s">
        <v>2</v>
      </c>
      <c r="S8" s="366" t="s">
        <v>2</v>
      </c>
      <c r="T8" s="366" t="s">
        <v>2</v>
      </c>
      <c r="U8" s="366" t="s">
        <v>2</v>
      </c>
      <c r="V8" s="33"/>
      <c r="W8" s="33"/>
      <c r="X8" s="33" t="s">
        <v>7</v>
      </c>
      <c r="Y8" s="33"/>
      <c r="Z8" s="33" t="s">
        <v>2</v>
      </c>
      <c r="AA8" s="33" t="s">
        <v>2</v>
      </c>
      <c r="AB8" s="33" t="s">
        <v>2</v>
      </c>
      <c r="AC8" s="33" t="s">
        <v>2</v>
      </c>
      <c r="AD8" s="33" t="s">
        <v>7</v>
      </c>
      <c r="AE8" s="33"/>
      <c r="AF8" s="33"/>
      <c r="AG8" s="33"/>
      <c r="AH8" s="3">
        <f t="shared" si="3"/>
        <v>112</v>
      </c>
      <c r="AI8" s="3">
        <f>COUNTIF(C8:AG8,"D")+COUNTIF(C8:AG8,"NrsD")</f>
        <v>3</v>
      </c>
      <c r="AJ8" s="3">
        <f t="shared" ref="AJ8:AJ17" si="11">COUNTIF(C8:AG8,"N")</f>
        <v>2</v>
      </c>
      <c r="AK8" s="3">
        <f t="shared" ref="AK8:AK17" si="12">COUNTIF(C8:AG8,"OFF")+COUNTIF(C8:AG8,"上課")</f>
        <v>19</v>
      </c>
      <c r="AL8" s="3">
        <f t="shared" ref="AL8:AL17" si="13">COUNTIF(C8:AG8,"")-AM8+COUNTIF(C8:AG8,"h3")</f>
        <v>6</v>
      </c>
      <c r="AM8" s="3">
        <f t="shared" ref="AM8:AM17" si="14">COUNTIFS($C$5:$AG$5,"6",C8:AG8,"")+COUNTIF(C8:AG8,"h3")</f>
        <v>1</v>
      </c>
      <c r="AN8" s="3">
        <f t="array" ref="AN8">SUMPRODUCT(($C$5:$AG$5=6)*(C8:AG8="off"))</f>
        <v>2</v>
      </c>
      <c r="AO8" s="3" t="s">
        <v>407</v>
      </c>
      <c r="AP8" s="3" t="s">
        <v>90</v>
      </c>
      <c r="AQ8" s="12"/>
      <c r="AR8" s="256">
        <f t="shared" si="5"/>
        <v>4</v>
      </c>
      <c r="AS8" s="256">
        <f t="shared" si="6"/>
        <v>4</v>
      </c>
      <c r="AT8" s="256">
        <f t="shared" si="7"/>
        <v>18</v>
      </c>
      <c r="AU8" s="256">
        <f t="shared" si="8"/>
        <v>2</v>
      </c>
      <c r="BJ8" s="348" t="s">
        <v>384</v>
      </c>
      <c r="BK8" s="348" t="str">
        <f t="shared" si="9"/>
        <v>D王子建</v>
      </c>
      <c r="BL8" s="348"/>
      <c r="BM8" s="348" t="s">
        <v>448</v>
      </c>
      <c r="BN8" s="348">
        <v>4</v>
      </c>
      <c r="BO8" s="348"/>
      <c r="BP8" s="348">
        <v>4</v>
      </c>
      <c r="BQ8" s="348" t="s">
        <v>448</v>
      </c>
      <c r="BR8" s="348">
        <v>18</v>
      </c>
      <c r="BS8" s="348" t="s">
        <v>448</v>
      </c>
      <c r="BT8" s="348">
        <v>2</v>
      </c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3" t="s">
        <v>2</v>
      </c>
      <c r="D9" s="33" t="s">
        <v>2</v>
      </c>
      <c r="E9" s="33" t="s">
        <v>2</v>
      </c>
      <c r="F9" s="33" t="s">
        <v>7</v>
      </c>
      <c r="G9" s="33" t="s">
        <v>2</v>
      </c>
      <c r="H9" s="33" t="s">
        <v>2</v>
      </c>
      <c r="I9" s="33"/>
      <c r="J9" s="33" t="s">
        <v>7</v>
      </c>
      <c r="K9" s="33" t="s">
        <v>6</v>
      </c>
      <c r="L9" s="33" t="s">
        <v>6</v>
      </c>
      <c r="M9" s="33" t="s">
        <v>2</v>
      </c>
      <c r="N9" s="33" t="s">
        <v>2</v>
      </c>
      <c r="O9" s="62" t="s">
        <v>5</v>
      </c>
      <c r="P9" s="366" t="s">
        <v>2</v>
      </c>
      <c r="Q9" s="366" t="s">
        <v>2</v>
      </c>
      <c r="R9" s="366" t="s">
        <v>2</v>
      </c>
      <c r="S9" s="366" t="s">
        <v>2</v>
      </c>
      <c r="T9" s="366" t="s">
        <v>2</v>
      </c>
      <c r="U9" s="62" t="s">
        <v>3</v>
      </c>
      <c r="V9" s="33" t="s">
        <v>6</v>
      </c>
      <c r="W9" s="33" t="s">
        <v>2</v>
      </c>
      <c r="X9" s="33" t="s">
        <v>2</v>
      </c>
      <c r="Y9" s="33" t="s">
        <v>2</v>
      </c>
      <c r="Z9" s="33"/>
      <c r="AA9" s="33" t="s">
        <v>2</v>
      </c>
      <c r="AB9" s="33" t="s">
        <v>2</v>
      </c>
      <c r="AC9" s="33" t="s">
        <v>2</v>
      </c>
      <c r="AD9" s="33" t="s">
        <v>2</v>
      </c>
      <c r="AE9" s="33"/>
      <c r="AF9" s="33"/>
      <c r="AG9" s="33"/>
      <c r="AH9" s="3">
        <f t="shared" si="3"/>
        <v>120</v>
      </c>
      <c r="AI9" s="3">
        <f t="shared" ref="AI9:AI15" si="15">COUNTIF(C9:AG9,"D")+COUNTIF(C9:AG9,"NrsD")</f>
        <v>3</v>
      </c>
      <c r="AJ9" s="3">
        <f t="shared" si="11"/>
        <v>4</v>
      </c>
      <c r="AK9" s="3">
        <f t="shared" si="12"/>
        <v>19</v>
      </c>
      <c r="AL9" s="3">
        <f t="shared" si="13"/>
        <v>4</v>
      </c>
      <c r="AM9" s="3">
        <f t="shared" si="14"/>
        <v>1</v>
      </c>
      <c r="AN9" s="3">
        <f t="array" ref="AN9">SUMPRODUCT(($C$5:$AG$5=6)*(C9:AG9="off"))</f>
        <v>3</v>
      </c>
      <c r="AO9" s="3" t="s">
        <v>405</v>
      </c>
      <c r="AP9" s="3" t="s">
        <v>72</v>
      </c>
      <c r="AQ9" s="12"/>
      <c r="AR9" s="256">
        <f t="shared" si="5"/>
        <v>4</v>
      </c>
      <c r="AS9" s="256">
        <f t="shared" si="6"/>
        <v>4</v>
      </c>
      <c r="AT9" s="256">
        <f t="shared" si="7"/>
        <v>18</v>
      </c>
      <c r="AU9" s="256">
        <f t="shared" si="8"/>
        <v>2</v>
      </c>
      <c r="BJ9" s="348" t="s">
        <v>384</v>
      </c>
      <c r="BK9" s="348" t="str">
        <f t="shared" si="9"/>
        <v>E詹雅慈</v>
      </c>
      <c r="BL9" s="348"/>
      <c r="BM9" s="348"/>
      <c r="BN9" s="348">
        <v>4</v>
      </c>
      <c r="BO9" s="348" t="s">
        <v>419</v>
      </c>
      <c r="BP9" s="348">
        <v>4</v>
      </c>
      <c r="BQ9" s="348"/>
      <c r="BR9" s="348">
        <v>18</v>
      </c>
      <c r="BS9" s="348"/>
      <c r="BT9" s="348">
        <v>2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10"/>
        <v>F丁韋綸</v>
      </c>
      <c r="B10" s="338" t="str">
        <f t="shared" si="4"/>
        <v>X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66" t="s">
        <v>2</v>
      </c>
      <c r="Q10" s="366" t="s">
        <v>2</v>
      </c>
      <c r="R10" s="366" t="s">
        <v>2</v>
      </c>
      <c r="S10" s="366" t="s">
        <v>2</v>
      </c>
      <c r="T10" s="366" t="s">
        <v>2</v>
      </c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">
        <f t="shared" si="3"/>
        <v>196</v>
      </c>
      <c r="AI10" s="3">
        <f t="shared" si="15"/>
        <v>0</v>
      </c>
      <c r="AJ10" s="3">
        <f t="shared" si="11"/>
        <v>0</v>
      </c>
      <c r="AK10" s="3">
        <f t="shared" si="12"/>
        <v>5</v>
      </c>
      <c r="AL10" s="3">
        <f t="shared" si="13"/>
        <v>23</v>
      </c>
      <c r="AM10" s="3">
        <f t="shared" si="14"/>
        <v>3</v>
      </c>
      <c r="AN10" s="3">
        <f t="array" ref="AN10">SUMPRODUCT(($C$5:$AG$5=6)*(C10:AG10="off"))</f>
        <v>1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10"/>
        <v>G陳盈潔</v>
      </c>
      <c r="B11" s="338" t="str">
        <f t="shared" si="4"/>
        <v>X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66" t="s">
        <v>2</v>
      </c>
      <c r="Q11" s="366" t="s">
        <v>2</v>
      </c>
      <c r="R11" s="366" t="s">
        <v>2</v>
      </c>
      <c r="S11" s="366" t="s">
        <v>2</v>
      </c>
      <c r="T11" s="366" t="s">
        <v>2</v>
      </c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">
        <f t="shared" si="3"/>
        <v>196</v>
      </c>
      <c r="AI11" s="3">
        <f t="shared" si="15"/>
        <v>0</v>
      </c>
      <c r="AJ11" s="3">
        <f t="shared" si="11"/>
        <v>0</v>
      </c>
      <c r="AK11" s="3">
        <f t="shared" si="12"/>
        <v>5</v>
      </c>
      <c r="AL11" s="3">
        <f t="shared" si="13"/>
        <v>23</v>
      </c>
      <c r="AM11" s="3">
        <f t="shared" si="14"/>
        <v>3</v>
      </c>
      <c r="AN11" s="3">
        <f t="array" ref="AN11">SUMPRODUCT(($C$5:$AG$5=6)*(C11:AG11="off"))</f>
        <v>1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10"/>
        <v>H張心柔</v>
      </c>
      <c r="B12" s="338" t="str">
        <f t="shared" si="4"/>
        <v/>
      </c>
      <c r="C12" s="33" t="s">
        <v>7</v>
      </c>
      <c r="D12" s="33" t="s">
        <v>2</v>
      </c>
      <c r="E12" s="33" t="s">
        <v>2</v>
      </c>
      <c r="F12" s="33" t="s">
        <v>6</v>
      </c>
      <c r="G12" s="33" t="s">
        <v>6</v>
      </c>
      <c r="H12" s="33" t="s">
        <v>2</v>
      </c>
      <c r="I12" s="33" t="s">
        <v>2</v>
      </c>
      <c r="J12" s="33" t="s">
        <v>2</v>
      </c>
      <c r="K12" s="33"/>
      <c r="L12" s="33" t="s">
        <v>7</v>
      </c>
      <c r="M12" s="33"/>
      <c r="N12" s="33" t="s">
        <v>7</v>
      </c>
      <c r="O12" s="33"/>
      <c r="P12" s="366" t="s">
        <v>2</v>
      </c>
      <c r="Q12" s="366" t="s">
        <v>2</v>
      </c>
      <c r="R12" s="366" t="s">
        <v>2</v>
      </c>
      <c r="S12" s="366" t="s">
        <v>2</v>
      </c>
      <c r="T12" s="366" t="s">
        <v>2</v>
      </c>
      <c r="U12" s="366" t="s">
        <v>2</v>
      </c>
      <c r="V12" s="33" t="s">
        <v>2</v>
      </c>
      <c r="W12" s="33" t="s">
        <v>2</v>
      </c>
      <c r="X12" s="33" t="s">
        <v>2</v>
      </c>
      <c r="Y12" s="33" t="s">
        <v>2</v>
      </c>
      <c r="Z12" s="33" t="s">
        <v>7</v>
      </c>
      <c r="AA12" s="33"/>
      <c r="AB12" s="33" t="s">
        <v>2</v>
      </c>
      <c r="AC12" s="33" t="s">
        <v>7</v>
      </c>
      <c r="AD12" s="33" t="s">
        <v>2</v>
      </c>
      <c r="AE12" s="33"/>
      <c r="AF12" s="33"/>
      <c r="AG12" s="33"/>
      <c r="AH12" s="3">
        <f t="shared" si="3"/>
        <v>140</v>
      </c>
      <c r="AI12" s="3">
        <f t="shared" si="15"/>
        <v>5</v>
      </c>
      <c r="AJ12" s="3">
        <f t="shared" si="11"/>
        <v>2</v>
      </c>
      <c r="AK12" s="3">
        <f t="shared" si="12"/>
        <v>17</v>
      </c>
      <c r="AL12" s="3">
        <f t="shared" si="13"/>
        <v>7</v>
      </c>
      <c r="AM12" s="3">
        <f t="shared" si="14"/>
        <v>0</v>
      </c>
      <c r="AN12" s="3">
        <f t="array" ref="AN12">SUMPRODUCT(($C$5:$AG$5=6)*(C12:AG12="off"))</f>
        <v>4</v>
      </c>
      <c r="AO12" s="3" t="s">
        <v>408</v>
      </c>
      <c r="AP12" s="3" t="s">
        <v>95</v>
      </c>
      <c r="AQ12" s="12"/>
      <c r="AR12" s="256">
        <f t="shared" si="5"/>
        <v>4</v>
      </c>
      <c r="AS12" s="256">
        <f t="shared" si="6"/>
        <v>3</v>
      </c>
      <c r="AT12" s="256">
        <f t="shared" si="7"/>
        <v>18</v>
      </c>
      <c r="AU12" s="256">
        <f t="shared" si="8"/>
        <v>2</v>
      </c>
      <c r="BJ12" s="348" t="s">
        <v>384</v>
      </c>
      <c r="BK12" s="348" t="str">
        <f t="shared" si="9"/>
        <v>H張心柔</v>
      </c>
      <c r="BL12" s="348"/>
      <c r="BM12" s="348"/>
      <c r="BN12" s="348">
        <v>4</v>
      </c>
      <c r="BO12" s="348"/>
      <c r="BP12" s="348">
        <v>3</v>
      </c>
      <c r="BQ12" s="348"/>
      <c r="BR12" s="348">
        <v>18</v>
      </c>
      <c r="BS12" s="348"/>
      <c r="BT12" s="348">
        <v>2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I劉子瑄</v>
      </c>
      <c r="B13" s="338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 t="s">
        <v>6</v>
      </c>
      <c r="AE13" s="33"/>
      <c r="AF13" s="33"/>
      <c r="AG13" s="33"/>
      <c r="AH13" s="3">
        <f t="shared" si="3"/>
        <v>240</v>
      </c>
      <c r="AI13" s="3">
        <f t="shared" si="15"/>
        <v>0</v>
      </c>
      <c r="AJ13" s="3">
        <f t="shared" si="11"/>
        <v>1</v>
      </c>
      <c r="AK13" s="3">
        <f t="shared" si="12"/>
        <v>0</v>
      </c>
      <c r="AL13" s="3">
        <f t="shared" si="13"/>
        <v>27</v>
      </c>
      <c r="AM13" s="3">
        <f t="shared" si="14"/>
        <v>3</v>
      </c>
      <c r="AN13" s="3">
        <f t="array" ref="AN13">SUMPRODUCT(($C$5:$AG$5=6)*(C13:AG13="off"))</f>
        <v>0</v>
      </c>
      <c r="AP13" s="3"/>
      <c r="AQ13" s="12"/>
      <c r="AR13" s="256">
        <f t="shared" si="5"/>
        <v>4</v>
      </c>
      <c r="AS13" s="256">
        <f t="shared" si="6"/>
        <v>3</v>
      </c>
      <c r="AT13" s="256">
        <f t="shared" si="7"/>
        <v>18</v>
      </c>
      <c r="AU13" s="256">
        <f t="shared" si="8"/>
        <v>2</v>
      </c>
      <c r="BJ13" s="348" t="s">
        <v>384</v>
      </c>
      <c r="BK13" s="348" t="str">
        <f t="shared" si="9"/>
        <v>I劉子瑄</v>
      </c>
      <c r="BL13" s="348"/>
      <c r="BM13" s="348" t="s">
        <v>419</v>
      </c>
      <c r="BN13" s="348">
        <v>4</v>
      </c>
      <c r="BO13" s="348"/>
      <c r="BP13" s="348">
        <v>3</v>
      </c>
      <c r="BQ13" s="348"/>
      <c r="BR13" s="348">
        <v>18</v>
      </c>
      <c r="BS13" s="348"/>
      <c r="BT13" s="348">
        <v>2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10"/>
        <v>L陳咨希</v>
      </c>
      <c r="B14" s="338" t="str">
        <f t="shared" si="4"/>
        <v/>
      </c>
      <c r="C14" s="33" t="s">
        <v>2</v>
      </c>
      <c r="D14" s="33" t="s">
        <v>2</v>
      </c>
      <c r="E14" s="33" t="s">
        <v>2</v>
      </c>
      <c r="F14" s="33" t="s">
        <v>2</v>
      </c>
      <c r="G14" s="33"/>
      <c r="H14" s="33"/>
      <c r="I14" s="33" t="s">
        <v>7</v>
      </c>
      <c r="J14" s="33" t="s">
        <v>2</v>
      </c>
      <c r="K14" s="33" t="s">
        <v>7</v>
      </c>
      <c r="L14" s="33"/>
      <c r="M14" s="33"/>
      <c r="N14" s="33"/>
      <c r="O14" s="33"/>
      <c r="P14" s="33" t="s">
        <v>2</v>
      </c>
      <c r="Q14" s="33" t="s">
        <v>2</v>
      </c>
      <c r="R14" s="366" t="s">
        <v>2</v>
      </c>
      <c r="S14" s="366" t="s">
        <v>2</v>
      </c>
      <c r="T14" s="366" t="s">
        <v>2</v>
      </c>
      <c r="U14" s="366" t="s">
        <v>2</v>
      </c>
      <c r="V14" s="33" t="s">
        <v>2</v>
      </c>
      <c r="W14" s="33" t="s">
        <v>2</v>
      </c>
      <c r="X14" s="33" t="s">
        <v>2</v>
      </c>
      <c r="Y14" s="33" t="s">
        <v>2</v>
      </c>
      <c r="Z14" s="33" t="s">
        <v>6</v>
      </c>
      <c r="AA14" s="33" t="s">
        <v>6</v>
      </c>
      <c r="AB14" s="33" t="s">
        <v>2</v>
      </c>
      <c r="AC14" s="33" t="s">
        <v>2</v>
      </c>
      <c r="AD14" s="33" t="s">
        <v>2</v>
      </c>
      <c r="AE14" s="33"/>
      <c r="AF14" s="33"/>
      <c r="AG14" s="33"/>
      <c r="AH14" s="3">
        <f t="shared" si="3"/>
        <v>120</v>
      </c>
      <c r="AI14" s="3">
        <f t="shared" si="15"/>
        <v>2</v>
      </c>
      <c r="AJ14" s="3">
        <f t="shared" si="11"/>
        <v>2</v>
      </c>
      <c r="AK14" s="3">
        <f t="shared" si="12"/>
        <v>18</v>
      </c>
      <c r="AL14" s="3">
        <f t="shared" si="13"/>
        <v>9</v>
      </c>
      <c r="AM14" s="3">
        <f t="shared" si="14"/>
        <v>0</v>
      </c>
      <c r="AN14" s="3">
        <f t="array" ref="AN14">SUMPRODUCT(($C$5:$AG$5=6)*(C14:AG14="off"))</f>
        <v>3</v>
      </c>
      <c r="AO14" s="3"/>
      <c r="AP14" s="3"/>
      <c r="AQ14" s="12"/>
      <c r="AR14" s="256">
        <f t="shared" si="5"/>
        <v>3</v>
      </c>
      <c r="AS14" s="256">
        <f t="shared" si="6"/>
        <v>3</v>
      </c>
      <c r="AT14" s="256">
        <f t="shared" si="7"/>
        <v>18</v>
      </c>
      <c r="AU14" s="256">
        <f t="shared" si="8"/>
        <v>2</v>
      </c>
      <c r="AY14" s="335"/>
      <c r="BJ14" s="348" t="s">
        <v>451</v>
      </c>
      <c r="BK14" s="348" t="str">
        <f t="shared" si="9"/>
        <v>L陳咨希</v>
      </c>
      <c r="BL14" s="348"/>
      <c r="BM14" s="348"/>
      <c r="BN14" s="348">
        <v>3</v>
      </c>
      <c r="BO14" s="348"/>
      <c r="BP14" s="348">
        <v>3</v>
      </c>
      <c r="BQ14" s="348"/>
      <c r="BR14" s="348">
        <v>18</v>
      </c>
      <c r="BS14" s="348"/>
      <c r="BT14" s="348">
        <v>2</v>
      </c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J林瑋嫻</v>
      </c>
      <c r="B15" s="338" t="str">
        <f t="shared" si="4"/>
        <v/>
      </c>
      <c r="C15" s="33" t="s">
        <v>6</v>
      </c>
      <c r="D15" s="33" t="s">
        <v>2</v>
      </c>
      <c r="E15" s="33" t="s">
        <v>2</v>
      </c>
      <c r="F15" s="33" t="s">
        <v>2</v>
      </c>
      <c r="G15" s="33"/>
      <c r="H15" s="33" t="s">
        <v>7</v>
      </c>
      <c r="I15" s="33" t="s">
        <v>2</v>
      </c>
      <c r="J15" s="33" t="s">
        <v>2</v>
      </c>
      <c r="K15" s="33" t="s">
        <v>2</v>
      </c>
      <c r="L15" s="33" t="s">
        <v>2</v>
      </c>
      <c r="M15" s="33" t="s">
        <v>2</v>
      </c>
      <c r="N15" s="33" t="s">
        <v>2</v>
      </c>
      <c r="O15" s="33" t="s">
        <v>2</v>
      </c>
      <c r="P15" s="366" t="s">
        <v>2</v>
      </c>
      <c r="Q15" s="366" t="s">
        <v>2</v>
      </c>
      <c r="R15" s="366" t="s">
        <v>2</v>
      </c>
      <c r="S15" s="366" t="s">
        <v>2</v>
      </c>
      <c r="T15" s="366" t="s">
        <v>2</v>
      </c>
      <c r="U15" s="366" t="s">
        <v>2</v>
      </c>
      <c r="V15" s="33"/>
      <c r="W15" s="33" t="s">
        <v>7</v>
      </c>
      <c r="X15" s="33" t="s">
        <v>2</v>
      </c>
      <c r="Y15" s="33"/>
      <c r="Z15" s="33"/>
      <c r="AA15" s="33" t="s">
        <v>7</v>
      </c>
      <c r="AB15" s="33" t="s">
        <v>6</v>
      </c>
      <c r="AC15" s="33" t="s">
        <v>6</v>
      </c>
      <c r="AD15" s="33" t="s">
        <v>2</v>
      </c>
      <c r="AE15" s="33"/>
      <c r="AF15" s="33"/>
      <c r="AG15" s="33"/>
      <c r="AH15" s="3">
        <f t="shared" si="3"/>
        <v>128</v>
      </c>
      <c r="AI15" s="3">
        <f t="shared" si="15"/>
        <v>3</v>
      </c>
      <c r="AJ15" s="3">
        <f t="shared" si="11"/>
        <v>3</v>
      </c>
      <c r="AK15" s="3">
        <f t="shared" si="12"/>
        <v>18</v>
      </c>
      <c r="AL15" s="3">
        <f t="shared" si="13"/>
        <v>7</v>
      </c>
      <c r="AM15" s="3">
        <f t="shared" si="14"/>
        <v>0</v>
      </c>
      <c r="AN15" s="3">
        <f t="array" ref="AN15">SUMPRODUCT(($C$5:$AG$5=6)*(C15:AG15="off"))</f>
        <v>3</v>
      </c>
      <c r="AO15" s="3"/>
      <c r="AP15" s="3"/>
      <c r="AQ15" s="12"/>
      <c r="AR15" s="256">
        <f t="shared" si="5"/>
        <v>3</v>
      </c>
      <c r="AS15" s="256">
        <f t="shared" si="6"/>
        <v>3</v>
      </c>
      <c r="AT15" s="256">
        <f t="shared" si="7"/>
        <v>18</v>
      </c>
      <c r="AU15" s="256">
        <f t="shared" si="8"/>
        <v>2</v>
      </c>
      <c r="BJ15" s="348" t="s">
        <v>451</v>
      </c>
      <c r="BK15" s="348" t="str">
        <f t="shared" si="9"/>
        <v>J林瑋嫻</v>
      </c>
      <c r="BL15" s="348"/>
      <c r="BM15" s="348"/>
      <c r="BN15" s="348">
        <v>3</v>
      </c>
      <c r="BO15" s="348"/>
      <c r="BP15" s="348">
        <v>3</v>
      </c>
      <c r="BQ15" s="348" t="s">
        <v>419</v>
      </c>
      <c r="BR15" s="348">
        <v>18</v>
      </c>
      <c r="BS15" s="348"/>
      <c r="BT15" s="348">
        <v>2</v>
      </c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tr">
        <f t="shared" si="10"/>
        <v>K馮佳祺</v>
      </c>
      <c r="B16" s="338" t="str">
        <f t="shared" si="4"/>
        <v/>
      </c>
      <c r="C16" s="33" t="s">
        <v>2</v>
      </c>
      <c r="D16" s="33" t="s">
        <v>6</v>
      </c>
      <c r="E16" s="33" t="s">
        <v>6</v>
      </c>
      <c r="F16" s="33" t="s">
        <v>2</v>
      </c>
      <c r="G16" s="33" t="s">
        <v>2</v>
      </c>
      <c r="H16" s="33"/>
      <c r="I16" s="33"/>
      <c r="J16" s="33" t="s">
        <v>2</v>
      </c>
      <c r="K16" s="33"/>
      <c r="L16" s="33"/>
      <c r="M16" s="33" t="s">
        <v>7</v>
      </c>
      <c r="N16" s="33"/>
      <c r="O16" s="283"/>
      <c r="P16" s="370" t="s">
        <v>2</v>
      </c>
      <c r="Q16" s="370" t="s">
        <v>2</v>
      </c>
      <c r="R16" s="370" t="s">
        <v>2</v>
      </c>
      <c r="S16" s="370" t="s">
        <v>2</v>
      </c>
      <c r="T16" s="370" t="s">
        <v>2</v>
      </c>
      <c r="U16" s="370" t="s">
        <v>2</v>
      </c>
      <c r="V16" s="283" t="s">
        <v>2</v>
      </c>
      <c r="W16" s="33" t="s">
        <v>2</v>
      </c>
      <c r="X16" s="33" t="s">
        <v>2</v>
      </c>
      <c r="Y16" s="33" t="s">
        <v>2</v>
      </c>
      <c r="Z16" s="33" t="s">
        <v>2</v>
      </c>
      <c r="AA16" s="33" t="s">
        <v>2</v>
      </c>
      <c r="AB16" s="33" t="s">
        <v>7</v>
      </c>
      <c r="AC16" s="370" t="s">
        <v>2</v>
      </c>
      <c r="AD16" s="370" t="s">
        <v>2</v>
      </c>
      <c r="AE16" s="352"/>
      <c r="AF16" s="352"/>
      <c r="AG16" s="352"/>
      <c r="AH16" s="3">
        <f t="shared" si="3"/>
        <v>116</v>
      </c>
      <c r="AI16" s="3">
        <f>COUNTIF(C16:AG16,"D")+COUNTIF(C16:AG16,"NurseD")</f>
        <v>2</v>
      </c>
      <c r="AJ16" s="3">
        <f t="shared" si="11"/>
        <v>2</v>
      </c>
      <c r="AK16" s="3">
        <f t="shared" si="12"/>
        <v>18</v>
      </c>
      <c r="AL16" s="3">
        <f t="shared" si="13"/>
        <v>8</v>
      </c>
      <c r="AM16" s="3">
        <f t="shared" si="14"/>
        <v>1</v>
      </c>
      <c r="AN16" s="3">
        <f t="array" ref="AN16">SUMPRODUCT(($C$5:$AG$5=6)*(C16:AG16="off"))</f>
        <v>3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7"/>
        <v>0</v>
      </c>
      <c r="AU16" s="256">
        <f t="shared" si="8"/>
        <v>0</v>
      </c>
      <c r="BJ16" s="355"/>
      <c r="BK16" s="348" t="str">
        <f t="shared" si="9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232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27</v>
      </c>
      <c r="AM17" s="3">
        <f t="shared" si="14"/>
        <v>4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6</v>
      </c>
      <c r="D18" s="172">
        <f t="shared" si="16"/>
        <v>4</v>
      </c>
      <c r="E18" s="172">
        <f t="shared" si="16"/>
        <v>4</v>
      </c>
      <c r="F18" s="172">
        <f t="shared" si="16"/>
        <v>4</v>
      </c>
      <c r="G18" s="172">
        <f t="shared" si="16"/>
        <v>4</v>
      </c>
      <c r="H18" s="172">
        <f t="shared" si="16"/>
        <v>4</v>
      </c>
      <c r="I18" s="172">
        <f t="shared" si="16"/>
        <v>4</v>
      </c>
      <c r="J18" s="172">
        <f t="shared" si="16"/>
        <v>6</v>
      </c>
      <c r="K18" s="172">
        <f t="shared" si="16"/>
        <v>4</v>
      </c>
      <c r="L18" s="172">
        <f t="shared" si="16"/>
        <v>4</v>
      </c>
      <c r="M18" s="172">
        <f t="shared" si="16"/>
        <v>4</v>
      </c>
      <c r="N18" s="172">
        <f t="shared" si="16"/>
        <v>4</v>
      </c>
      <c r="O18" s="172">
        <f t="shared" si="16"/>
        <v>4</v>
      </c>
      <c r="P18" s="172">
        <f t="shared" si="16"/>
        <v>6</v>
      </c>
      <c r="Q18" s="172">
        <f t="shared" si="16"/>
        <v>6</v>
      </c>
      <c r="R18" s="172">
        <f t="shared" si="16"/>
        <v>6</v>
      </c>
      <c r="S18" s="172">
        <f t="shared" si="16"/>
        <v>6</v>
      </c>
      <c r="T18" s="172">
        <f t="shared" si="16"/>
        <v>6</v>
      </c>
      <c r="U18" s="172">
        <f t="shared" si="16"/>
        <v>6</v>
      </c>
      <c r="V18" s="172">
        <f t="shared" si="16"/>
        <v>6</v>
      </c>
      <c r="W18" s="172">
        <f t="shared" si="16"/>
        <v>6</v>
      </c>
      <c r="X18" s="172">
        <f t="shared" si="16"/>
        <v>6</v>
      </c>
      <c r="Y18" s="172">
        <f t="shared" si="16"/>
        <v>4</v>
      </c>
      <c r="Z18" s="172">
        <f t="shared" si="16"/>
        <v>4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4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4</v>
      </c>
      <c r="AC18" s="172">
        <f t="shared" si="17"/>
        <v>4</v>
      </c>
      <c r="AD18" s="172">
        <f t="shared" si="17"/>
        <v>6</v>
      </c>
      <c r="AE18" s="172" t="str">
        <f t="shared" si="17"/>
        <v/>
      </c>
      <c r="AF18" s="172" t="str">
        <f t="shared" si="17"/>
        <v/>
      </c>
      <c r="AG18" s="172" t="str">
        <f t="shared" si="17"/>
        <v/>
      </c>
      <c r="AH18" s="3" t="s">
        <v>391</v>
      </c>
      <c r="AI18" s="3">
        <f>COUNTIF(C18:AG18,"D")+COUNTIF(C18:AG18,"NurseD")</f>
        <v>0</v>
      </c>
      <c r="AJ18" s="3">
        <f>SUM(AJ6:AJ15)</f>
        <v>21</v>
      </c>
      <c r="AK18" s="3">
        <f>SUM(AK6:AK16)</f>
        <v>154</v>
      </c>
      <c r="AL18" s="3">
        <f>SUM(AL6:AL15)</f>
        <v>120</v>
      </c>
      <c r="AM18" s="3">
        <f>SUM(AM6:AM15)-SUM(AM10:AM11)-SUM(AM16:AM17)</f>
        <v>1</v>
      </c>
      <c r="AN18" s="3">
        <f>SUM(AN6:AN15)</f>
        <v>22</v>
      </c>
      <c r="AO18" s="3"/>
      <c r="AP18" s="3"/>
      <c r="AQ18" s="12"/>
      <c r="AR18" s="55">
        <f>SUBTOTAL(109,AR5:AR17)</f>
        <v>28</v>
      </c>
      <c r="AS18" s="55">
        <f>SUBTOTAL(109,AS5:AS17)</f>
        <v>28</v>
      </c>
      <c r="AT18" s="55">
        <f>SUM(AT6:AT17)</f>
        <v>142</v>
      </c>
      <c r="AU18" s="55">
        <f>SUBTOTAL(109,AU5:AU17)</f>
        <v>16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/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>國</v>
      </c>
      <c r="Q19" s="173" t="str">
        <f t="shared" si="18"/>
        <v>國</v>
      </c>
      <c r="R19" s="173" t="str">
        <f t="shared" si="18"/>
        <v>國</v>
      </c>
      <c r="S19" s="173" t="str">
        <f t="shared" si="18"/>
        <v>國</v>
      </c>
      <c r="T19" s="173" t="str">
        <f t="shared" si="18"/>
        <v>國</v>
      </c>
      <c r="U19" s="173" t="str">
        <f t="shared" si="18"/>
        <v>國</v>
      </c>
      <c r="V19" s="173" t="str">
        <f t="shared" si="18"/>
        <v>國</v>
      </c>
      <c r="W19" s="173" t="str">
        <f t="shared" si="18"/>
        <v>國</v>
      </c>
      <c r="X19" s="173" t="str">
        <f t="shared" si="18"/>
        <v>國</v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>國</v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5</v>
      </c>
      <c r="D20" s="360">
        <f t="shared" ref="D20:AG20" si="19">COUNTIF(D6:D15,"off")</f>
        <v>4</v>
      </c>
      <c r="E20" s="360">
        <f t="shared" si="19"/>
        <v>4</v>
      </c>
      <c r="F20" s="360">
        <f t="shared" si="19"/>
        <v>3</v>
      </c>
      <c r="G20" s="360">
        <f t="shared" si="19"/>
        <v>3</v>
      </c>
      <c r="H20" s="360">
        <f t="shared" si="19"/>
        <v>4</v>
      </c>
      <c r="I20" s="360">
        <f t="shared" si="19"/>
        <v>4</v>
      </c>
      <c r="J20" s="360">
        <f t="shared" si="19"/>
        <v>5</v>
      </c>
      <c r="K20" s="360">
        <f t="shared" si="19"/>
        <v>4</v>
      </c>
      <c r="L20" s="360">
        <f t="shared" si="19"/>
        <v>4</v>
      </c>
      <c r="M20" s="360">
        <f t="shared" si="19"/>
        <v>4</v>
      </c>
      <c r="N20" s="360">
        <f t="shared" si="19"/>
        <v>4</v>
      </c>
      <c r="O20" s="360">
        <f t="shared" si="19"/>
        <v>4</v>
      </c>
      <c r="P20" s="360">
        <f t="shared" si="19"/>
        <v>9</v>
      </c>
      <c r="Q20" s="360">
        <f t="shared" si="19"/>
        <v>9</v>
      </c>
      <c r="R20" s="360">
        <f t="shared" si="19"/>
        <v>9</v>
      </c>
      <c r="S20" s="360">
        <f t="shared" si="19"/>
        <v>9</v>
      </c>
      <c r="T20" s="360">
        <f t="shared" si="19"/>
        <v>8</v>
      </c>
      <c r="U20" s="360">
        <f t="shared" si="19"/>
        <v>5</v>
      </c>
      <c r="V20" s="360">
        <f t="shared" si="19"/>
        <v>3</v>
      </c>
      <c r="W20" s="360">
        <f t="shared" si="19"/>
        <v>3</v>
      </c>
      <c r="X20" s="360">
        <f t="shared" si="19"/>
        <v>5</v>
      </c>
      <c r="Y20" s="360">
        <f t="shared" si="19"/>
        <v>3</v>
      </c>
      <c r="Z20" s="360">
        <f t="shared" si="19"/>
        <v>3</v>
      </c>
      <c r="AA20" s="360">
        <f t="shared" si="19"/>
        <v>3</v>
      </c>
      <c r="AB20" s="360">
        <f t="shared" si="19"/>
        <v>4</v>
      </c>
      <c r="AC20" s="360">
        <f t="shared" si="19"/>
        <v>5</v>
      </c>
      <c r="AD20" s="360">
        <f t="shared" si="19"/>
        <v>6</v>
      </c>
      <c r="AE20" s="360">
        <f t="shared" si="19"/>
        <v>0</v>
      </c>
      <c r="AF20" s="360">
        <f>COUNTIF(AF6:AF15,"off")</f>
        <v>0</v>
      </c>
      <c r="AG20" s="360">
        <f t="shared" si="19"/>
        <v>0</v>
      </c>
      <c r="AH20" s="12">
        <f>SUM(C20:AG20)</f>
        <v>136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1</v>
      </c>
      <c r="D21" s="360">
        <f t="shared" ref="D21:AG21" si="20">COUNTIF(D6:D15,"D")+COUNTIF(D6:D15,"NrsD")</f>
        <v>1</v>
      </c>
      <c r="E21" s="360">
        <f t="shared" si="20"/>
        <v>1</v>
      </c>
      <c r="F21" s="360">
        <f t="shared" si="20"/>
        <v>1</v>
      </c>
      <c r="G21" s="360">
        <f t="shared" si="20"/>
        <v>1</v>
      </c>
      <c r="H21" s="360">
        <f t="shared" si="20"/>
        <v>1</v>
      </c>
      <c r="I21" s="360">
        <f t="shared" si="20"/>
        <v>1</v>
      </c>
      <c r="J21" s="360">
        <f t="shared" si="20"/>
        <v>1</v>
      </c>
      <c r="K21" s="360">
        <f t="shared" si="20"/>
        <v>1</v>
      </c>
      <c r="L21" s="360">
        <f t="shared" si="20"/>
        <v>1</v>
      </c>
      <c r="M21" s="360">
        <f t="shared" si="20"/>
        <v>0</v>
      </c>
      <c r="N21" s="360">
        <f t="shared" si="20"/>
        <v>1</v>
      </c>
      <c r="O21" s="360">
        <f t="shared" si="20"/>
        <v>0</v>
      </c>
      <c r="P21" s="360">
        <f t="shared" si="20"/>
        <v>0</v>
      </c>
      <c r="Q21" s="360">
        <f t="shared" si="20"/>
        <v>0</v>
      </c>
      <c r="R21" s="360">
        <f t="shared" si="20"/>
        <v>0</v>
      </c>
      <c r="S21" s="360">
        <f t="shared" si="20"/>
        <v>0</v>
      </c>
      <c r="T21" s="360">
        <f t="shared" si="20"/>
        <v>1</v>
      </c>
      <c r="U21" s="360">
        <f t="shared" si="20"/>
        <v>1</v>
      </c>
      <c r="V21" s="360">
        <f t="shared" si="20"/>
        <v>1</v>
      </c>
      <c r="W21" s="360">
        <f t="shared" si="20"/>
        <v>1</v>
      </c>
      <c r="X21" s="360">
        <f t="shared" si="20"/>
        <v>1</v>
      </c>
      <c r="Y21" s="360">
        <f t="shared" si="20"/>
        <v>1</v>
      </c>
      <c r="Z21" s="360">
        <f t="shared" si="20"/>
        <v>1</v>
      </c>
      <c r="AA21" s="360">
        <f t="shared" si="20"/>
        <v>1</v>
      </c>
      <c r="AB21" s="360">
        <f t="shared" si="20"/>
        <v>0</v>
      </c>
      <c r="AC21" s="360">
        <f t="shared" si="20"/>
        <v>1</v>
      </c>
      <c r="AD21" s="360">
        <f t="shared" si="20"/>
        <v>1</v>
      </c>
      <c r="AE21" s="360">
        <f t="shared" si="20"/>
        <v>0</v>
      </c>
      <c r="AF21" s="360">
        <f t="shared" si="20"/>
        <v>0</v>
      </c>
      <c r="AG21" s="360">
        <f t="shared" si="20"/>
        <v>0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1</v>
      </c>
      <c r="D22" s="360">
        <f t="shared" ref="D22:AG22" si="21">COUNTIF(D6:D15,"N")</f>
        <v>0</v>
      </c>
      <c r="E22" s="360">
        <f t="shared" si="21"/>
        <v>0</v>
      </c>
      <c r="F22" s="360">
        <f t="shared" si="21"/>
        <v>1</v>
      </c>
      <c r="G22" s="360">
        <f t="shared" si="21"/>
        <v>1</v>
      </c>
      <c r="H22" s="360">
        <f t="shared" si="21"/>
        <v>1</v>
      </c>
      <c r="I22" s="360">
        <f t="shared" si="21"/>
        <v>1</v>
      </c>
      <c r="J22" s="360">
        <f t="shared" si="21"/>
        <v>1</v>
      </c>
      <c r="K22" s="360">
        <f t="shared" si="21"/>
        <v>1</v>
      </c>
      <c r="L22" s="360">
        <f t="shared" si="21"/>
        <v>1</v>
      </c>
      <c r="M22" s="360">
        <f t="shared" si="21"/>
        <v>1</v>
      </c>
      <c r="N22" s="360">
        <f t="shared" si="21"/>
        <v>1</v>
      </c>
      <c r="O22" s="360">
        <f t="shared" si="21"/>
        <v>1</v>
      </c>
      <c r="P22" s="360">
        <f t="shared" si="21"/>
        <v>0</v>
      </c>
      <c r="Q22" s="360">
        <f t="shared" si="21"/>
        <v>0</v>
      </c>
      <c r="R22" s="360">
        <f t="shared" si="21"/>
        <v>0</v>
      </c>
      <c r="S22" s="360">
        <f t="shared" si="21"/>
        <v>0</v>
      </c>
      <c r="T22" s="360">
        <f t="shared" si="21"/>
        <v>0</v>
      </c>
      <c r="U22" s="360">
        <f t="shared" si="21"/>
        <v>1</v>
      </c>
      <c r="V22" s="360">
        <f t="shared" si="21"/>
        <v>1</v>
      </c>
      <c r="W22" s="360">
        <f t="shared" si="21"/>
        <v>1</v>
      </c>
      <c r="X22" s="360">
        <f t="shared" si="21"/>
        <v>1</v>
      </c>
      <c r="Y22" s="360">
        <f t="shared" si="21"/>
        <v>1</v>
      </c>
      <c r="Z22" s="360">
        <f t="shared" si="21"/>
        <v>1</v>
      </c>
      <c r="AA22" s="360">
        <f t="shared" si="21"/>
        <v>1</v>
      </c>
      <c r="AB22" s="360">
        <f t="shared" si="21"/>
        <v>1</v>
      </c>
      <c r="AC22" s="360">
        <f t="shared" si="21"/>
        <v>1</v>
      </c>
      <c r="AD22" s="360">
        <f t="shared" si="21"/>
        <v>1</v>
      </c>
      <c r="AE22" s="360">
        <f t="shared" si="21"/>
        <v>0</v>
      </c>
      <c r="AF22" s="360">
        <f t="shared" si="21"/>
        <v>0</v>
      </c>
      <c r="AG22" s="360">
        <f t="shared" si="21"/>
        <v>0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486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459" t="s">
        <v>487</v>
      </c>
      <c r="B26" s="460"/>
      <c r="C26" s="460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460"/>
      <c r="O26" s="460"/>
      <c r="P26" s="460"/>
      <c r="Q26" s="460"/>
      <c r="R26" s="460"/>
      <c r="S26" s="460"/>
      <c r="T26" s="460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64" t="s">
        <v>481</v>
      </c>
      <c r="P28" s="363" t="s">
        <v>473</v>
      </c>
      <c r="Q28" s="363" t="s">
        <v>473</v>
      </c>
      <c r="R28" s="363" t="s">
        <v>473</v>
      </c>
      <c r="S28" s="363" t="s">
        <v>473</v>
      </c>
      <c r="T28" s="363" t="s">
        <v>473</v>
      </c>
      <c r="U28" s="363" t="s">
        <v>473</v>
      </c>
      <c r="V28" s="365" t="s">
        <v>482</v>
      </c>
      <c r="W28" s="363"/>
      <c r="X28" s="363"/>
      <c r="Y28" s="332"/>
      <c r="Z28" s="332"/>
      <c r="AA28" s="332"/>
      <c r="AB28" s="332"/>
      <c r="AC28" s="332" t="s">
        <v>483</v>
      </c>
      <c r="AD28" s="332">
        <v>228</v>
      </c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46054</v>
      </c>
      <c r="D29" s="30">
        <f t="shared" ref="D29:AC29" si="22">C29+1</f>
        <v>46055</v>
      </c>
      <c r="E29" s="30">
        <f t="shared" si="22"/>
        <v>46056</v>
      </c>
      <c r="F29" s="30">
        <f t="shared" si="22"/>
        <v>46057</v>
      </c>
      <c r="G29" s="30">
        <f t="shared" si="22"/>
        <v>46058</v>
      </c>
      <c r="H29" s="30">
        <f t="shared" si="22"/>
        <v>46059</v>
      </c>
      <c r="I29" s="30">
        <f t="shared" si="22"/>
        <v>46060</v>
      </c>
      <c r="J29" s="30">
        <f t="shared" si="22"/>
        <v>46061</v>
      </c>
      <c r="K29" s="30">
        <f t="shared" si="22"/>
        <v>46062</v>
      </c>
      <c r="L29" s="30">
        <f t="shared" si="22"/>
        <v>46063</v>
      </c>
      <c r="M29" s="30">
        <f t="shared" si="22"/>
        <v>46064</v>
      </c>
      <c r="N29" s="30">
        <f t="shared" si="22"/>
        <v>46065</v>
      </c>
      <c r="O29" s="30">
        <f t="shared" si="22"/>
        <v>46066</v>
      </c>
      <c r="P29" s="30">
        <f t="shared" si="22"/>
        <v>46067</v>
      </c>
      <c r="Q29" s="30">
        <f t="shared" si="22"/>
        <v>46068</v>
      </c>
      <c r="R29" s="30">
        <f t="shared" si="22"/>
        <v>46069</v>
      </c>
      <c r="S29" s="30">
        <f t="shared" si="22"/>
        <v>46070</v>
      </c>
      <c r="T29" s="30">
        <f t="shared" si="22"/>
        <v>46071</v>
      </c>
      <c r="U29" s="30">
        <f t="shared" si="22"/>
        <v>46072</v>
      </c>
      <c r="V29" s="30">
        <f t="shared" si="22"/>
        <v>46073</v>
      </c>
      <c r="W29" s="30">
        <f t="shared" si="22"/>
        <v>46074</v>
      </c>
      <c r="X29" s="30">
        <f t="shared" si="22"/>
        <v>46075</v>
      </c>
      <c r="Y29" s="30">
        <f t="shared" si="22"/>
        <v>46076</v>
      </c>
      <c r="Z29" s="30">
        <f t="shared" si="22"/>
        <v>46077</v>
      </c>
      <c r="AA29" s="30">
        <f t="shared" si="22"/>
        <v>46078</v>
      </c>
      <c r="AB29" s="30">
        <f t="shared" si="22"/>
        <v>46079</v>
      </c>
      <c r="AC29" s="30">
        <f t="shared" si="22"/>
        <v>46080</v>
      </c>
      <c r="AD29" s="30">
        <f>IFERROR(IF(MONTH(AC29+1)=$J$2,AC29+1,""),"")</f>
        <v>46081</v>
      </c>
      <c r="AE29" s="30" t="str">
        <f>IFERROR(IF(MONTH(AD29+1)=$J$2,AD29+1,""),"")</f>
        <v/>
      </c>
      <c r="AF29" s="30" t="str">
        <f>IFERROR(IF(MONTH(AE29+1)=$J$2,AE29+1,""),"")</f>
        <v/>
      </c>
      <c r="AG29" s="30" t="str">
        <f>IFERROR(IF(MONTH(AF29+1)=$J$2,AF29+1,""),"")</f>
        <v/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 t="str">
        <f>IFERROR(IF(WEEKDAY(C29,2)=7,"日",WEEKDAY(C29,2)),"")</f>
        <v>日</v>
      </c>
      <c r="D30" s="31">
        <f>IFERROR(IF(WEEKDAY(D29,2)=7,"日",WEEKDAY(D29,2)),"")</f>
        <v>1</v>
      </c>
      <c r="E30" s="31">
        <f t="shared" ref="E30:AG30" si="23">IFERROR(IF(WEEKDAY(E29,2)=7,"日",WEEKDAY(E29,2)),"")</f>
        <v>2</v>
      </c>
      <c r="F30" s="31">
        <f t="shared" si="23"/>
        <v>3</v>
      </c>
      <c r="G30" s="31">
        <f t="shared" si="23"/>
        <v>4</v>
      </c>
      <c r="H30" s="31">
        <f t="shared" si="23"/>
        <v>5</v>
      </c>
      <c r="I30" s="31">
        <f t="shared" si="23"/>
        <v>6</v>
      </c>
      <c r="J30" s="31" t="str">
        <f t="shared" si="23"/>
        <v>日</v>
      </c>
      <c r="K30" s="31">
        <f t="shared" si="23"/>
        <v>1</v>
      </c>
      <c r="L30" s="31">
        <f t="shared" si="23"/>
        <v>2</v>
      </c>
      <c r="M30" s="31">
        <f t="shared" si="23"/>
        <v>3</v>
      </c>
      <c r="N30" s="31">
        <f t="shared" si="23"/>
        <v>4</v>
      </c>
      <c r="O30" s="31">
        <f t="shared" si="23"/>
        <v>5</v>
      </c>
      <c r="P30" s="31">
        <f t="shared" si="23"/>
        <v>6</v>
      </c>
      <c r="Q30" s="31" t="str">
        <f t="shared" si="23"/>
        <v>日</v>
      </c>
      <c r="R30" s="31">
        <f t="shared" si="23"/>
        <v>1</v>
      </c>
      <c r="S30" s="31">
        <f t="shared" si="23"/>
        <v>2</v>
      </c>
      <c r="T30" s="31">
        <f t="shared" si="23"/>
        <v>3</v>
      </c>
      <c r="U30" s="31">
        <f t="shared" si="23"/>
        <v>4</v>
      </c>
      <c r="V30" s="31">
        <f t="shared" si="23"/>
        <v>5</v>
      </c>
      <c r="W30" s="31">
        <f t="shared" si="23"/>
        <v>6</v>
      </c>
      <c r="X30" s="31" t="str">
        <f t="shared" si="23"/>
        <v>日</v>
      </c>
      <c r="Y30" s="31">
        <f t="shared" si="23"/>
        <v>1</v>
      </c>
      <c r="Z30" s="31">
        <f t="shared" si="23"/>
        <v>2</v>
      </c>
      <c r="AA30" s="31">
        <f t="shared" si="23"/>
        <v>3</v>
      </c>
      <c r="AB30" s="31">
        <f t="shared" si="23"/>
        <v>4</v>
      </c>
      <c r="AC30" s="31">
        <f t="shared" si="23"/>
        <v>5</v>
      </c>
      <c r="AD30" s="31">
        <f t="shared" si="23"/>
        <v>6</v>
      </c>
      <c r="AE30" s="31" t="str">
        <f t="shared" si="23"/>
        <v/>
      </c>
      <c r="AF30" s="31" t="str">
        <f t="shared" si="23"/>
        <v/>
      </c>
      <c r="AG30" s="31" t="str">
        <f t="shared" si="23"/>
        <v/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/>
      <c r="G31" s="33"/>
      <c r="H31" s="33"/>
      <c r="I31" s="33" t="s">
        <v>6</v>
      </c>
      <c r="J31" s="33" t="s">
        <v>6</v>
      </c>
      <c r="K31" s="33" t="s">
        <v>2</v>
      </c>
      <c r="L31" s="33" t="s">
        <v>2</v>
      </c>
      <c r="M31" s="33" t="s">
        <v>2</v>
      </c>
      <c r="N31" s="33" t="s">
        <v>2</v>
      </c>
      <c r="O31" s="33" t="s">
        <v>2</v>
      </c>
      <c r="P31" s="366" t="s">
        <v>2</v>
      </c>
      <c r="Q31" s="366" t="s">
        <v>2</v>
      </c>
      <c r="R31" s="366" t="s">
        <v>2</v>
      </c>
      <c r="S31" s="366" t="s">
        <v>2</v>
      </c>
      <c r="T31" s="62" t="s">
        <v>3</v>
      </c>
      <c r="U31" s="62" t="s">
        <v>5</v>
      </c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">
        <f>(AI31*12)+(AJ31*12)+(AL31*8)+(AM31*4)</f>
        <v>184</v>
      </c>
      <c r="AI31" s="3">
        <f t="shared" ref="AI31:AI40" si="24">COUNTIF(C31:AG31,"D")</f>
        <v>1</v>
      </c>
      <c r="AJ31" s="3">
        <f t="shared" ref="AJ31:AJ40" si="25">COUNTIF(C31:AG31,"N")</f>
        <v>3</v>
      </c>
      <c r="AK31" s="3">
        <f t="shared" ref="AK31:AK40" si="26">COUNTIF(C31:AG31,"OFF")+COUNTIF(C31:AG31,"上課")</f>
        <v>9</v>
      </c>
      <c r="AL31" s="3">
        <f t="shared" ref="AL31:AL40" si="27">COUNTIF(C31:AG31,"")-AM31+COUNTIF(C31:AG31,"h3")</f>
        <v>16</v>
      </c>
      <c r="AM31" s="3">
        <f t="shared" ref="AM31:AM40" si="28">COUNTIFS($C$5:$AG$5,"6",C31:AG31,"")+COUNTIF(C31:AG31,"h3")</f>
        <v>2</v>
      </c>
      <c r="AN31" s="3">
        <f t="array" ref="AN31">SUMPRODUCT(($C$5:$AG$5=6)*(C31:AG31="off"))</f>
        <v>1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/>
      <c r="F32" s="33"/>
      <c r="G32" s="33"/>
      <c r="H32" s="33"/>
      <c r="I32" s="33"/>
      <c r="J32" s="33"/>
      <c r="K32" s="33" t="s">
        <v>2</v>
      </c>
      <c r="L32" s="33" t="s">
        <v>2</v>
      </c>
      <c r="M32" s="33" t="s">
        <v>2</v>
      </c>
      <c r="N32" s="33" t="s">
        <v>2</v>
      </c>
      <c r="O32" s="33" t="s">
        <v>2</v>
      </c>
      <c r="P32" s="366" t="s">
        <v>2</v>
      </c>
      <c r="Q32" s="366" t="s">
        <v>2</v>
      </c>
      <c r="R32" s="366" t="s">
        <v>2</v>
      </c>
      <c r="S32" s="366" t="s">
        <v>2</v>
      </c>
      <c r="T32" s="366" t="s">
        <v>2</v>
      </c>
      <c r="U32" s="366" t="s">
        <v>2</v>
      </c>
      <c r="V32" s="33"/>
      <c r="W32" s="33" t="s">
        <v>6</v>
      </c>
      <c r="X32" s="33" t="s">
        <v>6</v>
      </c>
      <c r="Y32" s="33"/>
      <c r="Z32" s="33"/>
      <c r="AA32" s="33"/>
      <c r="AB32" s="33"/>
      <c r="AC32" s="33"/>
      <c r="AD32" s="33"/>
      <c r="AE32" s="33"/>
      <c r="AF32" s="33"/>
      <c r="AG32" s="33"/>
      <c r="AH32" s="3">
        <f>(AI32*12)+(AJ32*12)+(AL32*8)+(AM32*4)</f>
        <v>160</v>
      </c>
      <c r="AI32" s="3">
        <f t="shared" si="24"/>
        <v>0</v>
      </c>
      <c r="AJ32" s="3">
        <f t="shared" si="25"/>
        <v>2</v>
      </c>
      <c r="AK32" s="3">
        <f t="shared" si="26"/>
        <v>11</v>
      </c>
      <c r="AL32" s="3">
        <f t="shared" si="27"/>
        <v>16</v>
      </c>
      <c r="AM32" s="3">
        <f t="shared" si="28"/>
        <v>2</v>
      </c>
      <c r="AN32" s="3">
        <f t="array" ref="AN32">SUMPRODUCT(($C$5:$AG$5=6)*(C32:AG32="off"))</f>
        <v>1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 t="s">
        <v>2</v>
      </c>
      <c r="D33" s="33"/>
      <c r="E33" s="33"/>
      <c r="F33" s="33" t="s">
        <v>484</v>
      </c>
      <c r="G33" s="33" t="s">
        <v>2</v>
      </c>
      <c r="H33" s="33" t="s">
        <v>2</v>
      </c>
      <c r="I33" s="33" t="s">
        <v>2</v>
      </c>
      <c r="J33" s="33" t="s">
        <v>2</v>
      </c>
      <c r="K33" s="33" t="s">
        <v>2</v>
      </c>
      <c r="L33" s="33" t="s">
        <v>485</v>
      </c>
      <c r="M33" s="33"/>
      <c r="N33" s="33"/>
      <c r="O33" s="33" t="s">
        <v>2</v>
      </c>
      <c r="P33" s="366" t="s">
        <v>2</v>
      </c>
      <c r="Q33" s="366" t="s">
        <v>2</v>
      </c>
      <c r="R33" s="366" t="s">
        <v>2</v>
      </c>
      <c r="S33" s="366" t="s">
        <v>2</v>
      </c>
      <c r="T33" s="366" t="s">
        <v>2</v>
      </c>
      <c r="U33" s="366" t="s">
        <v>2</v>
      </c>
      <c r="V33" s="33"/>
      <c r="W33" s="33"/>
      <c r="X33" s="33" t="s">
        <v>7</v>
      </c>
      <c r="Y33" s="33"/>
      <c r="Z33" s="33"/>
      <c r="AA33" s="33"/>
      <c r="AB33" s="33"/>
      <c r="AC33" s="33"/>
      <c r="AD33" s="33" t="s">
        <v>7</v>
      </c>
      <c r="AE33" s="33"/>
      <c r="AF33" s="33"/>
      <c r="AG33" s="33"/>
      <c r="AH33" s="3">
        <f>(AI33*12)+(AJ33*12)+(AL33*8)+(AM33*4)</f>
        <v>132</v>
      </c>
      <c r="AI33" s="3">
        <f t="shared" si="24"/>
        <v>2</v>
      </c>
      <c r="AJ33" s="3">
        <f t="shared" si="25"/>
        <v>0</v>
      </c>
      <c r="AK33" s="3">
        <f t="shared" si="26"/>
        <v>13</v>
      </c>
      <c r="AL33" s="3">
        <f t="shared" si="27"/>
        <v>13</v>
      </c>
      <c r="AM33" s="3">
        <f t="shared" si="28"/>
        <v>1</v>
      </c>
      <c r="AN33" s="3">
        <f t="array" ref="AN33">SUMPRODUCT(($C$5:$AG$5=6)*(C33:AG33="off"))</f>
        <v>2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/>
      <c r="H34" s="33"/>
      <c r="I34" s="33"/>
      <c r="J34" s="33" t="s">
        <v>7</v>
      </c>
      <c r="K34" s="33"/>
      <c r="L34" s="33" t="s">
        <v>2</v>
      </c>
      <c r="M34" s="33"/>
      <c r="N34" s="33"/>
      <c r="O34" s="62" t="s">
        <v>5</v>
      </c>
      <c r="P34" s="366" t="s">
        <v>2</v>
      </c>
      <c r="Q34" s="366" t="s">
        <v>2</v>
      </c>
      <c r="R34" s="366" t="s">
        <v>2</v>
      </c>
      <c r="S34" s="366" t="s">
        <v>2</v>
      </c>
      <c r="T34" s="366" t="s">
        <v>2</v>
      </c>
      <c r="U34" s="62" t="s">
        <v>3</v>
      </c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200</v>
      </c>
      <c r="AI34" s="3">
        <f t="shared" si="24"/>
        <v>2</v>
      </c>
      <c r="AJ34" s="3">
        <f t="shared" si="25"/>
        <v>1</v>
      </c>
      <c r="AK34" s="3">
        <f t="shared" si="26"/>
        <v>6</v>
      </c>
      <c r="AL34" s="3">
        <f t="shared" si="27"/>
        <v>19</v>
      </c>
      <c r="AM34" s="3">
        <f t="shared" si="28"/>
        <v>3</v>
      </c>
      <c r="AN34" s="3">
        <f t="array" ref="AN34">SUMPRODUCT(($C$5:$AG$5=6)*(C34:AG34="off"))</f>
        <v>1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66" t="s">
        <v>2</v>
      </c>
      <c r="Q35" s="366" t="s">
        <v>2</v>
      </c>
      <c r="R35" s="366" t="s">
        <v>2</v>
      </c>
      <c r="S35" s="366" t="s">
        <v>2</v>
      </c>
      <c r="T35" s="366" t="s">
        <v>2</v>
      </c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196</v>
      </c>
      <c r="AI35" s="3">
        <f t="shared" si="24"/>
        <v>0</v>
      </c>
      <c r="AJ35" s="3">
        <f t="shared" si="25"/>
        <v>0</v>
      </c>
      <c r="AK35" s="3">
        <f t="shared" si="26"/>
        <v>5</v>
      </c>
      <c r="AL35" s="3">
        <f t="shared" si="27"/>
        <v>23</v>
      </c>
      <c r="AM35" s="3">
        <f t="shared" si="28"/>
        <v>3</v>
      </c>
      <c r="AN35" s="3">
        <f t="array" ref="AN35">SUMPRODUCT(($C$5:$AG$5=6)*(C35:AG35="off"))</f>
        <v>1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66" t="s">
        <v>2</v>
      </c>
      <c r="Q36" s="366" t="s">
        <v>2</v>
      </c>
      <c r="R36" s="366" t="s">
        <v>2</v>
      </c>
      <c r="S36" s="366" t="s">
        <v>2</v>
      </c>
      <c r="T36" s="366" t="s">
        <v>2</v>
      </c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196</v>
      </c>
      <c r="AI36" s="3">
        <f t="shared" si="24"/>
        <v>0</v>
      </c>
      <c r="AJ36" s="3">
        <f t="shared" si="25"/>
        <v>0</v>
      </c>
      <c r="AK36" s="3">
        <f t="shared" si="26"/>
        <v>5</v>
      </c>
      <c r="AL36" s="3">
        <f t="shared" si="27"/>
        <v>23</v>
      </c>
      <c r="AM36" s="3">
        <f t="shared" si="28"/>
        <v>3</v>
      </c>
      <c r="AN36" s="3">
        <f t="array" ref="AN36">SUMPRODUCT(($C$5:$AG$5=6)*(C36:AG36="off"))</f>
        <v>1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 t="s">
        <v>7</v>
      </c>
      <c r="D37" s="33" t="s">
        <v>2</v>
      </c>
      <c r="E37" s="33"/>
      <c r="F37" s="33"/>
      <c r="G37" s="33"/>
      <c r="H37" s="33"/>
      <c r="I37" s="33"/>
      <c r="J37" s="33"/>
      <c r="K37" s="33" t="s">
        <v>2</v>
      </c>
      <c r="L37" s="33"/>
      <c r="M37" s="33"/>
      <c r="N37" s="33"/>
      <c r="O37" s="33"/>
      <c r="P37" s="366" t="s">
        <v>2</v>
      </c>
      <c r="Q37" s="366" t="s">
        <v>2</v>
      </c>
      <c r="R37" s="366" t="s">
        <v>2</v>
      </c>
      <c r="S37" s="366" t="s">
        <v>2</v>
      </c>
      <c r="T37" s="366" t="s">
        <v>2</v>
      </c>
      <c r="U37" s="366" t="s">
        <v>2</v>
      </c>
      <c r="V37" s="33" t="s">
        <v>2</v>
      </c>
      <c r="W37" s="33" t="s">
        <v>2</v>
      </c>
      <c r="X37" s="33"/>
      <c r="Y37" s="33"/>
      <c r="Z37" s="33"/>
      <c r="AA37" s="33"/>
      <c r="AB37" s="33" t="s">
        <v>2</v>
      </c>
      <c r="AC37" s="33"/>
      <c r="AD37" s="33"/>
      <c r="AE37" s="33"/>
      <c r="AF37" s="33"/>
      <c r="AG37" s="33"/>
      <c r="AH37" s="3">
        <f t="shared" si="29"/>
        <v>156</v>
      </c>
      <c r="AI37" s="3">
        <f t="shared" si="24"/>
        <v>1</v>
      </c>
      <c r="AJ37" s="3">
        <f t="shared" si="25"/>
        <v>0</v>
      </c>
      <c r="AK37" s="3">
        <f t="shared" si="26"/>
        <v>11</v>
      </c>
      <c r="AL37" s="3">
        <f t="shared" si="27"/>
        <v>17</v>
      </c>
      <c r="AM37" s="3">
        <f t="shared" si="28"/>
        <v>2</v>
      </c>
      <c r="AN37" s="3">
        <f t="array" ref="AN37">SUMPRODUCT(($C$5:$AG$5=6)*(C37:AG37="off"))</f>
        <v>2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 t="s">
        <v>6</v>
      </c>
      <c r="AE38" s="33"/>
      <c r="AF38" s="33"/>
      <c r="AG38" s="33"/>
      <c r="AH38" s="3">
        <f t="shared" si="29"/>
        <v>240</v>
      </c>
      <c r="AI38" s="3">
        <f t="shared" si="24"/>
        <v>0</v>
      </c>
      <c r="AJ38" s="3">
        <f t="shared" si="25"/>
        <v>1</v>
      </c>
      <c r="AK38" s="3">
        <f t="shared" si="26"/>
        <v>0</v>
      </c>
      <c r="AL38" s="3">
        <f t="shared" si="27"/>
        <v>27</v>
      </c>
      <c r="AM38" s="3">
        <f t="shared" si="28"/>
        <v>3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/>
      <c r="D39" s="33" t="s">
        <v>2</v>
      </c>
      <c r="E39" s="33"/>
      <c r="F39" s="33"/>
      <c r="G39" s="33"/>
      <c r="H39" s="33" t="s">
        <v>484</v>
      </c>
      <c r="I39" s="33" t="s">
        <v>7</v>
      </c>
      <c r="J39" s="33"/>
      <c r="K39" s="33"/>
      <c r="L39" s="33"/>
      <c r="M39" s="33"/>
      <c r="N39" s="33" t="s">
        <v>484</v>
      </c>
      <c r="O39" s="33"/>
      <c r="P39" s="33" t="s">
        <v>2</v>
      </c>
      <c r="Q39" s="33" t="s">
        <v>2</v>
      </c>
      <c r="R39" s="366" t="s">
        <v>2</v>
      </c>
      <c r="S39" s="366" t="s">
        <v>2</v>
      </c>
      <c r="T39" s="366" t="s">
        <v>2</v>
      </c>
      <c r="U39" s="366" t="s">
        <v>2</v>
      </c>
      <c r="V39" s="33" t="s">
        <v>2</v>
      </c>
      <c r="W39" s="33" t="s">
        <v>2</v>
      </c>
      <c r="X39" s="33"/>
      <c r="Y39" s="33" t="s">
        <v>2</v>
      </c>
      <c r="Z39" s="33"/>
      <c r="AA39" s="33"/>
      <c r="AB39" s="33" t="s">
        <v>302</v>
      </c>
      <c r="AC39" s="33" t="s">
        <v>2</v>
      </c>
      <c r="AD39" s="33" t="s">
        <v>2</v>
      </c>
      <c r="AE39" s="33"/>
      <c r="AF39" s="33"/>
      <c r="AG39" s="33"/>
      <c r="AH39" s="3">
        <f t="shared" si="29"/>
        <v>132</v>
      </c>
      <c r="AI39" s="3">
        <f t="shared" si="24"/>
        <v>1</v>
      </c>
      <c r="AJ39" s="3">
        <f t="shared" si="25"/>
        <v>0</v>
      </c>
      <c r="AK39" s="3">
        <f t="shared" si="26"/>
        <v>12</v>
      </c>
      <c r="AL39" s="3">
        <f t="shared" si="27"/>
        <v>15</v>
      </c>
      <c r="AM39" s="3">
        <f t="shared" si="28"/>
        <v>0</v>
      </c>
      <c r="AN39" s="3">
        <f t="array" ref="AN39">SUMPRODUCT(($C$5:$AG$5=6)*(C39:AG39="off"))</f>
        <v>3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 t="s">
        <v>6</v>
      </c>
      <c r="D40" s="33"/>
      <c r="E40" s="33"/>
      <c r="F40" s="33" t="s">
        <v>2</v>
      </c>
      <c r="G40" s="33"/>
      <c r="H40" s="33"/>
      <c r="I40" s="33"/>
      <c r="J40" s="33"/>
      <c r="K40" s="33"/>
      <c r="L40" s="33" t="s">
        <v>2</v>
      </c>
      <c r="M40" s="33" t="s">
        <v>2</v>
      </c>
      <c r="N40" s="33" t="s">
        <v>2</v>
      </c>
      <c r="O40" s="33" t="s">
        <v>2</v>
      </c>
      <c r="P40" s="366" t="s">
        <v>2</v>
      </c>
      <c r="Q40" s="366" t="s">
        <v>2</v>
      </c>
      <c r="R40" s="366" t="s">
        <v>2</v>
      </c>
      <c r="S40" s="366" t="s">
        <v>2</v>
      </c>
      <c r="T40" s="366" t="s">
        <v>2</v>
      </c>
      <c r="U40" s="366" t="s">
        <v>2</v>
      </c>
      <c r="V40" s="33"/>
      <c r="W40" s="33" t="s">
        <v>7</v>
      </c>
      <c r="X40" s="33"/>
      <c r="Y40" s="33"/>
      <c r="Z40" s="33"/>
      <c r="AA40" s="33"/>
      <c r="AB40" s="33" t="s">
        <v>6</v>
      </c>
      <c r="AC40" s="33" t="s">
        <v>6</v>
      </c>
      <c r="AD40" s="33"/>
      <c r="AE40" s="33"/>
      <c r="AF40" s="33"/>
      <c r="AG40" s="33"/>
      <c r="AH40" s="3">
        <f t="shared" si="29"/>
        <v>168</v>
      </c>
      <c r="AI40" s="3">
        <f t="shared" si="24"/>
        <v>1</v>
      </c>
      <c r="AJ40" s="3">
        <f t="shared" si="25"/>
        <v>3</v>
      </c>
      <c r="AK40" s="3">
        <f t="shared" si="26"/>
        <v>11</v>
      </c>
      <c r="AL40" s="3">
        <f t="shared" si="27"/>
        <v>14</v>
      </c>
      <c r="AM40" s="3">
        <f t="shared" si="28"/>
        <v>2</v>
      </c>
      <c r="AN40" s="3">
        <f t="array" ref="AN40">SUMPRODUCT(($C$5:$AG$5=6)*(C40:AG40="off"))</f>
        <v>1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440</v>
      </c>
      <c r="B41" s="6"/>
      <c r="C41" s="88"/>
      <c r="D41" s="88"/>
      <c r="E41" s="88"/>
      <c r="F41" s="88"/>
      <c r="G41" s="33"/>
      <c r="H41" s="33"/>
      <c r="I41" s="33"/>
      <c r="J41" s="33"/>
      <c r="K41" s="33"/>
      <c r="L41" s="33"/>
      <c r="M41" s="33"/>
      <c r="N41" s="33"/>
      <c r="O41" s="33"/>
      <c r="P41" s="366" t="s">
        <v>2</v>
      </c>
      <c r="Q41" s="366" t="s">
        <v>2</v>
      </c>
      <c r="R41" s="366" t="s">
        <v>2</v>
      </c>
      <c r="S41" s="366" t="s">
        <v>2</v>
      </c>
      <c r="T41" s="366" t="s">
        <v>2</v>
      </c>
      <c r="U41" s="366" t="s">
        <v>2</v>
      </c>
      <c r="V41" s="33" t="s">
        <v>2</v>
      </c>
      <c r="W41" s="33" t="s">
        <v>2</v>
      </c>
      <c r="X41" s="83"/>
      <c r="Y41" s="33"/>
      <c r="Z41" s="88"/>
      <c r="AA41" s="88"/>
      <c r="AB41" s="33"/>
      <c r="AC41" s="33"/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33" t="s">
        <v>2</v>
      </c>
      <c r="S42" s="33" t="s">
        <v>2</v>
      </c>
      <c r="T42" s="88"/>
      <c r="U42" s="33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6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4</v>
      </c>
      <c r="F43" s="172">
        <f t="shared" si="30"/>
        <v>4</v>
      </c>
      <c r="G43" s="172">
        <f t="shared" si="30"/>
        <v>4</v>
      </c>
      <c r="H43" s="172">
        <f t="shared" si="30"/>
        <v>4</v>
      </c>
      <c r="I43" s="172">
        <f t="shared" si="30"/>
        <v>4</v>
      </c>
      <c r="J43" s="172">
        <f t="shared" si="30"/>
        <v>6</v>
      </c>
      <c r="K43" s="172">
        <f t="shared" si="30"/>
        <v>4</v>
      </c>
      <c r="L43" s="172">
        <f t="shared" si="30"/>
        <v>4</v>
      </c>
      <c r="M43" s="172">
        <f t="shared" si="30"/>
        <v>4</v>
      </c>
      <c r="N43" s="172">
        <f t="shared" si="30"/>
        <v>4</v>
      </c>
      <c r="O43" s="172">
        <f t="shared" si="30"/>
        <v>4</v>
      </c>
      <c r="P43" s="172">
        <f t="shared" si="30"/>
        <v>6</v>
      </c>
      <c r="Q43" s="172">
        <f t="shared" si="30"/>
        <v>6</v>
      </c>
      <c r="R43" s="172">
        <f t="shared" si="30"/>
        <v>6</v>
      </c>
      <c r="S43" s="172">
        <f t="shared" si="30"/>
        <v>6</v>
      </c>
      <c r="T43" s="172">
        <f t="shared" si="30"/>
        <v>6</v>
      </c>
      <c r="U43" s="172">
        <f t="shared" si="30"/>
        <v>6</v>
      </c>
      <c r="V43" s="172">
        <f t="shared" si="30"/>
        <v>6</v>
      </c>
      <c r="W43" s="172">
        <f t="shared" si="30"/>
        <v>6</v>
      </c>
      <c r="X43" s="172">
        <f t="shared" si="30"/>
        <v>6</v>
      </c>
      <c r="Y43" s="172">
        <f t="shared" si="30"/>
        <v>4</v>
      </c>
      <c r="Z43" s="172">
        <f t="shared" si="30"/>
        <v>4</v>
      </c>
      <c r="AA43" s="172">
        <f t="shared" si="30"/>
        <v>4</v>
      </c>
      <c r="AB43" s="172">
        <f t="shared" si="30"/>
        <v>4</v>
      </c>
      <c r="AC43" s="172">
        <f t="shared" si="30"/>
        <v>4</v>
      </c>
      <c r="AD43" s="172">
        <f t="shared" si="30"/>
        <v>6</v>
      </c>
      <c r="AE43" s="172" t="str">
        <f t="shared" si="30"/>
        <v/>
      </c>
      <c r="AF43" s="172" t="str">
        <f t="shared" si="30"/>
        <v/>
      </c>
      <c r="AG43" s="172" t="str">
        <f t="shared" si="30"/>
        <v/>
      </c>
      <c r="AH43" s="3" t="s">
        <v>391</v>
      </c>
      <c r="AI43" s="3">
        <f>SUM(AI31:AI40)</f>
        <v>8</v>
      </c>
      <c r="AJ43" s="3">
        <f>SUM(AJ31:AJ40)</f>
        <v>10</v>
      </c>
      <c r="AK43" s="3">
        <f>SUM(AK31:AK40)</f>
        <v>83</v>
      </c>
      <c r="AL43" s="3">
        <f>SUM(AL31:AL40)</f>
        <v>183</v>
      </c>
      <c r="AM43" s="3">
        <f>SUM(AM31:AM40)-SUM(AM35:AM36)-SUM(AM41:AM42)</f>
        <v>15</v>
      </c>
      <c r="AN43" s="3">
        <f>SUM(AN31:AN40)</f>
        <v>13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 t="s">
        <v>474</v>
      </c>
      <c r="Q44" s="173" t="s">
        <v>474</v>
      </c>
      <c r="R44" s="173" t="s">
        <v>474</v>
      </c>
      <c r="S44" s="173" t="s">
        <v>474</v>
      </c>
      <c r="T44" s="173" t="s">
        <v>474</v>
      </c>
      <c r="U44" s="173" t="s">
        <v>474</v>
      </c>
      <c r="V44" s="173" t="s">
        <v>474</v>
      </c>
      <c r="W44" s="173" t="s">
        <v>474</v>
      </c>
      <c r="X44" s="173" t="s">
        <v>474</v>
      </c>
      <c r="Y44" s="173"/>
      <c r="Z44" s="173"/>
      <c r="AA44" s="173"/>
      <c r="AB44" s="173"/>
      <c r="AC44" s="173"/>
      <c r="AD44" s="173" t="s">
        <v>472</v>
      </c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1</v>
      </c>
      <c r="D45" s="360">
        <f>COUNTIF(D31:D40,"off")</f>
        <v>2</v>
      </c>
      <c r="E45" s="360">
        <f t="shared" ref="E45:AG45" si="31">COUNTIF(E31:E40,"off")</f>
        <v>0</v>
      </c>
      <c r="F45" s="360">
        <f t="shared" si="31"/>
        <v>1</v>
      </c>
      <c r="G45" s="360">
        <f t="shared" si="31"/>
        <v>1</v>
      </c>
      <c r="H45" s="360">
        <f t="shared" si="31"/>
        <v>1</v>
      </c>
      <c r="I45" s="360">
        <f t="shared" si="31"/>
        <v>1</v>
      </c>
      <c r="J45" s="360">
        <f t="shared" si="31"/>
        <v>1</v>
      </c>
      <c r="K45" s="360">
        <f t="shared" si="31"/>
        <v>4</v>
      </c>
      <c r="L45" s="360">
        <f t="shared" si="31"/>
        <v>4</v>
      </c>
      <c r="M45" s="360">
        <f t="shared" si="31"/>
        <v>3</v>
      </c>
      <c r="N45" s="360">
        <f t="shared" si="31"/>
        <v>3</v>
      </c>
      <c r="O45" s="360">
        <f t="shared" si="31"/>
        <v>4</v>
      </c>
      <c r="P45" s="360">
        <f t="shared" si="31"/>
        <v>9</v>
      </c>
      <c r="Q45" s="360">
        <f t="shared" si="31"/>
        <v>9</v>
      </c>
      <c r="R45" s="360">
        <f t="shared" si="31"/>
        <v>9</v>
      </c>
      <c r="S45" s="360">
        <f t="shared" si="31"/>
        <v>9</v>
      </c>
      <c r="T45" s="360">
        <f t="shared" si="31"/>
        <v>8</v>
      </c>
      <c r="U45" s="360">
        <f t="shared" si="31"/>
        <v>5</v>
      </c>
      <c r="V45" s="360">
        <f t="shared" si="31"/>
        <v>2</v>
      </c>
      <c r="W45" s="360">
        <f t="shared" si="31"/>
        <v>2</v>
      </c>
      <c r="X45" s="360">
        <f t="shared" si="31"/>
        <v>0</v>
      </c>
      <c r="Y45" s="360">
        <f t="shared" si="31"/>
        <v>1</v>
      </c>
      <c r="Z45" s="360">
        <f t="shared" si="31"/>
        <v>0</v>
      </c>
      <c r="AA45" s="360">
        <f t="shared" si="31"/>
        <v>0</v>
      </c>
      <c r="AB45" s="360">
        <f t="shared" si="31"/>
        <v>1</v>
      </c>
      <c r="AC45" s="360">
        <f t="shared" si="31"/>
        <v>1</v>
      </c>
      <c r="AD45" s="360">
        <f t="shared" si="31"/>
        <v>1</v>
      </c>
      <c r="AE45" s="360">
        <f t="shared" si="31"/>
        <v>0</v>
      </c>
      <c r="AF45" s="360">
        <f t="shared" si="31"/>
        <v>0</v>
      </c>
      <c r="AG45" s="360">
        <f t="shared" si="31"/>
        <v>0</v>
      </c>
    </row>
  </sheetData>
  <protectedRanges>
    <protectedRange password="CC6F" sqref="C4:AG5 D1:P2 A29:AG30 AH31:AN43 AR6:AU6 BB4:BC4 BB2:BH2 AR7:AR16 AS7:AU17 C18:AG18 C43:AG43 AH6:AN18" name="範圍1_24_24"/>
  </protectedRanges>
  <mergeCells count="17"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  <mergeCell ref="AH5:AM5"/>
    <mergeCell ref="A26:T26"/>
    <mergeCell ref="A1:C2"/>
    <mergeCell ref="D1:E1"/>
    <mergeCell ref="G1:H1"/>
    <mergeCell ref="J1:K1"/>
    <mergeCell ref="T1:W2"/>
  </mergeCells>
  <phoneticPr fontId="11" type="noConversion"/>
  <conditionalFormatting sqref="AH4">
    <cfRule type="expression" dxfId="435" priority="16" stopIfTrue="1">
      <formula>WEEKDAY(AH$4)=7</formula>
    </cfRule>
    <cfRule type="expression" dxfId="434" priority="17" stopIfTrue="1">
      <formula>WEEKDAY(AH$4)=1</formula>
    </cfRule>
    <cfRule type="expression" dxfId="433" priority="18" stopIfTrue="1">
      <formula>WEEKDAY(AH$4)=7</formula>
    </cfRule>
    <cfRule type="expression" dxfId="432" priority="19" stopIfTrue="1">
      <formula>WEEKDAY(AH$4)=1</formula>
    </cfRule>
  </conditionalFormatting>
  <conditionalFormatting sqref="C43:AG43">
    <cfRule type="expression" dxfId="431" priority="20" stopIfTrue="1">
      <formula>(COUNTIF(C$31:C$42,"off")+COUNTIF(C$31:C$42,"護"))&lt;&gt;C$43</formula>
    </cfRule>
  </conditionalFormatting>
  <conditionalFormatting sqref="C4:AG5 C16:AG17">
    <cfRule type="expression" dxfId="430" priority="14" stopIfTrue="1">
      <formula>WEEKDAY(C$4,2)=6</formula>
    </cfRule>
    <cfRule type="expression" dxfId="429" priority="15" stopIfTrue="1">
      <formula>WEEKDAY(C$4,2)=7</formula>
    </cfRule>
  </conditionalFormatting>
  <conditionalFormatting sqref="CD5">
    <cfRule type="expression" dxfId="428" priority="12" stopIfTrue="1">
      <formula>COUNTIF(#REF!,"D")&lt;&gt;$BV4</formula>
    </cfRule>
  </conditionalFormatting>
  <conditionalFormatting sqref="CF5">
    <cfRule type="expression" dxfId="427" priority="13" stopIfTrue="1">
      <formula>COUNTIF(#REF!,"N")&lt;&gt;#REF!</formula>
    </cfRule>
  </conditionalFormatting>
  <conditionalFormatting sqref="CF14">
    <cfRule type="expression" dxfId="426" priority="21" stopIfTrue="1">
      <formula>COUNTIF($C9:$AH9,"N")&lt;&gt;#REF!</formula>
    </cfRule>
  </conditionalFormatting>
  <conditionalFormatting sqref="CF15">
    <cfRule type="expression" dxfId="425" priority="22" stopIfTrue="1">
      <formula>COUNTIF($C9:$AH9,"N")&lt;&gt;#REF!</formula>
    </cfRule>
  </conditionalFormatting>
  <conditionalFormatting sqref="CD6:CD9">
    <cfRule type="expression" dxfId="424" priority="23" stopIfTrue="1">
      <formula>COUNTIF($C2:$AG2,"D")&lt;&gt;$BV5</formula>
    </cfRule>
  </conditionalFormatting>
  <conditionalFormatting sqref="CF12:CF15">
    <cfRule type="expression" dxfId="423" priority="24" stopIfTrue="1">
      <formula>COUNTIF($C8:$AH8,"N")&lt;&gt;#REF!</formula>
    </cfRule>
  </conditionalFormatting>
  <conditionalFormatting sqref="CD12:CD15">
    <cfRule type="expression" dxfId="422" priority="25" stopIfTrue="1">
      <formula>COUNTIF($C8:$AH8,"D")&lt;&gt;$BV11</formula>
    </cfRule>
  </conditionalFormatting>
  <conditionalFormatting sqref="CF6:CF9">
    <cfRule type="expression" dxfId="421" priority="26" stopIfTrue="1">
      <formula>COUNTIF($C2:$AG2,"N")&lt;&gt;#REF!</formula>
    </cfRule>
  </conditionalFormatting>
  <conditionalFormatting sqref="CF11">
    <cfRule type="expression" dxfId="420" priority="27" stopIfTrue="1">
      <formula>COUNTIF($D7:$AH7,"N")&lt;&gt;#REF!</formula>
    </cfRule>
  </conditionalFormatting>
  <conditionalFormatting sqref="CD11">
    <cfRule type="expression" dxfId="419" priority="28" stopIfTrue="1">
      <formula>COUNTIF($D7:$AH7,"D")&lt;&gt;$BV10</formula>
    </cfRule>
  </conditionalFormatting>
  <conditionalFormatting sqref="AH29">
    <cfRule type="expression" dxfId="418" priority="8" stopIfTrue="1">
      <formula>WEEKDAY(AH$4)=7</formula>
    </cfRule>
    <cfRule type="expression" dxfId="417" priority="9" stopIfTrue="1">
      <formula>WEEKDAY(AH$4)=1</formula>
    </cfRule>
    <cfRule type="expression" dxfId="416" priority="10" stopIfTrue="1">
      <formula>WEEKDAY(AH$4)=7</formula>
    </cfRule>
    <cfRule type="expression" dxfId="415" priority="11" stopIfTrue="1">
      <formula>WEEKDAY(AH$4)=1</formula>
    </cfRule>
  </conditionalFormatting>
  <conditionalFormatting sqref="C29:AG42">
    <cfRule type="expression" dxfId="414" priority="6" stopIfTrue="1">
      <formula>WEEKDAY(C$4,2)=6</formula>
    </cfRule>
    <cfRule type="expression" dxfId="413" priority="7" stopIfTrue="1">
      <formula>WEEKDAY(C$4,2)=7</formula>
    </cfRule>
  </conditionalFormatting>
  <conditionalFormatting sqref="C18:AG18">
    <cfRule type="expression" dxfId="412" priority="5" stopIfTrue="1">
      <formula>(COUNTIF(C$6:C$17,"off")+COUNTIF(C$6:C$17,"護"))&lt;&gt;C$18</formula>
    </cfRule>
  </conditionalFormatting>
  <conditionalFormatting sqref="C6:AG15">
    <cfRule type="expression" dxfId="411" priority="1" stopIfTrue="1">
      <formula>WEEKDAY(C$4,2)=6</formula>
    </cfRule>
    <cfRule type="expression" dxfId="410" priority="2" stopIfTrue="1">
      <formula>WEEKDAY(C$4,2)=7</formula>
    </cfRule>
  </conditionalFormatting>
  <dataValidations count="5">
    <dataValidation type="list" allowBlank="1" sqref="A31:A42 A6:A17" xr:uid="{2CCB1B52-D911-4D8F-B900-C2DD3152F212}">
      <formula1>姓名清單</formula1>
    </dataValidation>
    <dataValidation type="list" allowBlank="1" showInputMessage="1" sqref="A43:A44 A18:A19" xr:uid="{9F8BE9D8-36D6-4971-B6D1-E7251BA97941}">
      <formula1>$CM$11:$CN$11</formula1>
    </dataValidation>
    <dataValidation type="list" allowBlank="1" showInputMessage="1" sqref="C17:AG17 O42:Q42 T42 C41:N42 X41:AG42 V42:W42" xr:uid="{57169952-AD6C-4402-A555-02A9B0AE1030}">
      <formula1>$AI$19:$AI$31</formula1>
    </dataValidation>
    <dataValidation type="list" allowBlank="1" sqref="C16:AG16" xr:uid="{475A4311-6CC8-48E0-AA54-86EE2C4CF766}">
      <formula1>$AI$4:$AK$4</formula1>
    </dataValidation>
    <dataValidation type="list" allowBlank="1" sqref="U31:U42 R31:S42 T31:T41 V31:AG40 V41:W41 O31:Q41 C31:N40 C6:AG15" xr:uid="{D175D8F9-9F12-4C4A-841E-14E99E16C80B}">
      <formula1>$AI$3:$AL$3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1B4CD-E330-4DF6-AC3A-15B4486702AC}">
  <sheetPr codeName="工作表25">
    <pageSetUpPr fitToPage="1"/>
  </sheetPr>
  <dimension ref="A1:CP45"/>
  <sheetViews>
    <sheetView zoomScale="55" zoomScaleNormal="55" workbookViewId="0">
      <selection activeCell="I18" sqref="I18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3 ... 7</v>
      </c>
      <c r="G1" s="381" t="s">
        <v>410</v>
      </c>
      <c r="H1" s="381"/>
      <c r="I1" s="358" t="str">
        <f>BB4</f>
        <v>3 ... 7</v>
      </c>
      <c r="J1" s="381" t="s">
        <v>437</v>
      </c>
      <c r="K1" s="381"/>
      <c r="L1" s="358" t="str">
        <f>BG4</f>
        <v>16 ... 6</v>
      </c>
      <c r="M1" s="99" t="s">
        <v>438</v>
      </c>
      <c r="N1" s="358">
        <f>COUNTIF(C5:AG5,6)</f>
        <v>4</v>
      </c>
      <c r="O1" s="99" t="s">
        <v>439</v>
      </c>
      <c r="P1" s="358">
        <f>COUNTIF(C5:AG5,"日")</f>
        <v>5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3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31</v>
      </c>
      <c r="BC2" s="350">
        <f>DAY(EOMONTH(C4,0))</f>
        <v>31</v>
      </c>
      <c r="BD2" s="350">
        <f>IF(ISBLANK(AY2),COUNTIF(C5:AG5,"6")*(COUNTA(BJ6:BJ17)-AX5-COUNTA(BL6:BL17)),"手動計算填入下方")</f>
        <v>16</v>
      </c>
      <c r="BE2" s="350">
        <f>COUNTIF(C5:AG5,"日")*((COUNTA(BJ6:BJ17))-AX4-AX3-COUNTA(BL6:BL17))</f>
        <v>30</v>
      </c>
      <c r="BF2" s="350">
        <f>IF(ISBLANK(AY2),(SUMPRODUCT(--(C4:AG4&lt;&gt;""))-COUNTIF(C5:AG5,"日")-COUNTIF(C5:AG5,"6")-BH2)*((COUNTA(BJ6:BJ17))-AX5-COUNTA(BL6:BL17)),"手動計算填入下方")</f>
        <v>88</v>
      </c>
      <c r="BG2" s="350">
        <f>IF(ISBLANK(AY2),COUNTIF(C5:AG5,"6")*(COUNTA(BJ6:BJ17)-AX5-COUNTA(BL6:BL17)),BD3)+BE2+BH2*((COUNTA(BJ6:BJ17))-AX2-COUNTA(BL6:BL17))+IF(ISBLANK(AY2),((SUMPRODUCT(--(C4:AG4&lt;&gt;""))-COUNTIF(C5:AG5,"日")-COUNTIF(C5:AG5,"6")-BH2)*((COUNTA(BJ6:BJ17))-AX5-COUNTA(BL6:BL17))),BF3)+BG5</f>
        <v>134</v>
      </c>
      <c r="BH2" s="350">
        <f>COUNTIF(C19:AG19,"*國*")</f>
        <v>0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/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>
        <f>IF(ISBLANK(AY3),COUNTIF(C6:AG6,"6")*(COUNTA(BJ7:BJ18)-AX6-COUNTA(BL7:BL18)),"手動計算填入下方")</f>
        <v>0</v>
      </c>
      <c r="BE3" s="350">
        <f>COUNTIF(C6:AG6,"日")*((COUNTA(BJ7:BJ18))-AX5-AX4-COUNTA(BL7:BL18))</f>
        <v>0</v>
      </c>
      <c r="BF3" s="350">
        <f>IF(ISBLANK(AY3),(SUMPRODUCT(--(C5:AG5&lt;&gt;""))-COUNTIF(C6:AG6,"日")-COUNTIF(C6:AG6,"6")-BH3)*((COUNTA(BJ7:BJ18))-AX6-COUNTA(BL7:BL18)),"手動計算填入下方")</f>
        <v>217</v>
      </c>
      <c r="BG3" s="350">
        <f>IF(ISBLANK(AY3),COUNTIF(C6:AG6,"6")*(COUNTA(BJ7:BJ18)-AX6-COUNTA(BL7:BL18)),BD4)+BE3+BH3*((COUNTA(BJ7:BJ18))-AX3-COUNTA(BL7:BL18))+IF(ISBLANK(AY3),((SUMPRODUCT(--(C5:AG5&lt;&gt;""))-COUNTIF(C6:AG6,"日")-COUNTIF(C6:AG6,"6")-BH3)*((COUNTA(BJ7:BJ18))-AX6-COUNTA(BL7:BL18))),BF4)+BG6</f>
        <v>217</v>
      </c>
      <c r="BH3" s="350"/>
      <c r="BW3" s="13"/>
    </row>
    <row r="4" spans="1:94" ht="20.25" customHeight="1">
      <c r="A4" s="19" t="s">
        <v>1</v>
      </c>
      <c r="B4" s="19"/>
      <c r="C4" s="30">
        <f>DATE($G$2,$J$2,1)</f>
        <v>46082</v>
      </c>
      <c r="D4" s="30">
        <f>C4+1</f>
        <v>46083</v>
      </c>
      <c r="E4" s="30">
        <f t="shared" ref="E4:AC4" si="1">D4+1</f>
        <v>46084</v>
      </c>
      <c r="F4" s="30">
        <f t="shared" si="1"/>
        <v>46085</v>
      </c>
      <c r="G4" s="30">
        <f t="shared" si="1"/>
        <v>46086</v>
      </c>
      <c r="H4" s="30">
        <f t="shared" si="1"/>
        <v>46087</v>
      </c>
      <c r="I4" s="30">
        <f t="shared" si="1"/>
        <v>46088</v>
      </c>
      <c r="J4" s="30">
        <f t="shared" si="1"/>
        <v>46089</v>
      </c>
      <c r="K4" s="30">
        <f t="shared" si="1"/>
        <v>46090</v>
      </c>
      <c r="L4" s="30">
        <f t="shared" si="1"/>
        <v>46091</v>
      </c>
      <c r="M4" s="30">
        <f t="shared" si="1"/>
        <v>46092</v>
      </c>
      <c r="N4" s="30">
        <f t="shared" si="1"/>
        <v>46093</v>
      </c>
      <c r="O4" s="30">
        <f t="shared" si="1"/>
        <v>46094</v>
      </c>
      <c r="P4" s="30">
        <f t="shared" si="1"/>
        <v>46095</v>
      </c>
      <c r="Q4" s="30">
        <f t="shared" si="1"/>
        <v>46096</v>
      </c>
      <c r="R4" s="30">
        <f t="shared" si="1"/>
        <v>46097</v>
      </c>
      <c r="S4" s="30">
        <f t="shared" si="1"/>
        <v>46098</v>
      </c>
      <c r="T4" s="30">
        <f t="shared" si="1"/>
        <v>46099</v>
      </c>
      <c r="U4" s="30">
        <f t="shared" si="1"/>
        <v>46100</v>
      </c>
      <c r="V4" s="30">
        <f t="shared" si="1"/>
        <v>46101</v>
      </c>
      <c r="W4" s="30">
        <f t="shared" si="1"/>
        <v>46102</v>
      </c>
      <c r="X4" s="30">
        <f t="shared" si="1"/>
        <v>46103</v>
      </c>
      <c r="Y4" s="30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0">
        <f>IFERROR(IF(MONTH(AC4+1)=$J$2,AC4+1,""),"")</f>
        <v>46109</v>
      </c>
      <c r="AE4" s="30">
        <f>IFERROR(IF(MONTH(AD4+1)=$J$2,AD4+1,""),"")</f>
        <v>46110</v>
      </c>
      <c r="AF4" s="30">
        <f>IFERROR(IF(MONTH(AE4+1)=$J$2,AE4+1,""),"")</f>
        <v>46111</v>
      </c>
      <c r="AG4" s="30">
        <f>IFERROR(IF(MONTH(AF4+1)=$J$2,AF4+1,""),"")</f>
        <v>46112</v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3 ... 7</v>
      </c>
      <c r="BC4" s="350" t="str">
        <f>QUOTIENT((COUNTA(C4:AG4)-COUNTIF(AE4:AG4,"")),COUNTA(BJ6:BJ15)-COUNTA(BL6:BL17))&amp;" ... "&amp;MOD((COUNTA(C4:AG4)-COUNTIF(AE4:AG4,"")),COUNTA(BJ6:BJ15)-COUNTA(BL6:BL17))</f>
        <v>3 ... 7</v>
      </c>
      <c r="BD4" s="350"/>
      <c r="BE4" s="350"/>
      <c r="BF4" s="350"/>
      <c r="BG4" s="350" t="str">
        <f>QUOTIENT(BG2,COUNTA(BJ6:BJ17)-COUNTA(BL6:BL17))&amp;" ... "&amp;MOD(BG2,COUNTA(BJ6:BJ17)-COUNTA(BL6:BL17))</f>
        <v>16 ... 6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 t="str">
        <f t="shared" ref="C5:AG5" si="2">IFERROR(IF(WEEKDAY(C4,2)=7,"日",WEEKDAY(C4,2)),"")</f>
        <v>日</v>
      </c>
      <c r="D5" s="31">
        <f>IFERROR(IF(WEEKDAY(D4,2)=7,"日",WEEKDAY(D4,2)),"")</f>
        <v>1</v>
      </c>
      <c r="E5" s="31">
        <f t="shared" si="2"/>
        <v>2</v>
      </c>
      <c r="F5" s="31">
        <f t="shared" si="2"/>
        <v>3</v>
      </c>
      <c r="G5" s="31">
        <f t="shared" si="2"/>
        <v>4</v>
      </c>
      <c r="H5" s="31">
        <f t="shared" si="2"/>
        <v>5</v>
      </c>
      <c r="I5" s="31">
        <f t="shared" si="2"/>
        <v>6</v>
      </c>
      <c r="J5" s="31" t="str">
        <f t="shared" si="2"/>
        <v>日</v>
      </c>
      <c r="K5" s="31">
        <f t="shared" si="2"/>
        <v>1</v>
      </c>
      <c r="L5" s="31">
        <f t="shared" si="2"/>
        <v>2</v>
      </c>
      <c r="M5" s="31">
        <f t="shared" si="2"/>
        <v>3</v>
      </c>
      <c r="N5" s="31">
        <f t="shared" si="2"/>
        <v>4</v>
      </c>
      <c r="O5" s="31">
        <f t="shared" si="2"/>
        <v>5</v>
      </c>
      <c r="P5" s="31">
        <f t="shared" si="2"/>
        <v>6</v>
      </c>
      <c r="Q5" s="31" t="str">
        <f t="shared" si="2"/>
        <v>日</v>
      </c>
      <c r="R5" s="31">
        <f t="shared" si="2"/>
        <v>1</v>
      </c>
      <c r="S5" s="31">
        <f t="shared" si="2"/>
        <v>2</v>
      </c>
      <c r="T5" s="31">
        <f t="shared" si="2"/>
        <v>3</v>
      </c>
      <c r="U5" s="31">
        <f t="shared" si="2"/>
        <v>4</v>
      </c>
      <c r="V5" s="31">
        <f t="shared" si="2"/>
        <v>5</v>
      </c>
      <c r="W5" s="31">
        <f t="shared" si="2"/>
        <v>6</v>
      </c>
      <c r="X5" s="31" t="str">
        <f t="shared" si="2"/>
        <v>日</v>
      </c>
      <c r="Y5" s="31">
        <f t="shared" si="2"/>
        <v>1</v>
      </c>
      <c r="Z5" s="31">
        <f t="shared" si="2"/>
        <v>2</v>
      </c>
      <c r="AA5" s="31">
        <f t="shared" si="2"/>
        <v>3</v>
      </c>
      <c r="AB5" s="31">
        <f t="shared" si="2"/>
        <v>4</v>
      </c>
      <c r="AC5" s="31">
        <f t="shared" si="2"/>
        <v>5</v>
      </c>
      <c r="AD5" s="31">
        <f t="shared" si="2"/>
        <v>6</v>
      </c>
      <c r="AE5" s="31" t="str">
        <f t="shared" si="2"/>
        <v>日</v>
      </c>
      <c r="AF5" s="31">
        <f t="shared" si="2"/>
        <v>1</v>
      </c>
      <c r="AG5" s="31">
        <f t="shared" si="2"/>
        <v>2</v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3" t="s">
        <v>2</v>
      </c>
      <c r="D6" s="62" t="s">
        <v>6</v>
      </c>
      <c r="E6" s="62" t="s">
        <v>6</v>
      </c>
      <c r="F6" s="62" t="s">
        <v>6</v>
      </c>
      <c r="G6" s="62" t="s">
        <v>6</v>
      </c>
      <c r="H6" s="33" t="s">
        <v>2</v>
      </c>
      <c r="I6" s="33" t="s">
        <v>4</v>
      </c>
      <c r="J6" s="33" t="s">
        <v>2</v>
      </c>
      <c r="K6" s="201" t="s">
        <v>7</v>
      </c>
      <c r="L6" s="33"/>
      <c r="M6" s="33" t="s">
        <v>2</v>
      </c>
      <c r="N6" s="33" t="s">
        <v>2</v>
      </c>
      <c r="O6" s="33" t="s">
        <v>2</v>
      </c>
      <c r="P6" s="33" t="s">
        <v>2</v>
      </c>
      <c r="Q6" s="33" t="s">
        <v>2</v>
      </c>
      <c r="R6" s="33" t="s">
        <v>2</v>
      </c>
      <c r="S6" s="33" t="s">
        <v>2</v>
      </c>
      <c r="T6" s="33"/>
      <c r="U6" s="33" t="s">
        <v>7</v>
      </c>
      <c r="V6" s="33" t="s">
        <v>2</v>
      </c>
      <c r="W6" s="62"/>
      <c r="X6" s="33" t="s">
        <v>7</v>
      </c>
      <c r="Y6" s="33"/>
      <c r="Z6" s="33" t="s">
        <v>2</v>
      </c>
      <c r="AA6" s="33" t="s">
        <v>2</v>
      </c>
      <c r="AB6" s="33"/>
      <c r="AC6" s="33"/>
      <c r="AD6" s="33" t="s">
        <v>2</v>
      </c>
      <c r="AE6" s="33" t="s">
        <v>2</v>
      </c>
      <c r="AF6" s="33" t="s">
        <v>7</v>
      </c>
      <c r="AG6" s="33" t="s">
        <v>2</v>
      </c>
      <c r="AH6" s="3">
        <f t="shared" ref="AH6:AH17" si="3">(AI6*12)+(AJ6*12)+(AL6*8)+(AM6*4)</f>
        <v>140</v>
      </c>
      <c r="AI6" s="3">
        <f>COUNTIF(C6:AG6,"D")+COUNTIF(C6:AG6,"NrsD")</f>
        <v>4</v>
      </c>
      <c r="AJ6" s="3">
        <f>COUNTIF(C6:AG6,"N")</f>
        <v>4</v>
      </c>
      <c r="AK6" s="3">
        <f>COUNTIF(C6:AG6,"OFF")+COUNTIF(C6:AG6,"上課")</f>
        <v>17</v>
      </c>
      <c r="AL6" s="3">
        <f>COUNTIF(C6:AG6,"")-AM6+COUNTIF(C6:AG6,"h3")</f>
        <v>5</v>
      </c>
      <c r="AM6" s="3">
        <f>COUNTIFS($C$5:$AG$5,"6",C6:AG6,"")+COUNTIF(C6:AG6,"h3")</f>
        <v>1</v>
      </c>
      <c r="AN6" s="3">
        <f t="array" ref="AN6">SUMPRODUCT(($C$5:$AG$5=6)*(C6:AG6="off"))</f>
        <v>3</v>
      </c>
      <c r="AO6" s="3" t="s">
        <v>404</v>
      </c>
      <c r="AP6" s="3" t="s">
        <v>56</v>
      </c>
      <c r="AQ6" s="12"/>
      <c r="AR6" s="256">
        <f>BN6</f>
        <v>4</v>
      </c>
      <c r="AS6" s="256">
        <f>BP6</f>
        <v>4</v>
      </c>
      <c r="AT6" s="256">
        <f>BR6</f>
        <v>17</v>
      </c>
      <c r="AU6" s="256">
        <f>BT6</f>
        <v>0</v>
      </c>
      <c r="AV6" s="91"/>
      <c r="BJ6" s="348" t="s">
        <v>384</v>
      </c>
      <c r="BK6" s="348" t="str">
        <f>A31</f>
        <v>B黃郁芳</v>
      </c>
      <c r="BL6" s="348"/>
      <c r="BM6" s="348"/>
      <c r="BN6" s="348">
        <v>4</v>
      </c>
      <c r="BO6" s="348"/>
      <c r="BP6" s="348">
        <v>4</v>
      </c>
      <c r="BQ6" s="348" t="s">
        <v>448</v>
      </c>
      <c r="BR6" s="348">
        <v>17</v>
      </c>
      <c r="BS6" s="348"/>
      <c r="BT6" s="348">
        <v>0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3" t="s">
        <v>2</v>
      </c>
      <c r="D7" s="33" t="s">
        <v>2</v>
      </c>
      <c r="E7" s="33" t="s">
        <v>2</v>
      </c>
      <c r="F7" s="33" t="s">
        <v>2</v>
      </c>
      <c r="G7" s="33" t="s">
        <v>2</v>
      </c>
      <c r="H7" s="33" t="s">
        <v>2</v>
      </c>
      <c r="I7" s="33" t="s">
        <v>2</v>
      </c>
      <c r="J7" s="33" t="s">
        <v>2</v>
      </c>
      <c r="K7" s="33"/>
      <c r="L7" s="33" t="s">
        <v>6</v>
      </c>
      <c r="M7" s="33" t="s">
        <v>6</v>
      </c>
      <c r="N7" s="33" t="s">
        <v>6</v>
      </c>
      <c r="O7" s="33" t="s">
        <v>2</v>
      </c>
      <c r="P7" s="62" t="s">
        <v>2</v>
      </c>
      <c r="Q7" s="33" t="s">
        <v>7</v>
      </c>
      <c r="R7" s="33"/>
      <c r="S7" s="33" t="s">
        <v>7</v>
      </c>
      <c r="T7" s="33"/>
      <c r="U7" s="33" t="s">
        <v>2</v>
      </c>
      <c r="V7" s="33" t="s">
        <v>2</v>
      </c>
      <c r="W7" s="33"/>
      <c r="X7" s="33" t="s">
        <v>2</v>
      </c>
      <c r="Y7" s="33" t="s">
        <v>2</v>
      </c>
      <c r="Z7" s="33" t="s">
        <v>7</v>
      </c>
      <c r="AA7" s="33"/>
      <c r="AB7" s="33"/>
      <c r="AC7" s="33" t="s">
        <v>2</v>
      </c>
      <c r="AD7" s="33" t="s">
        <v>7</v>
      </c>
      <c r="AE7" s="33" t="s">
        <v>2</v>
      </c>
      <c r="AF7" s="33" t="s">
        <v>6</v>
      </c>
      <c r="AG7" s="62" t="s">
        <v>2</v>
      </c>
      <c r="AH7" s="3">
        <f t="shared" si="3"/>
        <v>140</v>
      </c>
      <c r="AI7" s="3">
        <f>COUNTIF(C7:AG7,"D")+COUNTIF(C7:AG7,"NrsD")</f>
        <v>4</v>
      </c>
      <c r="AJ7" s="3">
        <f>COUNTIF(C7:AG7,"N")</f>
        <v>4</v>
      </c>
      <c r="AK7" s="3">
        <f>COUNTIF(C7:AG7,"OFF")+COUNTIF(C7:AG7,"上課")</f>
        <v>17</v>
      </c>
      <c r="AL7" s="3">
        <f>COUNTIF(C7:AG7,"")-AM7+COUNTIF(C7:AG7,"h3")</f>
        <v>5</v>
      </c>
      <c r="AM7" s="3">
        <f>COUNTIFS($C$5:$AG$5,"6",C7:AG7,"")+COUNTIF(C7:AG7,"h3")</f>
        <v>1</v>
      </c>
      <c r="AN7" s="3">
        <f t="array" ref="AN7">SUMPRODUCT(($C$5:$AG$5=6)*(C7:AG7="off"))</f>
        <v>2</v>
      </c>
      <c r="AO7" s="3" t="s">
        <v>406</v>
      </c>
      <c r="AP7" s="3" t="s">
        <v>84</v>
      </c>
      <c r="AQ7" s="12"/>
      <c r="AR7" s="256">
        <f t="shared" ref="AR7:AR17" si="5">BN7</f>
        <v>4</v>
      </c>
      <c r="AS7" s="256">
        <f t="shared" ref="AS7:AS17" si="6">BP7</f>
        <v>4</v>
      </c>
      <c r="AT7" s="256">
        <f t="shared" ref="AT7:AT17" si="7">BR7</f>
        <v>17</v>
      </c>
      <c r="AU7" s="256">
        <f t="shared" ref="AU7:AU17" si="8">BT7</f>
        <v>0</v>
      </c>
      <c r="BJ7" s="348" t="s">
        <v>384</v>
      </c>
      <c r="BK7" s="348" t="str">
        <f t="shared" ref="BK7:BK17" si="9">A32</f>
        <v>C詹絲庭</v>
      </c>
      <c r="BL7" s="348"/>
      <c r="BM7" s="348"/>
      <c r="BN7" s="348">
        <v>4</v>
      </c>
      <c r="BO7" s="348"/>
      <c r="BP7" s="348">
        <v>4</v>
      </c>
      <c r="BQ7" s="348"/>
      <c r="BR7" s="348">
        <v>17</v>
      </c>
      <c r="BS7" s="348" t="s">
        <v>419</v>
      </c>
      <c r="BT7" s="348">
        <v>0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3" t="s">
        <v>6</v>
      </c>
      <c r="D8" s="33" t="s">
        <v>2</v>
      </c>
      <c r="E8" s="33" t="s">
        <v>2</v>
      </c>
      <c r="F8" s="33" t="s">
        <v>2</v>
      </c>
      <c r="G8" s="33" t="s">
        <v>2</v>
      </c>
      <c r="H8" s="33" t="s">
        <v>2</v>
      </c>
      <c r="I8" s="33" t="s">
        <v>7</v>
      </c>
      <c r="J8" s="33" t="s">
        <v>2</v>
      </c>
      <c r="K8" s="33" t="s">
        <v>2</v>
      </c>
      <c r="L8" s="33" t="s">
        <v>7</v>
      </c>
      <c r="M8" s="33"/>
      <c r="N8" s="33" t="s">
        <v>7</v>
      </c>
      <c r="O8" s="33"/>
      <c r="P8" s="62" t="s">
        <v>2</v>
      </c>
      <c r="Q8" s="33" t="s">
        <v>2</v>
      </c>
      <c r="R8" s="33" t="s">
        <v>2</v>
      </c>
      <c r="S8" s="33" t="s">
        <v>6</v>
      </c>
      <c r="T8" s="33" t="s">
        <v>6</v>
      </c>
      <c r="U8" s="33" t="s">
        <v>6</v>
      </c>
      <c r="V8" s="33" t="s">
        <v>2</v>
      </c>
      <c r="W8" s="33" t="s">
        <v>2</v>
      </c>
      <c r="X8" s="33" t="s">
        <v>2</v>
      </c>
      <c r="Y8" s="33" t="s">
        <v>2</v>
      </c>
      <c r="Z8" s="33" t="s">
        <v>2</v>
      </c>
      <c r="AA8" s="201"/>
      <c r="AB8" s="33" t="s">
        <v>2</v>
      </c>
      <c r="AC8" s="33" t="s">
        <v>7</v>
      </c>
      <c r="AD8" s="33"/>
      <c r="AE8" s="33" t="s">
        <v>2</v>
      </c>
      <c r="AF8" s="33"/>
      <c r="AG8" s="33"/>
      <c r="AH8" s="3">
        <f t="shared" si="3"/>
        <v>140</v>
      </c>
      <c r="AI8" s="3">
        <f>COUNTIF(C8:AG8,"D")+COUNTIF(C8:AG8,"NrsD")</f>
        <v>4</v>
      </c>
      <c r="AJ8" s="3">
        <f t="shared" ref="AJ8:AJ17" si="11">COUNTIF(C8:AG8,"N")</f>
        <v>4</v>
      </c>
      <c r="AK8" s="3">
        <f t="shared" ref="AK8:AK17" si="12">COUNTIF(C8:AG8,"OFF")+COUNTIF(C8:AG8,"上課")</f>
        <v>17</v>
      </c>
      <c r="AL8" s="3">
        <f t="shared" ref="AL8:AL17" si="13">COUNTIF(C8:AG8,"")-AM8+COUNTIF(C8:AG8,"h3")</f>
        <v>5</v>
      </c>
      <c r="AM8" s="3">
        <f t="shared" ref="AM8:AM17" si="14">COUNTIFS($C$5:$AG$5,"6",C8:AG8,"")+COUNTIF(C8:AG8,"h3")</f>
        <v>1</v>
      </c>
      <c r="AN8" s="3">
        <f t="array" ref="AN8">SUMPRODUCT(($C$5:$AG$5=6)*(C8:AG8="off"))</f>
        <v>2</v>
      </c>
      <c r="AO8" s="3" t="s">
        <v>407</v>
      </c>
      <c r="AP8" s="3" t="s">
        <v>90</v>
      </c>
      <c r="AQ8" s="12"/>
      <c r="AR8" s="256">
        <f t="shared" si="5"/>
        <v>4</v>
      </c>
      <c r="AS8" s="256">
        <f t="shared" si="6"/>
        <v>4</v>
      </c>
      <c r="AT8" s="256">
        <f t="shared" si="7"/>
        <v>17</v>
      </c>
      <c r="AU8" s="256">
        <f t="shared" si="8"/>
        <v>0</v>
      </c>
      <c r="BJ8" s="348" t="s">
        <v>384</v>
      </c>
      <c r="BK8" s="348" t="str">
        <f t="shared" si="9"/>
        <v>D王子建</v>
      </c>
      <c r="BL8" s="348"/>
      <c r="BM8" s="348"/>
      <c r="BN8" s="348">
        <v>4</v>
      </c>
      <c r="BO8" s="348" t="s">
        <v>419</v>
      </c>
      <c r="BP8" s="348">
        <v>4</v>
      </c>
      <c r="BQ8" s="348"/>
      <c r="BR8" s="348">
        <v>17</v>
      </c>
      <c r="BS8" s="348" t="s">
        <v>448</v>
      </c>
      <c r="BT8" s="348">
        <v>0</v>
      </c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3" t="s">
        <v>2</v>
      </c>
      <c r="D9" s="33" t="s">
        <v>2</v>
      </c>
      <c r="E9" s="33" t="s">
        <v>2</v>
      </c>
      <c r="F9" s="33" t="s">
        <v>2</v>
      </c>
      <c r="G9" s="33" t="s">
        <v>7</v>
      </c>
      <c r="H9" s="33"/>
      <c r="I9" s="33" t="s">
        <v>6</v>
      </c>
      <c r="J9" s="33" t="s">
        <v>6</v>
      </c>
      <c r="K9" s="33" t="s">
        <v>6</v>
      </c>
      <c r="L9" s="33" t="s">
        <v>2</v>
      </c>
      <c r="M9" s="33" t="s">
        <v>2</v>
      </c>
      <c r="N9" s="33" t="s">
        <v>2</v>
      </c>
      <c r="O9" s="33" t="s">
        <v>2</v>
      </c>
      <c r="P9" s="62" t="s">
        <v>2</v>
      </c>
      <c r="Q9" s="33" t="s">
        <v>2</v>
      </c>
      <c r="R9" s="33"/>
      <c r="S9" s="33"/>
      <c r="T9" s="33" t="s">
        <v>2</v>
      </c>
      <c r="U9" s="33"/>
      <c r="V9" s="33"/>
      <c r="W9" s="33" t="s">
        <v>7</v>
      </c>
      <c r="X9" s="33" t="s">
        <v>2</v>
      </c>
      <c r="Y9" s="33"/>
      <c r="Z9" s="33"/>
      <c r="AA9" s="33" t="s">
        <v>2</v>
      </c>
      <c r="AB9" s="33" t="s">
        <v>2</v>
      </c>
      <c r="AC9" s="33" t="s">
        <v>2</v>
      </c>
      <c r="AD9" s="62" t="s">
        <v>2</v>
      </c>
      <c r="AE9" s="33" t="s">
        <v>2</v>
      </c>
      <c r="AF9" s="33" t="s">
        <v>2</v>
      </c>
      <c r="AG9" s="33"/>
      <c r="AH9" s="3">
        <f t="shared" si="3"/>
        <v>124</v>
      </c>
      <c r="AI9" s="3">
        <f t="shared" ref="AI9:AI15" si="15">COUNTIF(C9:AG9,"D")+COUNTIF(C9:AG9,"NrsD")</f>
        <v>2</v>
      </c>
      <c r="AJ9" s="3">
        <f t="shared" si="11"/>
        <v>3</v>
      </c>
      <c r="AK9" s="3">
        <f t="shared" si="12"/>
        <v>18</v>
      </c>
      <c r="AL9" s="3">
        <f t="shared" si="13"/>
        <v>8</v>
      </c>
      <c r="AM9" s="3">
        <f t="shared" si="14"/>
        <v>0</v>
      </c>
      <c r="AN9" s="3">
        <f t="array" ref="AN9">SUMPRODUCT(($C$5:$AG$5=6)*(C9:AG9="off"))</f>
        <v>2</v>
      </c>
      <c r="AO9" s="3" t="s">
        <v>405</v>
      </c>
      <c r="AP9" s="3" t="s">
        <v>72</v>
      </c>
      <c r="AQ9" s="12"/>
      <c r="AR9" s="256">
        <f t="shared" si="5"/>
        <v>4</v>
      </c>
      <c r="AS9" s="256">
        <f t="shared" si="6"/>
        <v>3</v>
      </c>
      <c r="AT9" s="256">
        <f t="shared" si="7"/>
        <v>17</v>
      </c>
      <c r="AU9" s="256">
        <f t="shared" si="8"/>
        <v>0</v>
      </c>
      <c r="BJ9" s="348" t="s">
        <v>384</v>
      </c>
      <c r="BK9" s="348" t="str">
        <f t="shared" si="9"/>
        <v>E詹雅慈</v>
      </c>
      <c r="BL9" s="348"/>
      <c r="BM9" s="348"/>
      <c r="BN9" s="348">
        <v>4</v>
      </c>
      <c r="BO9" s="348"/>
      <c r="BP9" s="348">
        <v>3</v>
      </c>
      <c r="BQ9" s="348"/>
      <c r="BR9" s="348">
        <v>17</v>
      </c>
      <c r="BS9" s="348"/>
      <c r="BT9" s="348">
        <v>0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10"/>
        <v>F丁韋綸</v>
      </c>
      <c r="B10" s="338" t="str">
        <f t="shared" si="4"/>
        <v>X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">
        <f t="shared" si="3"/>
        <v>232</v>
      </c>
      <c r="AI10" s="3">
        <f t="shared" si="15"/>
        <v>0</v>
      </c>
      <c r="AJ10" s="3">
        <f t="shared" si="11"/>
        <v>0</v>
      </c>
      <c r="AK10" s="3">
        <f t="shared" si="12"/>
        <v>0</v>
      </c>
      <c r="AL10" s="3">
        <f t="shared" si="13"/>
        <v>27</v>
      </c>
      <c r="AM10" s="3">
        <f t="shared" si="14"/>
        <v>4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10"/>
        <v>G陳盈潔</v>
      </c>
      <c r="B11" s="338" t="str">
        <f t="shared" si="4"/>
        <v>X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">
        <f t="shared" si="3"/>
        <v>232</v>
      </c>
      <c r="AI11" s="3">
        <f t="shared" si="15"/>
        <v>0</v>
      </c>
      <c r="AJ11" s="3">
        <f t="shared" si="11"/>
        <v>0</v>
      </c>
      <c r="AK11" s="3">
        <f t="shared" si="12"/>
        <v>0</v>
      </c>
      <c r="AL11" s="3">
        <f t="shared" si="13"/>
        <v>27</v>
      </c>
      <c r="AM11" s="3">
        <f t="shared" si="14"/>
        <v>4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3.25" customHeight="1">
      <c r="A12" s="6" t="str">
        <f t="shared" si="10"/>
        <v>H張心柔</v>
      </c>
      <c r="B12" s="338" t="str">
        <f t="shared" si="4"/>
        <v/>
      </c>
      <c r="C12" s="33" t="s">
        <v>2</v>
      </c>
      <c r="D12" s="33" t="s">
        <v>2</v>
      </c>
      <c r="E12" s="33" t="s">
        <v>2</v>
      </c>
      <c r="F12" s="33" t="s">
        <v>7</v>
      </c>
      <c r="G12" s="33"/>
      <c r="H12" s="33" t="s">
        <v>7</v>
      </c>
      <c r="I12" s="33"/>
      <c r="J12" s="33" t="s">
        <v>2</v>
      </c>
      <c r="K12" s="33" t="s">
        <v>2</v>
      </c>
      <c r="L12" s="33" t="s">
        <v>2</v>
      </c>
      <c r="M12" s="33" t="s">
        <v>2</v>
      </c>
      <c r="N12" s="33" t="s">
        <v>2</v>
      </c>
      <c r="O12" s="33" t="s">
        <v>6</v>
      </c>
      <c r="P12" s="33" t="s">
        <v>6</v>
      </c>
      <c r="Q12" s="33" t="s">
        <v>6</v>
      </c>
      <c r="R12" s="33" t="s">
        <v>6</v>
      </c>
      <c r="S12" s="33" t="s">
        <v>2</v>
      </c>
      <c r="T12" s="33" t="s">
        <v>2</v>
      </c>
      <c r="U12" s="33" t="s">
        <v>2</v>
      </c>
      <c r="V12" s="33" t="s">
        <v>6</v>
      </c>
      <c r="W12" s="62" t="s">
        <v>2</v>
      </c>
      <c r="X12" s="33" t="s">
        <v>2</v>
      </c>
      <c r="Y12" s="33" t="s">
        <v>7</v>
      </c>
      <c r="Z12" s="33"/>
      <c r="AA12" s="33" t="s">
        <v>7</v>
      </c>
      <c r="AB12" s="33" t="s">
        <v>2</v>
      </c>
      <c r="AC12" s="33" t="s">
        <v>2</v>
      </c>
      <c r="AD12" s="62" t="s">
        <v>2</v>
      </c>
      <c r="AE12" s="33" t="s">
        <v>2</v>
      </c>
      <c r="AF12" s="33"/>
      <c r="AG12" s="62" t="s">
        <v>7</v>
      </c>
      <c r="AH12" s="3">
        <f t="shared" si="3"/>
        <v>148</v>
      </c>
      <c r="AI12" s="3">
        <f t="shared" si="15"/>
        <v>5</v>
      </c>
      <c r="AJ12" s="3">
        <f t="shared" si="11"/>
        <v>5</v>
      </c>
      <c r="AK12" s="3">
        <f t="shared" si="12"/>
        <v>17</v>
      </c>
      <c r="AL12" s="3">
        <f t="shared" si="13"/>
        <v>3</v>
      </c>
      <c r="AM12" s="3">
        <f t="shared" si="14"/>
        <v>1</v>
      </c>
      <c r="AN12" s="3">
        <f t="array" ref="AN12">SUMPRODUCT(($C$5:$AG$5=6)*(C12:AG12="off"))</f>
        <v>2</v>
      </c>
      <c r="AO12" s="3" t="s">
        <v>408</v>
      </c>
      <c r="AP12" s="3" t="s">
        <v>95</v>
      </c>
      <c r="AQ12" s="12"/>
      <c r="AR12" s="256">
        <f t="shared" si="5"/>
        <v>4</v>
      </c>
      <c r="AS12" s="256">
        <f t="shared" si="6"/>
        <v>4</v>
      </c>
      <c r="AT12" s="256">
        <f t="shared" si="7"/>
        <v>17</v>
      </c>
      <c r="AU12" s="256">
        <f t="shared" si="8"/>
        <v>0</v>
      </c>
      <c r="BJ12" s="348" t="s">
        <v>384</v>
      </c>
      <c r="BK12" s="348" t="str">
        <f t="shared" si="9"/>
        <v>H張心柔</v>
      </c>
      <c r="BL12" s="348"/>
      <c r="BM12" s="348" t="s">
        <v>419</v>
      </c>
      <c r="BN12" s="348">
        <v>4</v>
      </c>
      <c r="BO12" s="348" t="s">
        <v>448</v>
      </c>
      <c r="BP12" s="348">
        <v>4</v>
      </c>
      <c r="BQ12" s="348"/>
      <c r="BR12" s="348">
        <v>17</v>
      </c>
      <c r="BS12" s="348"/>
      <c r="BT12" s="348">
        <v>0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L陳咨希</v>
      </c>
      <c r="B13" s="338" t="str">
        <f t="shared" si="4"/>
        <v/>
      </c>
      <c r="C13" s="373"/>
      <c r="D13" s="373"/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73"/>
      <c r="P13" s="373"/>
      <c r="Q13" s="373"/>
      <c r="R13" s="33" t="s">
        <v>2</v>
      </c>
      <c r="S13" s="33" t="s">
        <v>2</v>
      </c>
      <c r="T13" s="33" t="s">
        <v>2</v>
      </c>
      <c r="U13" s="33" t="s">
        <v>4</v>
      </c>
      <c r="V13" s="33"/>
      <c r="W13" s="33" t="s">
        <v>6</v>
      </c>
      <c r="X13" s="33" t="s">
        <v>6</v>
      </c>
      <c r="Y13" s="33" t="s">
        <v>6</v>
      </c>
      <c r="Z13" s="33" t="s">
        <v>2</v>
      </c>
      <c r="AA13" s="33" t="s">
        <v>2</v>
      </c>
      <c r="AB13" s="33" t="s">
        <v>7</v>
      </c>
      <c r="AC13" s="33"/>
      <c r="AD13" s="62" t="s">
        <v>2</v>
      </c>
      <c r="AE13" s="33" t="s">
        <v>2</v>
      </c>
      <c r="AF13" s="62" t="s">
        <v>2</v>
      </c>
      <c r="AG13" s="62" t="s">
        <v>6</v>
      </c>
      <c r="AH13" s="3">
        <f t="shared" si="3"/>
        <v>188</v>
      </c>
      <c r="AI13" s="3">
        <f t="shared" si="15"/>
        <v>1</v>
      </c>
      <c r="AJ13" s="3">
        <f t="shared" si="11"/>
        <v>4</v>
      </c>
      <c r="AK13" s="3">
        <f t="shared" si="12"/>
        <v>9</v>
      </c>
      <c r="AL13" s="3">
        <f t="shared" si="13"/>
        <v>15</v>
      </c>
      <c r="AM13" s="3">
        <f t="shared" si="14"/>
        <v>2</v>
      </c>
      <c r="AN13" s="3">
        <f t="array" ref="AN13">SUMPRODUCT(($C$5:$AG$5=6)*(C13:AG13="off"))</f>
        <v>1</v>
      </c>
      <c r="AP13" s="3"/>
      <c r="AQ13" s="12"/>
      <c r="AR13" s="256">
        <f t="shared" si="5"/>
        <v>3</v>
      </c>
      <c r="AS13" s="256">
        <f t="shared" si="6"/>
        <v>4</v>
      </c>
      <c r="AT13" s="256">
        <f t="shared" si="7"/>
        <v>17</v>
      </c>
      <c r="AU13" s="256">
        <f t="shared" si="8"/>
        <v>0</v>
      </c>
      <c r="BJ13" s="348" t="s">
        <v>384</v>
      </c>
      <c r="BK13" s="348" t="str">
        <f t="shared" si="9"/>
        <v>L陳咨希</v>
      </c>
      <c r="BL13" s="348"/>
      <c r="BM13" s="348"/>
      <c r="BN13" s="348">
        <v>3</v>
      </c>
      <c r="BO13" s="348"/>
      <c r="BP13" s="348">
        <v>4</v>
      </c>
      <c r="BQ13" s="348" t="s">
        <v>419</v>
      </c>
      <c r="BR13" s="348">
        <v>17</v>
      </c>
      <c r="BS13" s="348"/>
      <c r="BT13" s="348">
        <v>0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10"/>
        <v>J林瑋嫻</v>
      </c>
      <c r="B14" s="338" t="str">
        <f t="shared" si="4"/>
        <v/>
      </c>
      <c r="C14" s="33" t="s">
        <v>2</v>
      </c>
      <c r="D14" s="33" t="s">
        <v>7</v>
      </c>
      <c r="E14" s="33"/>
      <c r="F14" s="33"/>
      <c r="G14" s="33" t="s">
        <v>2</v>
      </c>
      <c r="H14" s="33" t="s">
        <v>6</v>
      </c>
      <c r="I14" s="33" t="s">
        <v>2</v>
      </c>
      <c r="J14" s="33" t="s">
        <v>2</v>
      </c>
      <c r="K14" s="33" t="s">
        <v>2</v>
      </c>
      <c r="L14" s="33" t="s">
        <v>2</v>
      </c>
      <c r="M14" s="33"/>
      <c r="N14" s="33"/>
      <c r="O14" s="33"/>
      <c r="P14" s="33" t="s">
        <v>3</v>
      </c>
      <c r="Q14" s="33" t="s">
        <v>2</v>
      </c>
      <c r="R14" s="33" t="s">
        <v>3</v>
      </c>
      <c r="S14" s="33"/>
      <c r="T14" s="33" t="s">
        <v>2</v>
      </c>
      <c r="U14" s="33" t="s">
        <v>2</v>
      </c>
      <c r="V14" s="33" t="s">
        <v>7</v>
      </c>
      <c r="W14" s="33" t="s">
        <v>2</v>
      </c>
      <c r="X14" s="33" t="s">
        <v>2</v>
      </c>
      <c r="Y14" s="33" t="s">
        <v>2</v>
      </c>
      <c r="Z14" s="33" t="s">
        <v>6</v>
      </c>
      <c r="AA14" s="33" t="s">
        <v>6</v>
      </c>
      <c r="AB14" s="62" t="s">
        <v>2</v>
      </c>
      <c r="AC14" s="33" t="s">
        <v>2</v>
      </c>
      <c r="AD14" s="33"/>
      <c r="AE14" s="33" t="s">
        <v>7</v>
      </c>
      <c r="AF14" s="33" t="s">
        <v>2</v>
      </c>
      <c r="AG14" s="33" t="s">
        <v>2</v>
      </c>
      <c r="AH14" s="3">
        <f t="shared" si="3"/>
        <v>148</v>
      </c>
      <c r="AI14" s="3">
        <f t="shared" si="15"/>
        <v>5</v>
      </c>
      <c r="AJ14" s="3">
        <f t="shared" si="11"/>
        <v>3</v>
      </c>
      <c r="AK14" s="3">
        <f t="shared" si="12"/>
        <v>16</v>
      </c>
      <c r="AL14" s="3">
        <f t="shared" si="13"/>
        <v>6</v>
      </c>
      <c r="AM14" s="3">
        <f t="shared" si="14"/>
        <v>1</v>
      </c>
      <c r="AN14" s="3">
        <f t="array" ref="AN14">SUMPRODUCT(($C$5:$AG$5=6)*(C14:AG14="off"))</f>
        <v>2</v>
      </c>
      <c r="AO14" s="3"/>
      <c r="AP14" s="3"/>
      <c r="AQ14" s="12"/>
      <c r="AR14" s="256">
        <f t="shared" si="5"/>
        <v>4</v>
      </c>
      <c r="AS14" s="256">
        <f t="shared" si="6"/>
        <v>4</v>
      </c>
      <c r="AT14" s="256">
        <f t="shared" si="7"/>
        <v>16</v>
      </c>
      <c r="AU14" s="256">
        <f t="shared" si="8"/>
        <v>0</v>
      </c>
      <c r="AY14" s="335"/>
      <c r="BJ14" s="348" t="s">
        <v>451</v>
      </c>
      <c r="BK14" s="348" t="str">
        <f t="shared" si="9"/>
        <v>J林瑋嫻</v>
      </c>
      <c r="BL14" s="348"/>
      <c r="BM14" s="348" t="s">
        <v>448</v>
      </c>
      <c r="BN14" s="348">
        <v>4</v>
      </c>
      <c r="BO14" s="348"/>
      <c r="BP14" s="348">
        <v>4</v>
      </c>
      <c r="BQ14" s="348"/>
      <c r="BR14" s="348">
        <v>16</v>
      </c>
      <c r="BS14" s="348"/>
      <c r="BT14" s="348">
        <v>0</v>
      </c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K馮佳祺</v>
      </c>
      <c r="B15" s="338" t="str">
        <f t="shared" si="4"/>
        <v/>
      </c>
      <c r="C15" s="33" t="s">
        <v>7</v>
      </c>
      <c r="D15" s="33"/>
      <c r="E15" s="33"/>
      <c r="F15" s="33"/>
      <c r="G15" s="33" t="s">
        <v>2</v>
      </c>
      <c r="H15" s="33" t="s">
        <v>2</v>
      </c>
      <c r="I15" s="33"/>
      <c r="J15" s="33" t="s">
        <v>2</v>
      </c>
      <c r="K15" s="33" t="s">
        <v>2</v>
      </c>
      <c r="L15" s="33" t="s">
        <v>2</v>
      </c>
      <c r="M15" s="33" t="s">
        <v>7</v>
      </c>
      <c r="N15" s="33"/>
      <c r="O15" s="33" t="s">
        <v>7</v>
      </c>
      <c r="P15" s="33"/>
      <c r="Q15" s="33" t="s">
        <v>2</v>
      </c>
      <c r="R15" s="33" t="s">
        <v>2</v>
      </c>
      <c r="S15" s="33" t="s">
        <v>2</v>
      </c>
      <c r="T15" s="33" t="s">
        <v>7</v>
      </c>
      <c r="U15" s="33"/>
      <c r="V15" s="33" t="s">
        <v>2</v>
      </c>
      <c r="W15" s="33" t="s">
        <v>2</v>
      </c>
      <c r="X15" s="33" t="s">
        <v>2</v>
      </c>
      <c r="Y15" s="33" t="s">
        <v>2</v>
      </c>
      <c r="Z15" s="33" t="s">
        <v>2</v>
      </c>
      <c r="AA15" s="33" t="s">
        <v>2</v>
      </c>
      <c r="AB15" s="33" t="s">
        <v>6</v>
      </c>
      <c r="AC15" s="33" t="s">
        <v>6</v>
      </c>
      <c r="AD15" s="33" t="s">
        <v>6</v>
      </c>
      <c r="AE15" s="33" t="s">
        <v>6</v>
      </c>
      <c r="AF15" s="33" t="s">
        <v>2</v>
      </c>
      <c r="AG15" s="33" t="s">
        <v>2</v>
      </c>
      <c r="AH15" s="3">
        <f t="shared" si="3"/>
        <v>144</v>
      </c>
      <c r="AI15" s="3">
        <f t="shared" si="15"/>
        <v>4</v>
      </c>
      <c r="AJ15" s="3">
        <f t="shared" si="11"/>
        <v>4</v>
      </c>
      <c r="AK15" s="3">
        <f t="shared" si="12"/>
        <v>16</v>
      </c>
      <c r="AL15" s="3">
        <f t="shared" si="13"/>
        <v>5</v>
      </c>
      <c r="AM15" s="3">
        <f t="shared" si="14"/>
        <v>2</v>
      </c>
      <c r="AN15" s="3">
        <f t="array" ref="AN15">SUMPRODUCT(($C$5:$AG$5=6)*(C15:AG15="off"))</f>
        <v>1</v>
      </c>
      <c r="AO15" s="3"/>
      <c r="AP15" s="3"/>
      <c r="AQ15" s="12"/>
      <c r="AR15" s="256">
        <f t="shared" si="5"/>
        <v>4</v>
      </c>
      <c r="AS15" s="256">
        <f t="shared" si="6"/>
        <v>4</v>
      </c>
      <c r="AT15" s="256">
        <f t="shared" si="7"/>
        <v>16</v>
      </c>
      <c r="AU15" s="256">
        <f t="shared" si="8"/>
        <v>0</v>
      </c>
      <c r="BJ15" s="348" t="s">
        <v>451</v>
      </c>
      <c r="BK15" s="348" t="str">
        <f t="shared" si="9"/>
        <v>K馮佳祺</v>
      </c>
      <c r="BL15" s="348"/>
      <c r="BM15" s="348"/>
      <c r="BN15" s="348">
        <v>4</v>
      </c>
      <c r="BO15" s="348"/>
      <c r="BP15" s="348">
        <v>4</v>
      </c>
      <c r="BQ15" s="348"/>
      <c r="BR15" s="348">
        <v>16</v>
      </c>
      <c r="BS15" s="348"/>
      <c r="BT15" s="348">
        <v>0</v>
      </c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tr">
        <f t="shared" si="10"/>
        <v>I劉子瑄</v>
      </c>
      <c r="B16" s="338" t="str">
        <f t="shared" si="4"/>
        <v/>
      </c>
      <c r="C16" s="352" t="s">
        <v>2</v>
      </c>
      <c r="D16" s="352"/>
      <c r="E16" s="352" t="s">
        <v>7</v>
      </c>
      <c r="F16" s="352" t="s">
        <v>2</v>
      </c>
      <c r="G16" s="352"/>
      <c r="H16" s="352"/>
      <c r="I16" s="352" t="s">
        <v>2</v>
      </c>
      <c r="J16" s="352" t="s">
        <v>7</v>
      </c>
      <c r="K16" s="352"/>
      <c r="L16" s="352"/>
      <c r="M16" s="352" t="s">
        <v>2</v>
      </c>
      <c r="N16" s="352" t="s">
        <v>2</v>
      </c>
      <c r="O16" s="352" t="s">
        <v>2</v>
      </c>
      <c r="P16" s="352"/>
      <c r="Q16" s="352" t="s">
        <v>2</v>
      </c>
      <c r="R16" s="376"/>
      <c r="S16" s="376"/>
      <c r="T16" s="376"/>
      <c r="U16" s="376"/>
      <c r="V16" s="376"/>
      <c r="W16" s="376"/>
      <c r="X16" s="376"/>
      <c r="Y16" s="376"/>
      <c r="Z16" s="376"/>
      <c r="AA16" s="376"/>
      <c r="AB16" s="376"/>
      <c r="AC16" s="376"/>
      <c r="AD16" s="376"/>
      <c r="AE16" s="376"/>
      <c r="AF16" s="352"/>
      <c r="AG16" s="352"/>
      <c r="AH16" s="3">
        <f t="shared" si="3"/>
        <v>188</v>
      </c>
      <c r="AI16" s="3">
        <f>COUNTIF(C16:AG16,"D")+COUNTIF(C16:AG16,"NurseD")</f>
        <v>2</v>
      </c>
      <c r="AJ16" s="3">
        <f t="shared" si="11"/>
        <v>0</v>
      </c>
      <c r="AK16" s="3">
        <f t="shared" si="12"/>
        <v>7</v>
      </c>
      <c r="AL16" s="3">
        <f t="shared" si="13"/>
        <v>19</v>
      </c>
      <c r="AM16" s="3">
        <f t="shared" si="14"/>
        <v>3</v>
      </c>
      <c r="AN16" s="3">
        <f t="array" ref="AN16">SUMPRODUCT(($C$5:$AG$5=6)*(C16:AG16="off"))</f>
        <v>1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7"/>
        <v>0</v>
      </c>
      <c r="AU16" s="256">
        <f t="shared" si="8"/>
        <v>0</v>
      </c>
      <c r="BJ16" s="355"/>
      <c r="BK16" s="348" t="str">
        <f t="shared" si="9"/>
        <v>I劉子瑄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232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27</v>
      </c>
      <c r="AM17" s="3">
        <f t="shared" si="14"/>
        <v>4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6</v>
      </c>
      <c r="D18" s="172">
        <f t="shared" si="16"/>
        <v>4</v>
      </c>
      <c r="E18" s="172">
        <f t="shared" si="16"/>
        <v>4</v>
      </c>
      <c r="F18" s="172">
        <f t="shared" si="16"/>
        <v>4</v>
      </c>
      <c r="G18" s="172">
        <f t="shared" si="16"/>
        <v>4</v>
      </c>
      <c r="H18" s="172">
        <f t="shared" si="16"/>
        <v>4</v>
      </c>
      <c r="I18" s="172">
        <f t="shared" si="16"/>
        <v>4</v>
      </c>
      <c r="J18" s="172">
        <f t="shared" si="16"/>
        <v>6</v>
      </c>
      <c r="K18" s="172">
        <f t="shared" si="16"/>
        <v>4</v>
      </c>
      <c r="L18" s="172">
        <f t="shared" si="16"/>
        <v>4</v>
      </c>
      <c r="M18" s="172">
        <f t="shared" si="16"/>
        <v>4</v>
      </c>
      <c r="N18" s="172">
        <f t="shared" si="16"/>
        <v>4</v>
      </c>
      <c r="O18" s="172">
        <f t="shared" si="16"/>
        <v>4</v>
      </c>
      <c r="P18" s="172">
        <f t="shared" si="16"/>
        <v>4</v>
      </c>
      <c r="Q18" s="172">
        <f t="shared" si="16"/>
        <v>6</v>
      </c>
      <c r="R18" s="172">
        <f t="shared" si="16"/>
        <v>4</v>
      </c>
      <c r="S18" s="172">
        <f t="shared" si="16"/>
        <v>4</v>
      </c>
      <c r="T18" s="172">
        <f t="shared" si="16"/>
        <v>4</v>
      </c>
      <c r="U18" s="172">
        <f t="shared" si="16"/>
        <v>4</v>
      </c>
      <c r="V18" s="172">
        <f t="shared" si="16"/>
        <v>4</v>
      </c>
      <c r="W18" s="172">
        <f t="shared" si="16"/>
        <v>4</v>
      </c>
      <c r="X18" s="172">
        <f t="shared" si="16"/>
        <v>6</v>
      </c>
      <c r="Y18" s="172">
        <f t="shared" si="16"/>
        <v>4</v>
      </c>
      <c r="Z18" s="172">
        <f t="shared" si="16"/>
        <v>4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4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4</v>
      </c>
      <c r="AC18" s="172">
        <f t="shared" si="17"/>
        <v>4</v>
      </c>
      <c r="AD18" s="172">
        <f t="shared" si="17"/>
        <v>4</v>
      </c>
      <c r="AE18" s="172">
        <f t="shared" si="17"/>
        <v>6</v>
      </c>
      <c r="AF18" s="172">
        <f t="shared" si="17"/>
        <v>4</v>
      </c>
      <c r="AG18" s="172">
        <f t="shared" si="17"/>
        <v>4</v>
      </c>
      <c r="AH18" s="3">
        <f>SUM(C18:AG18)</f>
        <v>134</v>
      </c>
      <c r="AI18" s="3">
        <f>COUNTIF(C18:AG18,"D")+COUNTIF(C18:AG18,"NurseD")</f>
        <v>0</v>
      </c>
      <c r="AJ18" s="3">
        <f>SUM(AJ6:AJ15)</f>
        <v>31</v>
      </c>
      <c r="AK18" s="3">
        <f>SUM(AK6:AK15)</f>
        <v>127</v>
      </c>
      <c r="AL18" s="3">
        <f>SUM(AL6:AL15)</f>
        <v>106</v>
      </c>
      <c r="AM18" s="3">
        <f>SUM(AM6:AM15)-SUM(AM10:AM11)-SUM(AM16:AM17)</f>
        <v>2</v>
      </c>
      <c r="AN18" s="3">
        <f>SUM(AN6:AN15)</f>
        <v>15</v>
      </c>
      <c r="AO18" s="3"/>
      <c r="AP18" s="3"/>
      <c r="AQ18" s="12"/>
      <c r="AR18" s="55">
        <f>SUBTOTAL(109,AR5:AR17)</f>
        <v>31</v>
      </c>
      <c r="AS18" s="55">
        <f>SUBTOTAL(109,AS5:AS17)</f>
        <v>31</v>
      </c>
      <c r="AT18" s="55">
        <f>SUM(AT6:AT17)</f>
        <v>134</v>
      </c>
      <c r="AU18" s="55">
        <f>SUBTOTAL(109,AU5:AU17)</f>
        <v>0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/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/>
      </c>
      <c r="Q19" s="173" t="str">
        <f t="shared" si="18"/>
        <v/>
      </c>
      <c r="R19" s="173" t="str">
        <f t="shared" si="18"/>
        <v/>
      </c>
      <c r="S19" s="173" t="str">
        <f t="shared" si="18"/>
        <v/>
      </c>
      <c r="T19" s="173" t="str">
        <f t="shared" si="18"/>
        <v/>
      </c>
      <c r="U19" s="173" t="str">
        <f t="shared" si="18"/>
        <v/>
      </c>
      <c r="V19" s="173" t="str">
        <f t="shared" si="18"/>
        <v/>
      </c>
      <c r="W19" s="173" t="str">
        <f t="shared" si="18"/>
        <v/>
      </c>
      <c r="X19" s="173" t="str">
        <f t="shared" si="18"/>
        <v/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/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5</v>
      </c>
      <c r="D20" s="360">
        <f t="shared" ref="D20:AG20" si="19">COUNTIF(D6:D15,"off")</f>
        <v>4</v>
      </c>
      <c r="E20" s="360">
        <f t="shared" si="19"/>
        <v>4</v>
      </c>
      <c r="F20" s="360">
        <f t="shared" si="19"/>
        <v>3</v>
      </c>
      <c r="G20" s="360">
        <f t="shared" si="19"/>
        <v>4</v>
      </c>
      <c r="H20" s="360">
        <f t="shared" si="19"/>
        <v>4</v>
      </c>
      <c r="I20" s="360">
        <f t="shared" si="19"/>
        <v>3</v>
      </c>
      <c r="J20" s="360">
        <f t="shared" si="19"/>
        <v>6</v>
      </c>
      <c r="K20" s="360">
        <f t="shared" si="19"/>
        <v>4</v>
      </c>
      <c r="L20" s="360">
        <f t="shared" si="19"/>
        <v>4</v>
      </c>
      <c r="M20" s="360">
        <f t="shared" si="19"/>
        <v>3</v>
      </c>
      <c r="N20" s="360">
        <f t="shared" si="19"/>
        <v>3</v>
      </c>
      <c r="O20" s="360">
        <f t="shared" si="19"/>
        <v>3</v>
      </c>
      <c r="P20" s="360">
        <f t="shared" si="19"/>
        <v>4</v>
      </c>
      <c r="Q20" s="360">
        <f t="shared" si="19"/>
        <v>5</v>
      </c>
      <c r="R20" s="360">
        <f t="shared" si="19"/>
        <v>4</v>
      </c>
      <c r="S20" s="360">
        <f t="shared" si="19"/>
        <v>4</v>
      </c>
      <c r="T20" s="360">
        <f t="shared" si="19"/>
        <v>4</v>
      </c>
      <c r="U20" s="360">
        <f t="shared" si="19"/>
        <v>4</v>
      </c>
      <c r="V20" s="360">
        <f t="shared" si="19"/>
        <v>4</v>
      </c>
      <c r="W20" s="360">
        <f t="shared" si="19"/>
        <v>4</v>
      </c>
      <c r="X20" s="360">
        <f t="shared" si="19"/>
        <v>6</v>
      </c>
      <c r="Y20" s="360">
        <f t="shared" si="19"/>
        <v>4</v>
      </c>
      <c r="Z20" s="360">
        <f t="shared" si="19"/>
        <v>4</v>
      </c>
      <c r="AA20" s="360">
        <f t="shared" si="19"/>
        <v>4</v>
      </c>
      <c r="AB20" s="360">
        <f t="shared" si="19"/>
        <v>4</v>
      </c>
      <c r="AC20" s="360">
        <f t="shared" si="19"/>
        <v>4</v>
      </c>
      <c r="AD20" s="360">
        <f t="shared" si="19"/>
        <v>4</v>
      </c>
      <c r="AE20" s="360">
        <f t="shared" si="19"/>
        <v>6</v>
      </c>
      <c r="AF20" s="360">
        <f>COUNTIF(AF6:AF15,"off")</f>
        <v>4</v>
      </c>
      <c r="AG20" s="360">
        <f t="shared" si="19"/>
        <v>4</v>
      </c>
      <c r="AH20" s="12">
        <f>SUM(C20:AG20)</f>
        <v>127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1</v>
      </c>
      <c r="D21" s="360">
        <f t="shared" ref="D21:AG21" si="20">COUNTIF(D6:D15,"D")+COUNTIF(D6:D15,"NrsD")</f>
        <v>1</v>
      </c>
      <c r="E21" s="360">
        <f t="shared" si="20"/>
        <v>0</v>
      </c>
      <c r="F21" s="360">
        <f t="shared" si="20"/>
        <v>1</v>
      </c>
      <c r="G21" s="360">
        <f t="shared" si="20"/>
        <v>1</v>
      </c>
      <c r="H21" s="360">
        <f t="shared" si="20"/>
        <v>1</v>
      </c>
      <c r="I21" s="360">
        <f t="shared" si="20"/>
        <v>1</v>
      </c>
      <c r="J21" s="360">
        <f t="shared" si="20"/>
        <v>0</v>
      </c>
      <c r="K21" s="360">
        <f t="shared" si="20"/>
        <v>1</v>
      </c>
      <c r="L21" s="360">
        <f t="shared" si="20"/>
        <v>1</v>
      </c>
      <c r="M21" s="360">
        <f t="shared" si="20"/>
        <v>1</v>
      </c>
      <c r="N21" s="360">
        <f t="shared" si="20"/>
        <v>1</v>
      </c>
      <c r="O21" s="360">
        <f t="shared" si="20"/>
        <v>1</v>
      </c>
      <c r="P21" s="360">
        <f t="shared" si="20"/>
        <v>1</v>
      </c>
      <c r="Q21" s="360">
        <f t="shared" si="20"/>
        <v>1</v>
      </c>
      <c r="R21" s="360">
        <f t="shared" si="20"/>
        <v>1</v>
      </c>
      <c r="S21" s="360">
        <f t="shared" si="20"/>
        <v>1</v>
      </c>
      <c r="T21" s="360">
        <f t="shared" si="20"/>
        <v>1</v>
      </c>
      <c r="U21" s="360">
        <f t="shared" si="20"/>
        <v>1</v>
      </c>
      <c r="V21" s="360">
        <f t="shared" si="20"/>
        <v>1</v>
      </c>
      <c r="W21" s="360">
        <f t="shared" si="20"/>
        <v>1</v>
      </c>
      <c r="X21" s="360">
        <f t="shared" si="20"/>
        <v>1</v>
      </c>
      <c r="Y21" s="360">
        <f t="shared" si="20"/>
        <v>1</v>
      </c>
      <c r="Z21" s="360">
        <f t="shared" si="20"/>
        <v>1</v>
      </c>
      <c r="AA21" s="360">
        <f t="shared" si="20"/>
        <v>1</v>
      </c>
      <c r="AB21" s="360">
        <f t="shared" si="20"/>
        <v>1</v>
      </c>
      <c r="AC21" s="360">
        <f t="shared" si="20"/>
        <v>1</v>
      </c>
      <c r="AD21" s="360">
        <f t="shared" si="20"/>
        <v>1</v>
      </c>
      <c r="AE21" s="360">
        <f t="shared" si="20"/>
        <v>1</v>
      </c>
      <c r="AF21" s="360">
        <f t="shared" si="20"/>
        <v>1</v>
      </c>
      <c r="AG21" s="360">
        <f t="shared" si="20"/>
        <v>1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1</v>
      </c>
      <c r="D22" s="360">
        <f t="shared" ref="D22:AG22" si="21">COUNTIF(D6:D15,"N")</f>
        <v>1</v>
      </c>
      <c r="E22" s="360">
        <f t="shared" si="21"/>
        <v>1</v>
      </c>
      <c r="F22" s="360">
        <f t="shared" si="21"/>
        <v>1</v>
      </c>
      <c r="G22" s="360">
        <f t="shared" si="21"/>
        <v>1</v>
      </c>
      <c r="H22" s="360">
        <f t="shared" si="21"/>
        <v>1</v>
      </c>
      <c r="I22" s="360">
        <f t="shared" si="21"/>
        <v>1</v>
      </c>
      <c r="J22" s="360">
        <f t="shared" si="21"/>
        <v>1</v>
      </c>
      <c r="K22" s="360">
        <f t="shared" si="21"/>
        <v>1</v>
      </c>
      <c r="L22" s="360">
        <f t="shared" si="21"/>
        <v>1</v>
      </c>
      <c r="M22" s="360">
        <f t="shared" si="21"/>
        <v>1</v>
      </c>
      <c r="N22" s="360">
        <f t="shared" si="21"/>
        <v>1</v>
      </c>
      <c r="O22" s="360">
        <f t="shared" si="21"/>
        <v>1</v>
      </c>
      <c r="P22" s="360">
        <f t="shared" si="21"/>
        <v>1</v>
      </c>
      <c r="Q22" s="360">
        <f t="shared" si="21"/>
        <v>1</v>
      </c>
      <c r="R22" s="360">
        <f t="shared" si="21"/>
        <v>1</v>
      </c>
      <c r="S22" s="360">
        <f t="shared" si="21"/>
        <v>1</v>
      </c>
      <c r="T22" s="360">
        <f t="shared" si="21"/>
        <v>1</v>
      </c>
      <c r="U22" s="360">
        <f t="shared" si="21"/>
        <v>1</v>
      </c>
      <c r="V22" s="360">
        <f t="shared" si="21"/>
        <v>1</v>
      </c>
      <c r="W22" s="360">
        <f t="shared" si="21"/>
        <v>1</v>
      </c>
      <c r="X22" s="360">
        <f t="shared" si="21"/>
        <v>1</v>
      </c>
      <c r="Y22" s="360">
        <f t="shared" si="21"/>
        <v>1</v>
      </c>
      <c r="Z22" s="360">
        <f t="shared" si="21"/>
        <v>1</v>
      </c>
      <c r="AA22" s="360">
        <f t="shared" si="21"/>
        <v>1</v>
      </c>
      <c r="AB22" s="360">
        <f t="shared" si="21"/>
        <v>1</v>
      </c>
      <c r="AC22" s="360">
        <f t="shared" si="21"/>
        <v>1</v>
      </c>
      <c r="AD22" s="360">
        <f t="shared" si="21"/>
        <v>1</v>
      </c>
      <c r="AE22" s="360">
        <f t="shared" si="21"/>
        <v>1</v>
      </c>
      <c r="AF22" s="360">
        <f t="shared" si="21"/>
        <v>1</v>
      </c>
      <c r="AG22" s="360">
        <f t="shared" si="21"/>
        <v>1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490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459" t="s">
        <v>487</v>
      </c>
      <c r="B26" s="460"/>
      <c r="C26" s="460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460"/>
      <c r="O26" s="460"/>
      <c r="P26" s="460"/>
      <c r="Q26" s="460"/>
      <c r="R26" s="460"/>
      <c r="S26" s="460"/>
      <c r="T26" s="460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63"/>
      <c r="Q28" s="363"/>
      <c r="R28" s="363"/>
      <c r="S28" s="363"/>
      <c r="T28" s="363"/>
      <c r="U28" s="363"/>
      <c r="V28" s="363"/>
      <c r="W28" s="363"/>
      <c r="X28" s="363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46082</v>
      </c>
      <c r="D29" s="30">
        <f t="shared" ref="D29:AC29" si="22">C29+1</f>
        <v>46083</v>
      </c>
      <c r="E29" s="30">
        <f t="shared" si="22"/>
        <v>46084</v>
      </c>
      <c r="F29" s="30">
        <f t="shared" si="22"/>
        <v>46085</v>
      </c>
      <c r="G29" s="30">
        <f t="shared" si="22"/>
        <v>46086</v>
      </c>
      <c r="H29" s="30">
        <f t="shared" si="22"/>
        <v>46087</v>
      </c>
      <c r="I29" s="30">
        <f t="shared" si="22"/>
        <v>46088</v>
      </c>
      <c r="J29" s="30">
        <f t="shared" si="22"/>
        <v>46089</v>
      </c>
      <c r="K29" s="30">
        <f t="shared" si="22"/>
        <v>46090</v>
      </c>
      <c r="L29" s="30">
        <f t="shared" si="22"/>
        <v>46091</v>
      </c>
      <c r="M29" s="30">
        <f t="shared" si="22"/>
        <v>46092</v>
      </c>
      <c r="N29" s="30">
        <f t="shared" si="22"/>
        <v>46093</v>
      </c>
      <c r="O29" s="30">
        <f t="shared" si="22"/>
        <v>46094</v>
      </c>
      <c r="P29" s="30">
        <f t="shared" si="22"/>
        <v>46095</v>
      </c>
      <c r="Q29" s="30">
        <f t="shared" si="22"/>
        <v>46096</v>
      </c>
      <c r="R29" s="30">
        <f t="shared" si="22"/>
        <v>46097</v>
      </c>
      <c r="S29" s="30">
        <f t="shared" si="22"/>
        <v>46098</v>
      </c>
      <c r="T29" s="30">
        <f t="shared" si="22"/>
        <v>46099</v>
      </c>
      <c r="U29" s="30">
        <f t="shared" si="22"/>
        <v>46100</v>
      </c>
      <c r="V29" s="30">
        <f t="shared" si="22"/>
        <v>46101</v>
      </c>
      <c r="W29" s="30">
        <f t="shared" si="22"/>
        <v>46102</v>
      </c>
      <c r="X29" s="30">
        <f t="shared" si="22"/>
        <v>46103</v>
      </c>
      <c r="Y29" s="30">
        <f t="shared" si="22"/>
        <v>46104</v>
      </c>
      <c r="Z29" s="30">
        <f t="shared" si="22"/>
        <v>46105</v>
      </c>
      <c r="AA29" s="30">
        <f t="shared" si="22"/>
        <v>46106</v>
      </c>
      <c r="AB29" s="30">
        <f t="shared" si="22"/>
        <v>46107</v>
      </c>
      <c r="AC29" s="30">
        <f t="shared" si="22"/>
        <v>46108</v>
      </c>
      <c r="AD29" s="30">
        <f>IFERROR(IF(MONTH(AC29+1)=$J$2,AC29+1,""),"")</f>
        <v>46109</v>
      </c>
      <c r="AE29" s="30">
        <f>IFERROR(IF(MONTH(AD29+1)=$J$2,AD29+1,""),"")</f>
        <v>46110</v>
      </c>
      <c r="AF29" s="30">
        <f>IFERROR(IF(MONTH(AE29+1)=$J$2,AE29+1,""),"")</f>
        <v>46111</v>
      </c>
      <c r="AG29" s="30">
        <f>IFERROR(IF(MONTH(AF29+1)=$J$2,AF29+1,""),"")</f>
        <v>46112</v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 t="str">
        <f>IFERROR(IF(WEEKDAY(C29,2)=7,"日",WEEKDAY(C29,2)),"")</f>
        <v>日</v>
      </c>
      <c r="D30" s="31">
        <f>IFERROR(IF(WEEKDAY(D29,2)=7,"日",WEEKDAY(D29,2)),"")</f>
        <v>1</v>
      </c>
      <c r="E30" s="31">
        <f t="shared" ref="E30:AG30" si="23">IFERROR(IF(WEEKDAY(E29,2)=7,"日",WEEKDAY(E29,2)),"")</f>
        <v>2</v>
      </c>
      <c r="F30" s="31">
        <f t="shared" si="23"/>
        <v>3</v>
      </c>
      <c r="G30" s="31">
        <f t="shared" si="23"/>
        <v>4</v>
      </c>
      <c r="H30" s="31">
        <f t="shared" si="23"/>
        <v>5</v>
      </c>
      <c r="I30" s="31">
        <f t="shared" si="23"/>
        <v>6</v>
      </c>
      <c r="J30" s="31" t="str">
        <f t="shared" si="23"/>
        <v>日</v>
      </c>
      <c r="K30" s="31">
        <f t="shared" si="23"/>
        <v>1</v>
      </c>
      <c r="L30" s="31">
        <f t="shared" si="23"/>
        <v>2</v>
      </c>
      <c r="M30" s="31">
        <f t="shared" si="23"/>
        <v>3</v>
      </c>
      <c r="N30" s="31">
        <f t="shared" si="23"/>
        <v>4</v>
      </c>
      <c r="O30" s="31">
        <f t="shared" si="23"/>
        <v>5</v>
      </c>
      <c r="P30" s="31">
        <f t="shared" si="23"/>
        <v>6</v>
      </c>
      <c r="Q30" s="31" t="str">
        <f t="shared" si="23"/>
        <v>日</v>
      </c>
      <c r="R30" s="31">
        <f t="shared" si="23"/>
        <v>1</v>
      </c>
      <c r="S30" s="31">
        <f t="shared" si="23"/>
        <v>2</v>
      </c>
      <c r="T30" s="31">
        <f t="shared" si="23"/>
        <v>3</v>
      </c>
      <c r="U30" s="31">
        <f t="shared" si="23"/>
        <v>4</v>
      </c>
      <c r="V30" s="31">
        <f t="shared" si="23"/>
        <v>5</v>
      </c>
      <c r="W30" s="31">
        <f t="shared" si="23"/>
        <v>6</v>
      </c>
      <c r="X30" s="31" t="str">
        <f t="shared" si="23"/>
        <v>日</v>
      </c>
      <c r="Y30" s="31">
        <f t="shared" si="23"/>
        <v>1</v>
      </c>
      <c r="Z30" s="31">
        <f t="shared" si="23"/>
        <v>2</v>
      </c>
      <c r="AA30" s="31">
        <f t="shared" si="23"/>
        <v>3</v>
      </c>
      <c r="AB30" s="31">
        <f t="shared" si="23"/>
        <v>4</v>
      </c>
      <c r="AC30" s="31">
        <f t="shared" si="23"/>
        <v>5</v>
      </c>
      <c r="AD30" s="31">
        <f t="shared" si="23"/>
        <v>6</v>
      </c>
      <c r="AE30" s="31" t="str">
        <f t="shared" si="23"/>
        <v>日</v>
      </c>
      <c r="AF30" s="31">
        <f t="shared" si="23"/>
        <v>1</v>
      </c>
      <c r="AG30" s="31">
        <f t="shared" si="23"/>
        <v>2</v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62"/>
      <c r="E31" s="62"/>
      <c r="F31" s="62"/>
      <c r="G31" s="62"/>
      <c r="H31" s="33" t="s">
        <v>80</v>
      </c>
      <c r="I31" s="33" t="s">
        <v>4</v>
      </c>
      <c r="J31" s="33"/>
      <c r="K31" s="33"/>
      <c r="L31" s="33"/>
      <c r="M31" s="33"/>
      <c r="N31" s="33"/>
      <c r="O31" s="33" t="s">
        <v>80</v>
      </c>
      <c r="P31" s="33" t="s">
        <v>2</v>
      </c>
      <c r="Q31" s="33"/>
      <c r="R31" s="33"/>
      <c r="S31" s="33"/>
      <c r="T31" s="33"/>
      <c r="U31" s="33"/>
      <c r="V31" s="33" t="s">
        <v>80</v>
      </c>
      <c r="W31" s="62"/>
      <c r="X31" s="33" t="s">
        <v>7</v>
      </c>
      <c r="Y31" s="33"/>
      <c r="Z31" s="33"/>
      <c r="AA31" s="33"/>
      <c r="AB31" s="33" t="s">
        <v>489</v>
      </c>
      <c r="AC31" s="33" t="s">
        <v>80</v>
      </c>
      <c r="AD31" s="33" t="s">
        <v>2</v>
      </c>
      <c r="AE31" s="33"/>
      <c r="AF31" s="33"/>
      <c r="AG31" s="33"/>
      <c r="AH31" s="3">
        <f>(AI31*12)+(AJ31*12)+(AL31*8)+(AM31*4)</f>
        <v>184</v>
      </c>
      <c r="AI31" s="3">
        <f t="shared" ref="AI31:AI40" si="24">COUNTIF(C31:AG31,"D")</f>
        <v>1</v>
      </c>
      <c r="AJ31" s="3">
        <f t="shared" ref="AJ31:AJ40" si="25">COUNTIF(C31:AG31,"N")</f>
        <v>0</v>
      </c>
      <c r="AK31" s="3">
        <f t="shared" ref="AK31:AK40" si="26">COUNTIF(C31:AG31,"OFF")+COUNTIF(C31:AG31,"上課")</f>
        <v>3</v>
      </c>
      <c r="AL31" s="3">
        <f t="shared" ref="AL31:AL40" si="27">COUNTIF(C31:AG31,"")-AM31+COUNTIF(C31:AG31,"h3")</f>
        <v>21</v>
      </c>
      <c r="AM31" s="3">
        <f t="shared" ref="AM31:AM40" si="28">COUNTIFS($C$5:$AG$5,"6",C31:AG31,"")+COUNTIF(C31:AG31,"h3")</f>
        <v>1</v>
      </c>
      <c r="AN31" s="3">
        <f t="array" ref="AN31">SUMPRODUCT(($C$5:$AG$5=6)*(C31:AG31="off"))</f>
        <v>3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 t="s">
        <v>2</v>
      </c>
      <c r="E32" s="33" t="s">
        <v>2</v>
      </c>
      <c r="F32" s="33" t="s">
        <v>2</v>
      </c>
      <c r="G32" s="33" t="s">
        <v>2</v>
      </c>
      <c r="H32" s="33" t="s">
        <v>2</v>
      </c>
      <c r="I32" s="33" t="s">
        <v>2</v>
      </c>
      <c r="J32" s="33"/>
      <c r="K32" s="33"/>
      <c r="L32" s="33"/>
      <c r="M32" s="33"/>
      <c r="N32" s="33"/>
      <c r="O32" s="33"/>
      <c r="P32" s="62" t="s">
        <v>2</v>
      </c>
      <c r="Q32" s="33" t="s">
        <v>7</v>
      </c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 t="s">
        <v>7</v>
      </c>
      <c r="AE32" s="33"/>
      <c r="AF32" s="33"/>
      <c r="AG32" s="33"/>
      <c r="AH32" s="3">
        <f>(AI32*12)+(AJ32*12)+(AL32*8)+(AM32*4)</f>
        <v>196</v>
      </c>
      <c r="AI32" s="3">
        <f t="shared" si="24"/>
        <v>2</v>
      </c>
      <c r="AJ32" s="3">
        <f t="shared" si="25"/>
        <v>0</v>
      </c>
      <c r="AK32" s="3">
        <f t="shared" si="26"/>
        <v>7</v>
      </c>
      <c r="AL32" s="3">
        <f t="shared" si="27"/>
        <v>21</v>
      </c>
      <c r="AM32" s="3">
        <f t="shared" si="28"/>
        <v>1</v>
      </c>
      <c r="AN32" s="3">
        <f t="array" ref="AN32">SUMPRODUCT(($C$5:$AG$5=6)*(C32:AG32="off"))</f>
        <v>2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 t="s">
        <v>6</v>
      </c>
      <c r="D33" s="33" t="s">
        <v>2</v>
      </c>
      <c r="E33" s="33" t="s">
        <v>2</v>
      </c>
      <c r="F33" s="33" t="s">
        <v>2</v>
      </c>
      <c r="G33" s="33" t="s">
        <v>2</v>
      </c>
      <c r="H33" s="33"/>
      <c r="I33" s="33"/>
      <c r="J33" s="33"/>
      <c r="K33" s="33"/>
      <c r="L33" s="33"/>
      <c r="M33" s="33"/>
      <c r="N33" s="33"/>
      <c r="O33" s="33"/>
      <c r="P33" s="62" t="s">
        <v>2</v>
      </c>
      <c r="Q33" s="33"/>
      <c r="R33" s="33"/>
      <c r="S33" s="33"/>
      <c r="T33" s="33"/>
      <c r="U33" s="33"/>
      <c r="V33" s="33"/>
      <c r="W33" s="33" t="s">
        <v>2</v>
      </c>
      <c r="X33" s="33" t="s">
        <v>2</v>
      </c>
      <c r="Y33" s="33" t="s">
        <v>2</v>
      </c>
      <c r="Z33" s="33"/>
      <c r="AA33" s="33"/>
      <c r="AB33" s="33"/>
      <c r="AC33" s="33"/>
      <c r="AD33" s="33"/>
      <c r="AE33" s="33"/>
      <c r="AF33" s="33"/>
      <c r="AG33" s="33"/>
      <c r="AH33" s="3">
        <f>(AI33*12)+(AJ33*12)+(AL33*8)+(AM33*4)</f>
        <v>180</v>
      </c>
      <c r="AI33" s="3">
        <f t="shared" si="24"/>
        <v>0</v>
      </c>
      <c r="AJ33" s="3">
        <f t="shared" si="25"/>
        <v>1</v>
      </c>
      <c r="AK33" s="3">
        <f t="shared" si="26"/>
        <v>8</v>
      </c>
      <c r="AL33" s="3">
        <f t="shared" si="27"/>
        <v>20</v>
      </c>
      <c r="AM33" s="3">
        <f t="shared" si="28"/>
        <v>2</v>
      </c>
      <c r="AN33" s="3">
        <f t="array" ref="AN33">SUMPRODUCT(($C$5:$AG$5=6)*(C33:AG33="off"))</f>
        <v>2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/>
      <c r="H34" s="33"/>
      <c r="I34" s="33" t="s">
        <v>6</v>
      </c>
      <c r="J34" s="33" t="s">
        <v>6</v>
      </c>
      <c r="K34" s="33"/>
      <c r="L34" s="33"/>
      <c r="M34" s="33"/>
      <c r="N34" s="33"/>
      <c r="O34" s="33"/>
      <c r="P34" s="62" t="s">
        <v>2</v>
      </c>
      <c r="Q34" s="33"/>
      <c r="R34" s="33"/>
      <c r="S34" s="33"/>
      <c r="T34" s="33"/>
      <c r="U34" s="33"/>
      <c r="V34" s="33"/>
      <c r="W34" s="33" t="s">
        <v>7</v>
      </c>
      <c r="X34" s="33"/>
      <c r="Y34" s="33"/>
      <c r="Z34" s="33"/>
      <c r="AA34" s="33"/>
      <c r="AB34" s="33"/>
      <c r="AC34" s="33"/>
      <c r="AD34" s="62" t="s">
        <v>2</v>
      </c>
      <c r="AE34" s="33"/>
      <c r="AF34" s="33"/>
      <c r="AG34" s="33"/>
      <c r="AH34" s="3">
        <f>(AI34*12)+(AJ34*12)+(AL34*8)+(AM34*4)</f>
        <v>244</v>
      </c>
      <c r="AI34" s="3">
        <f t="shared" si="24"/>
        <v>1</v>
      </c>
      <c r="AJ34" s="3">
        <f t="shared" si="25"/>
        <v>2</v>
      </c>
      <c r="AK34" s="3">
        <f t="shared" si="26"/>
        <v>2</v>
      </c>
      <c r="AL34" s="3">
        <f t="shared" si="27"/>
        <v>26</v>
      </c>
      <c r="AM34" s="3">
        <f t="shared" si="28"/>
        <v>0</v>
      </c>
      <c r="AN34" s="3">
        <f t="array" ref="AN34">SUMPRODUCT(($C$5:$AG$5=6)*(C34:AG34="off"))</f>
        <v>2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232</v>
      </c>
      <c r="AI35" s="3">
        <f t="shared" si="24"/>
        <v>0</v>
      </c>
      <c r="AJ35" s="3">
        <f t="shared" si="25"/>
        <v>0</v>
      </c>
      <c r="AK35" s="3">
        <f t="shared" si="26"/>
        <v>0</v>
      </c>
      <c r="AL35" s="3">
        <f t="shared" si="27"/>
        <v>27</v>
      </c>
      <c r="AM35" s="3">
        <f t="shared" si="28"/>
        <v>4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232</v>
      </c>
      <c r="AI36" s="3">
        <f t="shared" si="24"/>
        <v>0</v>
      </c>
      <c r="AJ36" s="3">
        <f t="shared" si="25"/>
        <v>0</v>
      </c>
      <c r="AK36" s="3">
        <f t="shared" si="26"/>
        <v>0</v>
      </c>
      <c r="AL36" s="3">
        <f t="shared" si="27"/>
        <v>27</v>
      </c>
      <c r="AM36" s="3">
        <f t="shared" si="28"/>
        <v>4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/>
      <c r="F37" s="33"/>
      <c r="G37" s="33"/>
      <c r="H37" s="33"/>
      <c r="I37" s="33" t="s">
        <v>7</v>
      </c>
      <c r="J37" s="33"/>
      <c r="K37" s="33"/>
      <c r="L37" s="33"/>
      <c r="M37" s="33"/>
      <c r="N37" s="33"/>
      <c r="O37" s="33"/>
      <c r="P37" s="33" t="s">
        <v>6</v>
      </c>
      <c r="Q37" s="33" t="s">
        <v>6</v>
      </c>
      <c r="R37" s="33"/>
      <c r="S37" s="33"/>
      <c r="T37" s="33"/>
      <c r="U37" s="33"/>
      <c r="V37" s="33"/>
      <c r="W37" s="62" t="s">
        <v>2</v>
      </c>
      <c r="X37" s="33"/>
      <c r="Y37" s="33"/>
      <c r="Z37" s="33"/>
      <c r="AA37" s="33"/>
      <c r="AB37" s="33"/>
      <c r="AC37" s="33" t="s">
        <v>2</v>
      </c>
      <c r="AD37" s="62" t="s">
        <v>2</v>
      </c>
      <c r="AE37" s="33"/>
      <c r="AF37" s="33"/>
      <c r="AG37" s="33"/>
      <c r="AH37" s="3">
        <f t="shared" si="29"/>
        <v>236</v>
      </c>
      <c r="AI37" s="3">
        <f t="shared" si="24"/>
        <v>1</v>
      </c>
      <c r="AJ37" s="3">
        <f t="shared" si="25"/>
        <v>2</v>
      </c>
      <c r="AK37" s="3">
        <f t="shared" si="26"/>
        <v>3</v>
      </c>
      <c r="AL37" s="3">
        <f t="shared" si="27"/>
        <v>25</v>
      </c>
      <c r="AM37" s="3">
        <f t="shared" si="28"/>
        <v>0</v>
      </c>
      <c r="AN37" s="3">
        <f t="array" ref="AN37">SUMPRODUCT(($C$5:$AG$5=6)*(C37:AG37="off"))</f>
        <v>2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382</v>
      </c>
      <c r="B38" s="6"/>
      <c r="C38" s="373"/>
      <c r="D38" s="373"/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373"/>
      <c r="P38" s="373"/>
      <c r="Q38" s="373"/>
      <c r="R38" s="33" t="s">
        <v>2</v>
      </c>
      <c r="S38" s="33" t="s">
        <v>488</v>
      </c>
      <c r="T38" s="33"/>
      <c r="U38" s="33"/>
      <c r="V38" s="33" t="s">
        <v>488</v>
      </c>
      <c r="W38" s="33" t="s">
        <v>6</v>
      </c>
      <c r="X38" s="33" t="s">
        <v>6</v>
      </c>
      <c r="Y38" s="33"/>
      <c r="Z38" s="33" t="s">
        <v>2</v>
      </c>
      <c r="AA38" s="33" t="s">
        <v>2</v>
      </c>
      <c r="AB38" s="33"/>
      <c r="AC38" s="33" t="s">
        <v>484</v>
      </c>
      <c r="AD38" s="62" t="s">
        <v>2</v>
      </c>
      <c r="AE38" s="33"/>
      <c r="AF38" s="33"/>
      <c r="AG38" s="33"/>
      <c r="AH38" s="3">
        <f t="shared" si="29"/>
        <v>192</v>
      </c>
      <c r="AI38" s="3">
        <f t="shared" si="24"/>
        <v>0</v>
      </c>
      <c r="AJ38" s="3">
        <f t="shared" si="25"/>
        <v>2</v>
      </c>
      <c r="AK38" s="3">
        <f t="shared" si="26"/>
        <v>4</v>
      </c>
      <c r="AL38" s="3">
        <f t="shared" si="27"/>
        <v>20</v>
      </c>
      <c r="AM38" s="3">
        <f t="shared" si="28"/>
        <v>2</v>
      </c>
      <c r="AN38" s="3">
        <f t="array" ref="AN38">SUMPRODUCT(($C$5:$AG$5=6)*(C38:AG38="off"))</f>
        <v>1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450</v>
      </c>
      <c r="B39" s="6"/>
      <c r="C39" s="33"/>
      <c r="D39" s="33"/>
      <c r="E39" s="33"/>
      <c r="F39" s="33"/>
      <c r="G39" s="33" t="s">
        <v>2</v>
      </c>
      <c r="H39" s="33" t="s">
        <v>6</v>
      </c>
      <c r="I39" s="33" t="s">
        <v>2</v>
      </c>
      <c r="J39" s="33"/>
      <c r="K39" s="33"/>
      <c r="L39" s="33"/>
      <c r="M39" s="33"/>
      <c r="N39" s="33"/>
      <c r="O39" s="33"/>
      <c r="P39" s="33" t="s">
        <v>3</v>
      </c>
      <c r="Q39" s="33"/>
      <c r="R39" s="33"/>
      <c r="S39" s="33" t="s">
        <v>488</v>
      </c>
      <c r="T39" s="33"/>
      <c r="U39" s="33"/>
      <c r="V39" s="33" t="s">
        <v>488</v>
      </c>
      <c r="W39" s="33" t="s">
        <v>2</v>
      </c>
      <c r="X39" s="33"/>
      <c r="Y39" s="33"/>
      <c r="Z39" s="33"/>
      <c r="AA39" s="33"/>
      <c r="AB39" s="33"/>
      <c r="AC39" s="33"/>
      <c r="AD39" s="33"/>
      <c r="AE39" s="33" t="s">
        <v>7</v>
      </c>
      <c r="AF39" s="33"/>
      <c r="AG39" s="33"/>
      <c r="AH39" s="3">
        <f t="shared" si="29"/>
        <v>216</v>
      </c>
      <c r="AI39" s="3">
        <f t="shared" si="24"/>
        <v>2</v>
      </c>
      <c r="AJ39" s="3">
        <f t="shared" si="25"/>
        <v>1</v>
      </c>
      <c r="AK39" s="3">
        <f t="shared" si="26"/>
        <v>3</v>
      </c>
      <c r="AL39" s="3">
        <f t="shared" si="27"/>
        <v>22</v>
      </c>
      <c r="AM39" s="3">
        <f t="shared" si="28"/>
        <v>1</v>
      </c>
      <c r="AN39" s="3">
        <f t="array" ref="AN39">SUMPRODUCT(($C$5:$AG$5=6)*(C39:AG39="off"))</f>
        <v>2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440</v>
      </c>
      <c r="B40" s="6"/>
      <c r="C40" s="33" t="s">
        <v>7</v>
      </c>
      <c r="D40" s="33"/>
      <c r="E40" s="33"/>
      <c r="F40" s="33"/>
      <c r="G40" s="33" t="s">
        <v>488</v>
      </c>
      <c r="H40" s="33" t="s">
        <v>2</v>
      </c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 t="s">
        <v>488</v>
      </c>
      <c r="T40" s="33"/>
      <c r="U40" s="33"/>
      <c r="V40" s="33" t="s">
        <v>85</v>
      </c>
      <c r="W40" s="33" t="s">
        <v>2</v>
      </c>
      <c r="X40" s="33" t="s">
        <v>2</v>
      </c>
      <c r="Y40" s="33" t="s">
        <v>2</v>
      </c>
      <c r="Z40" s="33" t="s">
        <v>2</v>
      </c>
      <c r="AA40" s="33"/>
      <c r="AB40" s="33"/>
      <c r="AC40" s="33"/>
      <c r="AD40" s="33" t="s">
        <v>6</v>
      </c>
      <c r="AE40" s="33" t="s">
        <v>6</v>
      </c>
      <c r="AF40" s="33"/>
      <c r="AG40" s="33"/>
      <c r="AH40" s="3">
        <f t="shared" si="29"/>
        <v>188</v>
      </c>
      <c r="AI40" s="3">
        <f t="shared" si="24"/>
        <v>1</v>
      </c>
      <c r="AJ40" s="3">
        <f t="shared" si="25"/>
        <v>2</v>
      </c>
      <c r="AK40" s="3">
        <f t="shared" si="26"/>
        <v>5</v>
      </c>
      <c r="AL40" s="3">
        <f t="shared" si="27"/>
        <v>18</v>
      </c>
      <c r="AM40" s="3">
        <f t="shared" si="28"/>
        <v>2</v>
      </c>
      <c r="AN40" s="3">
        <f t="array" ref="AN40">SUMPRODUCT(($C$5:$AG$5=6)*(C40:AG40="off"))</f>
        <v>1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310</v>
      </c>
      <c r="B41" s="6"/>
      <c r="C41" s="88"/>
      <c r="D41" s="88"/>
      <c r="E41" s="88"/>
      <c r="F41" s="88"/>
      <c r="G41" s="88"/>
      <c r="H41" s="62"/>
      <c r="I41" s="62"/>
      <c r="J41" s="33" t="s">
        <v>3</v>
      </c>
      <c r="K41" s="62"/>
      <c r="L41" s="62"/>
      <c r="M41" s="62"/>
      <c r="N41" s="33"/>
      <c r="O41" s="33"/>
      <c r="P41" s="88"/>
      <c r="Q41" s="33"/>
      <c r="R41" s="374"/>
      <c r="S41" s="374"/>
      <c r="T41" s="374"/>
      <c r="U41" s="374"/>
      <c r="V41" s="374"/>
      <c r="W41" s="374"/>
      <c r="X41" s="375"/>
      <c r="Y41" s="373"/>
      <c r="Z41" s="374"/>
      <c r="AA41" s="374"/>
      <c r="AB41" s="373"/>
      <c r="AC41" s="373"/>
      <c r="AD41" s="373"/>
      <c r="AE41" s="37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6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4</v>
      </c>
      <c r="F43" s="172">
        <f t="shared" si="30"/>
        <v>4</v>
      </c>
      <c r="G43" s="172">
        <f t="shared" si="30"/>
        <v>4</v>
      </c>
      <c r="H43" s="172">
        <f t="shared" si="30"/>
        <v>4</v>
      </c>
      <c r="I43" s="172">
        <f t="shared" si="30"/>
        <v>4</v>
      </c>
      <c r="J43" s="172">
        <f t="shared" si="30"/>
        <v>6</v>
      </c>
      <c r="K43" s="172">
        <f t="shared" si="30"/>
        <v>4</v>
      </c>
      <c r="L43" s="172">
        <f t="shared" si="30"/>
        <v>4</v>
      </c>
      <c r="M43" s="172">
        <f t="shared" si="30"/>
        <v>4</v>
      </c>
      <c r="N43" s="172">
        <f t="shared" si="30"/>
        <v>4</v>
      </c>
      <c r="O43" s="172">
        <f t="shared" si="30"/>
        <v>4</v>
      </c>
      <c r="P43" s="172">
        <f t="shared" si="30"/>
        <v>4</v>
      </c>
      <c r="Q43" s="172">
        <f t="shared" si="30"/>
        <v>6</v>
      </c>
      <c r="R43" s="172">
        <f t="shared" si="30"/>
        <v>4</v>
      </c>
      <c r="S43" s="172">
        <f t="shared" si="30"/>
        <v>4</v>
      </c>
      <c r="T43" s="172">
        <f t="shared" si="30"/>
        <v>4</v>
      </c>
      <c r="U43" s="172">
        <f t="shared" si="30"/>
        <v>4</v>
      </c>
      <c r="V43" s="172">
        <f t="shared" si="30"/>
        <v>4</v>
      </c>
      <c r="W43" s="172">
        <f t="shared" si="30"/>
        <v>4</v>
      </c>
      <c r="X43" s="172">
        <f t="shared" si="30"/>
        <v>6</v>
      </c>
      <c r="Y43" s="172">
        <f t="shared" si="30"/>
        <v>4</v>
      </c>
      <c r="Z43" s="172">
        <f t="shared" si="30"/>
        <v>4</v>
      </c>
      <c r="AA43" s="172">
        <f t="shared" si="30"/>
        <v>4</v>
      </c>
      <c r="AB43" s="172">
        <f t="shared" si="30"/>
        <v>4</v>
      </c>
      <c r="AC43" s="172">
        <f t="shared" si="30"/>
        <v>4</v>
      </c>
      <c r="AD43" s="172">
        <f t="shared" si="30"/>
        <v>4</v>
      </c>
      <c r="AE43" s="172">
        <f t="shared" si="30"/>
        <v>6</v>
      </c>
      <c r="AF43" s="172">
        <f t="shared" si="30"/>
        <v>4</v>
      </c>
      <c r="AG43" s="172">
        <f t="shared" si="30"/>
        <v>4</v>
      </c>
      <c r="AH43" s="3">
        <f>SUM(C43:AG43)</f>
        <v>134</v>
      </c>
      <c r="AI43" s="3">
        <f>SUM(AI31:AI40)</f>
        <v>8</v>
      </c>
      <c r="AJ43" s="3">
        <f>SUM(AJ31:AJ40)</f>
        <v>10</v>
      </c>
      <c r="AK43" s="3">
        <f>SUM(AK31:AK40)</f>
        <v>35</v>
      </c>
      <c r="AL43" s="3">
        <f>SUM(AL31:AL40)</f>
        <v>227</v>
      </c>
      <c r="AM43" s="3">
        <f>SUM(AM31:AM40)-SUM(AM35:AM36)-SUM(AM41:AM42)</f>
        <v>9</v>
      </c>
      <c r="AN43" s="3">
        <f>SUM(AN31:AN40)</f>
        <v>15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0</v>
      </c>
      <c r="D45" s="360">
        <f>COUNTIF(D31:D40,"off")</f>
        <v>2</v>
      </c>
      <c r="E45" s="360">
        <f t="shared" ref="E45:AG45" si="31">COUNTIF(E31:E40,"off")</f>
        <v>2</v>
      </c>
      <c r="F45" s="360">
        <f t="shared" si="31"/>
        <v>2</v>
      </c>
      <c r="G45" s="360">
        <f t="shared" si="31"/>
        <v>3</v>
      </c>
      <c r="H45" s="360">
        <f t="shared" si="31"/>
        <v>2</v>
      </c>
      <c r="I45" s="360">
        <f t="shared" si="31"/>
        <v>3</v>
      </c>
      <c r="J45" s="360">
        <f t="shared" si="31"/>
        <v>0</v>
      </c>
      <c r="K45" s="360">
        <f t="shared" si="31"/>
        <v>0</v>
      </c>
      <c r="L45" s="360">
        <f t="shared" si="31"/>
        <v>0</v>
      </c>
      <c r="M45" s="360">
        <f t="shared" si="31"/>
        <v>0</v>
      </c>
      <c r="N45" s="360">
        <f t="shared" si="31"/>
        <v>0</v>
      </c>
      <c r="O45" s="360">
        <f t="shared" si="31"/>
        <v>0</v>
      </c>
      <c r="P45" s="360">
        <f t="shared" si="31"/>
        <v>4</v>
      </c>
      <c r="Q45" s="360">
        <f t="shared" si="31"/>
        <v>0</v>
      </c>
      <c r="R45" s="360">
        <f t="shared" si="31"/>
        <v>1</v>
      </c>
      <c r="S45" s="360">
        <f t="shared" si="31"/>
        <v>0</v>
      </c>
      <c r="T45" s="360">
        <f t="shared" si="31"/>
        <v>0</v>
      </c>
      <c r="U45" s="360">
        <f t="shared" si="31"/>
        <v>0</v>
      </c>
      <c r="V45" s="360">
        <f t="shared" si="31"/>
        <v>0</v>
      </c>
      <c r="W45" s="360">
        <f t="shared" si="31"/>
        <v>4</v>
      </c>
      <c r="X45" s="360">
        <f t="shared" si="31"/>
        <v>2</v>
      </c>
      <c r="Y45" s="360">
        <f t="shared" si="31"/>
        <v>2</v>
      </c>
      <c r="Z45" s="360">
        <f t="shared" si="31"/>
        <v>2</v>
      </c>
      <c r="AA45" s="360">
        <f t="shared" si="31"/>
        <v>1</v>
      </c>
      <c r="AB45" s="360">
        <f t="shared" si="31"/>
        <v>0</v>
      </c>
      <c r="AC45" s="360">
        <f t="shared" si="31"/>
        <v>1</v>
      </c>
      <c r="AD45" s="360">
        <f t="shared" si="31"/>
        <v>4</v>
      </c>
      <c r="AE45" s="360">
        <f t="shared" si="31"/>
        <v>0</v>
      </c>
      <c r="AF45" s="360">
        <f t="shared" si="31"/>
        <v>0</v>
      </c>
      <c r="AG45" s="360">
        <f t="shared" si="31"/>
        <v>0</v>
      </c>
    </row>
  </sheetData>
  <protectedRanges>
    <protectedRange password="CC6F" sqref="C4:AG5 D1:P2 A29:AG30 AH31:AN43 AR6:AU6 BB4:BC4 BB2:BH2 AR7:AR16 AS7:AU17 C18:AG18 C43:AG43 AH6:AN18" name="範圍1_24_24_24"/>
  </protectedRanges>
  <mergeCells count="17"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  <mergeCell ref="AH5:AM5"/>
    <mergeCell ref="A26:T26"/>
    <mergeCell ref="A1:C2"/>
    <mergeCell ref="D1:E1"/>
    <mergeCell ref="G1:H1"/>
    <mergeCell ref="J1:K1"/>
    <mergeCell ref="T1:W2"/>
  </mergeCells>
  <phoneticPr fontId="11" type="noConversion"/>
  <conditionalFormatting sqref="AH4">
    <cfRule type="expression" dxfId="365" priority="46" stopIfTrue="1">
      <formula>WEEKDAY(AH$4)=7</formula>
    </cfRule>
    <cfRule type="expression" dxfId="364" priority="47" stopIfTrue="1">
      <formula>WEEKDAY(AH$4)=1</formula>
    </cfRule>
    <cfRule type="expression" dxfId="363" priority="48" stopIfTrue="1">
      <formula>WEEKDAY(AH$4)=7</formula>
    </cfRule>
    <cfRule type="expression" dxfId="362" priority="49" stopIfTrue="1">
      <formula>WEEKDAY(AH$4)=1</formula>
    </cfRule>
  </conditionalFormatting>
  <conditionalFormatting sqref="C43:AG43">
    <cfRule type="expression" dxfId="361" priority="50" stopIfTrue="1">
      <formula>(COUNTIF(C$31:C$42,"off")+COUNTIF(C$31:C$42,"護"))&lt;&gt;C$43</formula>
    </cfRule>
  </conditionalFormatting>
  <conditionalFormatting sqref="C4:AG5 C16:AG17">
    <cfRule type="expression" dxfId="360" priority="44" stopIfTrue="1">
      <formula>WEEKDAY(C$4,2)=6</formula>
    </cfRule>
    <cfRule type="expression" dxfId="359" priority="45" stopIfTrue="1">
      <formula>WEEKDAY(C$4,2)=7</formula>
    </cfRule>
  </conditionalFormatting>
  <conditionalFormatting sqref="CD5">
    <cfRule type="expression" dxfId="358" priority="42" stopIfTrue="1">
      <formula>COUNTIF(#REF!,"D")&lt;&gt;$BV4</formula>
    </cfRule>
  </conditionalFormatting>
  <conditionalFormatting sqref="CF5">
    <cfRule type="expression" dxfId="357" priority="43" stopIfTrue="1">
      <formula>COUNTIF(#REF!,"N")&lt;&gt;#REF!</formula>
    </cfRule>
  </conditionalFormatting>
  <conditionalFormatting sqref="CF14">
    <cfRule type="expression" dxfId="356" priority="51" stopIfTrue="1">
      <formula>COUNTIF($C9:$AH9,"N")&lt;&gt;#REF!</formula>
    </cfRule>
  </conditionalFormatting>
  <conditionalFormatting sqref="CF15">
    <cfRule type="expression" dxfId="355" priority="52" stopIfTrue="1">
      <formula>COUNTIF($C9:$AH9,"N")&lt;&gt;#REF!</formula>
    </cfRule>
  </conditionalFormatting>
  <conditionalFormatting sqref="CD6:CD9">
    <cfRule type="expression" dxfId="354" priority="53" stopIfTrue="1">
      <formula>COUNTIF($C2:$AG2,"D")&lt;&gt;$BV5</formula>
    </cfRule>
  </conditionalFormatting>
  <conditionalFormatting sqref="CF12:CF15">
    <cfRule type="expression" dxfId="353" priority="54" stopIfTrue="1">
      <formula>COUNTIF($C8:$AH8,"N")&lt;&gt;#REF!</formula>
    </cfRule>
  </conditionalFormatting>
  <conditionalFormatting sqref="CD12:CD15">
    <cfRule type="expression" dxfId="352" priority="55" stopIfTrue="1">
      <formula>COUNTIF($C8:$AH8,"D")&lt;&gt;$BV11</formula>
    </cfRule>
  </conditionalFormatting>
  <conditionalFormatting sqref="CF6:CF9">
    <cfRule type="expression" dxfId="351" priority="56" stopIfTrue="1">
      <formula>COUNTIF($C2:$AG2,"N")&lt;&gt;#REF!</formula>
    </cfRule>
  </conditionalFormatting>
  <conditionalFormatting sqref="CF11">
    <cfRule type="expression" dxfId="350" priority="57" stopIfTrue="1">
      <formula>COUNTIF($D7:$AH7,"N")&lt;&gt;#REF!</formula>
    </cfRule>
  </conditionalFormatting>
  <conditionalFormatting sqref="CD11">
    <cfRule type="expression" dxfId="349" priority="58" stopIfTrue="1">
      <formula>COUNTIF($D7:$AH7,"D")&lt;&gt;$BV10</formula>
    </cfRule>
  </conditionalFormatting>
  <conditionalFormatting sqref="AH29">
    <cfRule type="expression" dxfId="348" priority="38" stopIfTrue="1">
      <formula>WEEKDAY(AH$4)=7</formula>
    </cfRule>
    <cfRule type="expression" dxfId="347" priority="39" stopIfTrue="1">
      <formula>WEEKDAY(AH$4)=1</formula>
    </cfRule>
    <cfRule type="expression" dxfId="346" priority="40" stopIfTrue="1">
      <formula>WEEKDAY(AH$4)=7</formula>
    </cfRule>
    <cfRule type="expression" dxfId="345" priority="41" stopIfTrue="1">
      <formula>WEEKDAY(AH$4)=1</formula>
    </cfRule>
  </conditionalFormatting>
  <conditionalFormatting sqref="C29:AG30 C31:G31 I31:N31 P31:U31 W31:AB31 AD31:AG31 C32:AG42">
    <cfRule type="expression" dxfId="344" priority="36" stopIfTrue="1">
      <formula>WEEKDAY(C$4,2)=6</formula>
    </cfRule>
    <cfRule type="expression" dxfId="343" priority="37" stopIfTrue="1">
      <formula>WEEKDAY(C$4,2)=7</formula>
    </cfRule>
  </conditionalFormatting>
  <conditionalFormatting sqref="C18:AG18">
    <cfRule type="expression" dxfId="342" priority="35" stopIfTrue="1">
      <formula>(COUNTIF(C$6:C$17,"off")+COUNTIF(C$6:C$17,"護"))&lt;&gt;C$18</formula>
    </cfRule>
  </conditionalFormatting>
  <conditionalFormatting sqref="O31">
    <cfRule type="expression" dxfId="341" priority="27" stopIfTrue="1">
      <formula>WEEKDAY(O$4,2)=6</formula>
    </cfRule>
    <cfRule type="expression" dxfId="340" priority="28" stopIfTrue="1">
      <formula>WEEKDAY(O$4,2)=7</formula>
    </cfRule>
  </conditionalFormatting>
  <conditionalFormatting sqref="V31">
    <cfRule type="expression" dxfId="339" priority="25" stopIfTrue="1">
      <formula>WEEKDAY(V$4,2)=6</formula>
    </cfRule>
    <cfRule type="expression" dxfId="338" priority="26" stopIfTrue="1">
      <formula>WEEKDAY(V$4,2)=7</formula>
    </cfRule>
  </conditionalFormatting>
  <conditionalFormatting sqref="AC31">
    <cfRule type="expression" dxfId="337" priority="23" stopIfTrue="1">
      <formula>WEEKDAY(AC$4,2)=6</formula>
    </cfRule>
    <cfRule type="expression" dxfId="336" priority="24" stopIfTrue="1">
      <formula>WEEKDAY(AC$4,2)=7</formula>
    </cfRule>
  </conditionalFormatting>
  <conditionalFormatting sqref="H31">
    <cfRule type="expression" dxfId="335" priority="11" stopIfTrue="1">
      <formula>WEEKDAY(H$4,2)=6</formula>
    </cfRule>
    <cfRule type="expression" dxfId="334" priority="12" stopIfTrue="1">
      <formula>WEEKDAY(H$4,2)=7</formula>
    </cfRule>
  </conditionalFormatting>
  <conditionalFormatting sqref="C6:G6 I6:N6 P6:U6 W6:AB6 AD6:AG6 C7:AG15">
    <cfRule type="expression" dxfId="333" priority="9" stopIfTrue="1">
      <formula>WEEKDAY(C$4,2)=6</formula>
    </cfRule>
    <cfRule type="expression" dxfId="332" priority="10" stopIfTrue="1">
      <formula>WEEKDAY(C$4,2)=7</formula>
    </cfRule>
  </conditionalFormatting>
  <conditionalFormatting sqref="O6">
    <cfRule type="expression" dxfId="331" priority="7" stopIfTrue="1">
      <formula>WEEKDAY(O$4,2)=6</formula>
    </cfRule>
    <cfRule type="expression" dxfId="330" priority="8" stopIfTrue="1">
      <formula>WEEKDAY(O$4,2)=7</formula>
    </cfRule>
  </conditionalFormatting>
  <conditionalFormatting sqref="V6">
    <cfRule type="expression" dxfId="329" priority="5" stopIfTrue="1">
      <formula>WEEKDAY(V$4,2)=6</formula>
    </cfRule>
    <cfRule type="expression" dxfId="328" priority="6" stopIfTrue="1">
      <formula>WEEKDAY(V$4,2)=7</formula>
    </cfRule>
  </conditionalFormatting>
  <conditionalFormatting sqref="AC6">
    <cfRule type="expression" dxfId="327" priority="3" stopIfTrue="1">
      <formula>WEEKDAY(AC$4,2)=6</formula>
    </cfRule>
    <cfRule type="expression" dxfId="326" priority="4" stopIfTrue="1">
      <formula>WEEKDAY(AC$4,2)=7</formula>
    </cfRule>
  </conditionalFormatting>
  <conditionalFormatting sqref="H6">
    <cfRule type="expression" dxfId="325" priority="1" stopIfTrue="1">
      <formula>WEEKDAY(H$4,2)=6</formula>
    </cfRule>
    <cfRule type="expression" dxfId="324" priority="2" stopIfTrue="1">
      <formula>WEEKDAY(H$4,2)=7</formula>
    </cfRule>
  </conditionalFormatting>
  <dataValidations count="5">
    <dataValidation type="list" allowBlank="1" sqref="C31:AG40 C6:AG15" xr:uid="{FAB2D4FA-761E-48DD-A6DC-D4BD4A45B520}">
      <formula1>$AI$3:$AL$3</formula1>
    </dataValidation>
    <dataValidation type="list" allowBlank="1" sqref="C16:AG16" xr:uid="{8A4BF34A-E56A-44E8-9B1F-BBD80EA924FE}">
      <formula1>$AI$4:$AK$4</formula1>
    </dataValidation>
    <dataValidation type="list" allowBlank="1" showInputMessage="1" sqref="C17:AG17 C41:AG42" xr:uid="{A574113B-CD12-43EC-A40A-2208898502AC}">
      <formula1>$AI$19:$AI$31</formula1>
    </dataValidation>
    <dataValidation type="list" allowBlank="1" showInputMessage="1" sqref="A43:A44 A18:A19" xr:uid="{71D11C35-2FAE-4CBF-BE5B-40C85D234844}">
      <formula1>$CM$11:$CN$11</formula1>
    </dataValidation>
    <dataValidation type="list" allowBlank="1" sqref="A6:A17 A31:A42" xr:uid="{3561805F-525C-413F-8890-975C614B3C20}">
      <formula1>姓名清單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5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8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9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0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1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6337-B915-4BA8-A38C-A5A1B78CCED8}">
  <sheetPr codeName="工作表26">
    <pageSetUpPr fitToPage="1"/>
  </sheetPr>
  <dimension ref="A1:CP45"/>
  <sheetViews>
    <sheetView tabSelected="1" zoomScale="50" zoomScaleNormal="50" workbookViewId="0">
      <selection activeCell="BK6" sqref="BK6:BK17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4 ... 2</v>
      </c>
      <c r="G1" s="381" t="s">
        <v>410</v>
      </c>
      <c r="H1" s="381"/>
      <c r="I1" s="358" t="str">
        <f>BB4</f>
        <v>4 ... 2</v>
      </c>
      <c r="J1" s="381" t="s">
        <v>437</v>
      </c>
      <c r="K1" s="381"/>
      <c r="L1" s="358" t="str">
        <f>BG4</f>
        <v>16 ... 6</v>
      </c>
      <c r="M1" s="99" t="s">
        <v>438</v>
      </c>
      <c r="N1" s="358">
        <f>COUNTIF(C5:AG5,6)</f>
        <v>4</v>
      </c>
      <c r="O1" s="99" t="s">
        <v>439</v>
      </c>
      <c r="P1" s="358">
        <f>COUNTIF(C5:AG5,"日")</f>
        <v>4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4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30</v>
      </c>
      <c r="BC2" s="350">
        <f>DAY(EOMONTH(C4,0))</f>
        <v>30</v>
      </c>
      <c r="BD2" s="350">
        <f>IF(ISBLANK(AY2), (COUNTIF(C5:AG5,"6")-COUNTIFS(C5:AG5,"6",C19:AG19,"國"))*(COUNTA(BJ6:BJ17)-AX5-COUNTA(BL6:BL17))+COUNTIFS(C5:AG5,"6",C44:AG44,"國")*(COUNTA(BJ6:BJ17)-AX3-AX4-COUNTA(BL6:BL17)), "手動計算填入下方")</f>
        <v>18</v>
      </c>
      <c r="BE2" s="350">
        <f>COUNTIF(C5:AG5,"日")*((COUNTA(BJ6:BJ17))-AX4-AX3-COUNTA(AX14BE4:BL6:BL17))</f>
        <v>20</v>
      </c>
      <c r="BF2" s="350">
        <f>IF(ISBLANK(AY2),(SUMPRODUCT(--(C4:AG4&lt;&gt;""))-COUNTIF(C5:AG5,"日")-COUNTIF(C5:AG5,"6")-BH2)*((COUNTA(BJ6:BJ17))-AX5-COUNTA(BL6:BL17)),"手動計算填入下方")</f>
        <v>72</v>
      </c>
      <c r="BG2" s="350" cm="1">
        <f t="array" ref="BG2">IF(ISBLANK(AY2),(COUNTIF(C5:AG5,"6")-COUNTIFS(C5:AG5,"6",C44:AG44,"國"))*(COUNTA(BJ6:BJ17)-AX5-COUNTA(BL6:BL17))+COUNTIFS(C5:AG5,"6",C44:AG44,"國")*(COUNTA(BJ6:BJ17)-AX3-AX4-COUNTA(BL6:BL17)),BD3)+BE2+BH2*((COUNTA(BJ6:BJ17))-AX2-COUNTA(BL6:BL17))+IF(ISBLANK(AY2),((SUMPRODUCT(--(C4:AG4&lt;&gt;""))-COUNTIF(C5:AG5,"日")-COUNTIF(C5:AG5,"6")-BH2)*((COUNTA(BJ6:BJ17))-AX5-COUNTA(BL6:BL17))),BF3)+BG5</f>
        <v>134</v>
      </c>
      <c r="BH2" s="350">
        <f>COUNTIF(C19:AG19,"*國*")</f>
        <v>4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/>
      </c>
      <c r="D3" s="321" t="str">
        <f t="shared" ref="D3:AF3" si="0">IF(D28="","",D28)</f>
        <v/>
      </c>
      <c r="E3" s="321" t="str">
        <f>IF(E28="","",E28)</f>
        <v>兒童</v>
      </c>
      <c r="F3" s="321" t="str">
        <f>IF(F28="","",F28)</f>
        <v>兒童</v>
      </c>
      <c r="G3" s="321" t="str">
        <f t="shared" si="0"/>
        <v>清明</v>
      </c>
      <c r="H3" s="321" t="str">
        <f t="shared" si="0"/>
        <v>清明</v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 cm="1">
        <f t="array" ref="BG3">IF(ISBLANK(AY2),COUNTIF(C6:AG6,"6")*(COUNTA(BJ6:BJ17)-AX5-COUNTA(BL6:BL17)),BD3)+BE2+BH2*((COUNTA(BJ6:BJ17))-AX2-COUNTA(BL6:BL17))+IF(ISBLANK(AY2),((SUMPRODUCT(--(C5:AG5&lt;&gt;""))-COUNTIF(C6:AG6,"日")-COUNTIF(C6:AG6,"6")-BH2)*((COUNTA(BJ6:BJ17))-AX5-COUNTA(BL6:BL17))),BF3)+BG5</f>
        <v>148</v>
      </c>
      <c r="BH3" s="350">
        <f>COUNTIF(C20:AG20,"*國*")</f>
        <v>0</v>
      </c>
      <c r="BW3" s="13"/>
    </row>
    <row r="4" spans="1:94" ht="20.25" customHeight="1">
      <c r="A4" s="19" t="s">
        <v>1</v>
      </c>
      <c r="B4" s="19"/>
      <c r="C4" s="30">
        <f>DATE($G$2,$J$2,1)</f>
        <v>46113</v>
      </c>
      <c r="D4" s="30">
        <f>C4+1</f>
        <v>46114</v>
      </c>
      <c r="E4" s="30">
        <f t="shared" ref="E4:AC4" si="1">D4+1</f>
        <v>46115</v>
      </c>
      <c r="F4" s="30">
        <f t="shared" si="1"/>
        <v>46116</v>
      </c>
      <c r="G4" s="30">
        <f t="shared" si="1"/>
        <v>46117</v>
      </c>
      <c r="H4" s="30">
        <f t="shared" si="1"/>
        <v>46118</v>
      </c>
      <c r="I4" s="30">
        <f t="shared" si="1"/>
        <v>46119</v>
      </c>
      <c r="J4" s="30">
        <f t="shared" si="1"/>
        <v>46120</v>
      </c>
      <c r="K4" s="30">
        <f t="shared" si="1"/>
        <v>46121</v>
      </c>
      <c r="L4" s="30">
        <f t="shared" si="1"/>
        <v>46122</v>
      </c>
      <c r="M4" s="30">
        <f t="shared" si="1"/>
        <v>46123</v>
      </c>
      <c r="N4" s="30">
        <f t="shared" si="1"/>
        <v>46124</v>
      </c>
      <c r="O4" s="30">
        <f t="shared" si="1"/>
        <v>46125</v>
      </c>
      <c r="P4" s="30">
        <f t="shared" si="1"/>
        <v>46126</v>
      </c>
      <c r="Q4" s="30">
        <f t="shared" si="1"/>
        <v>46127</v>
      </c>
      <c r="R4" s="30">
        <f t="shared" si="1"/>
        <v>46128</v>
      </c>
      <c r="S4" s="30">
        <f t="shared" si="1"/>
        <v>46129</v>
      </c>
      <c r="T4" s="30">
        <f t="shared" si="1"/>
        <v>46130</v>
      </c>
      <c r="U4" s="30">
        <f t="shared" si="1"/>
        <v>46131</v>
      </c>
      <c r="V4" s="30">
        <f t="shared" si="1"/>
        <v>46132</v>
      </c>
      <c r="W4" s="30">
        <f t="shared" si="1"/>
        <v>46133</v>
      </c>
      <c r="X4" s="30">
        <f t="shared" si="1"/>
        <v>46134</v>
      </c>
      <c r="Y4" s="30">
        <f t="shared" si="1"/>
        <v>46135</v>
      </c>
      <c r="Z4" s="30">
        <f t="shared" si="1"/>
        <v>46136</v>
      </c>
      <c r="AA4" s="30">
        <f t="shared" si="1"/>
        <v>46137</v>
      </c>
      <c r="AB4" s="30">
        <f t="shared" si="1"/>
        <v>46138</v>
      </c>
      <c r="AC4" s="30">
        <f t="shared" si="1"/>
        <v>46139</v>
      </c>
      <c r="AD4" s="30">
        <f>IFERROR(IF(MONTH(AC4+1)=$J$2,AC4+1,""),"")</f>
        <v>46140</v>
      </c>
      <c r="AE4" s="30">
        <f>IFERROR(IF(MONTH(AD4+1)=$J$2,AD4+1,""),"")</f>
        <v>46141</v>
      </c>
      <c r="AF4" s="30">
        <f>IFERROR(IF(MONTH(AE4+1)=$J$2,AE4+1,""),"")</f>
        <v>46142</v>
      </c>
      <c r="AG4" s="30" t="str">
        <f>IFERROR(IF(MONTH(AF4+1)=$J$2,AF4+1,""),"")</f>
        <v/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4 ... 2</v>
      </c>
      <c r="BC4" s="350" t="str">
        <f>QUOTIENT((COUNTA(C4:AG4)-COUNTIF(AE4:AG4,"")),COUNTA(BJ6:BJ15)-COUNTA(BL6:BL17))&amp;" ... "&amp;MOD((COUNTA(C4:AG4)-COUNTIF(AE4:AG4,"")),COUNTA(BJ6:BJ15)-COUNTA(BL6:BL17))</f>
        <v>4 ... 2</v>
      </c>
      <c r="BD4" s="350"/>
      <c r="BE4" s="350"/>
      <c r="BF4" s="350"/>
      <c r="BG4" s="350" t="str">
        <f>QUOTIENT(BG2,COUNTA(BJ6:BJ17)-COUNTA(BL6:BL17))&amp;" ... "&amp;MOD(BG2,COUNTA(BJ6:BJ17)-COUNTA(BL6:BL17))</f>
        <v>16 ... 6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2">IFERROR(IF(WEEKDAY(C4,2)=7,"日",WEEKDAY(C4,2)),"")</f>
        <v>3</v>
      </c>
      <c r="D5" s="31">
        <f>IFERROR(IF(WEEKDAY(D4,2)=7,"日",WEEKDAY(D4,2)),"")</f>
        <v>4</v>
      </c>
      <c r="E5" s="31">
        <f t="shared" si="2"/>
        <v>5</v>
      </c>
      <c r="F5" s="31">
        <f t="shared" si="2"/>
        <v>6</v>
      </c>
      <c r="G5" s="31" t="str">
        <f t="shared" si="2"/>
        <v>日</v>
      </c>
      <c r="H5" s="31">
        <f t="shared" si="2"/>
        <v>1</v>
      </c>
      <c r="I5" s="31">
        <f t="shared" si="2"/>
        <v>2</v>
      </c>
      <c r="J5" s="31">
        <f t="shared" si="2"/>
        <v>3</v>
      </c>
      <c r="K5" s="31">
        <f t="shared" si="2"/>
        <v>4</v>
      </c>
      <c r="L5" s="31">
        <f t="shared" si="2"/>
        <v>5</v>
      </c>
      <c r="M5" s="31">
        <f t="shared" si="2"/>
        <v>6</v>
      </c>
      <c r="N5" s="31" t="str">
        <f t="shared" si="2"/>
        <v>日</v>
      </c>
      <c r="O5" s="31">
        <f t="shared" si="2"/>
        <v>1</v>
      </c>
      <c r="P5" s="31">
        <f t="shared" si="2"/>
        <v>2</v>
      </c>
      <c r="Q5" s="31">
        <f t="shared" si="2"/>
        <v>3</v>
      </c>
      <c r="R5" s="31">
        <f t="shared" si="2"/>
        <v>4</v>
      </c>
      <c r="S5" s="31">
        <f t="shared" si="2"/>
        <v>5</v>
      </c>
      <c r="T5" s="31">
        <f t="shared" si="2"/>
        <v>6</v>
      </c>
      <c r="U5" s="31" t="str">
        <f t="shared" si="2"/>
        <v>日</v>
      </c>
      <c r="V5" s="31">
        <f t="shared" si="2"/>
        <v>1</v>
      </c>
      <c r="W5" s="31">
        <f t="shared" si="2"/>
        <v>2</v>
      </c>
      <c r="X5" s="31">
        <f t="shared" si="2"/>
        <v>3</v>
      </c>
      <c r="Y5" s="31">
        <f t="shared" si="2"/>
        <v>4</v>
      </c>
      <c r="Z5" s="31">
        <f t="shared" si="2"/>
        <v>5</v>
      </c>
      <c r="AA5" s="31">
        <f t="shared" si="2"/>
        <v>6</v>
      </c>
      <c r="AB5" s="31" t="str">
        <f t="shared" si="2"/>
        <v>日</v>
      </c>
      <c r="AC5" s="31">
        <f t="shared" si="2"/>
        <v>1</v>
      </c>
      <c r="AD5" s="31">
        <f t="shared" si="2"/>
        <v>2</v>
      </c>
      <c r="AE5" s="31">
        <f t="shared" si="2"/>
        <v>3</v>
      </c>
      <c r="AF5" s="31">
        <f t="shared" si="2"/>
        <v>4</v>
      </c>
      <c r="AG5" s="31" t="str">
        <f t="shared" si="2"/>
        <v/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">
        <f t="shared" ref="AH6:AH17" si="3">(AI6*12)+(AJ6*12)+(AL6*8)+(AM6*4)</f>
        <v>232</v>
      </c>
      <c r="AI6" s="3">
        <f>COUNTIF(C6:AG6,"D")+COUNTIF(C6:AG6,"NrsD")</f>
        <v>0</v>
      </c>
      <c r="AJ6" s="3">
        <f>COUNTIF(C6:AG6,"N")</f>
        <v>0</v>
      </c>
      <c r="AK6" s="3">
        <f>COUNTIF(C6:AG6,"OFF")+COUNTIF(C6:AG6,"上課")</f>
        <v>0</v>
      </c>
      <c r="AL6" s="3">
        <f>COUNTIF(C6:AG6,"")-AM6+COUNTIF(C6:AG6,"h3")</f>
        <v>27</v>
      </c>
      <c r="AM6" s="3">
        <f>COUNTIFS($C$5:$AG$5,"6",C6:AG6,"")+COUNTIF(C6:AG6,"h3")</f>
        <v>4</v>
      </c>
      <c r="AN6" s="3">
        <f t="array" ref="AN6">SUMPRODUCT(($C$5:$AG$5=6)*(C6:AG6="off"))</f>
        <v>0</v>
      </c>
      <c r="AO6" s="3" t="s">
        <v>404</v>
      </c>
      <c r="AP6" s="3" t="s">
        <v>56</v>
      </c>
      <c r="AQ6" s="12"/>
      <c r="AR6" s="256">
        <f>BN6</f>
        <v>4</v>
      </c>
      <c r="AS6" s="256">
        <f>BP6</f>
        <v>4</v>
      </c>
      <c r="AT6" s="256">
        <f>BR6</f>
        <v>17</v>
      </c>
      <c r="AU6" s="256">
        <f>BT6</f>
        <v>2</v>
      </c>
      <c r="AV6" s="91"/>
      <c r="BJ6" s="348" t="s">
        <v>384</v>
      </c>
      <c r="BK6" s="348" t="str">
        <f>A31</f>
        <v>B黃郁芳</v>
      </c>
      <c r="BL6" s="348"/>
      <c r="BM6" s="348"/>
      <c r="BN6" s="348">
        <v>4</v>
      </c>
      <c r="BO6" s="348" t="s">
        <v>419</v>
      </c>
      <c r="BP6" s="348">
        <v>4</v>
      </c>
      <c r="BQ6" s="348"/>
      <c r="BR6" s="348">
        <v>17</v>
      </c>
      <c r="BS6" s="348"/>
      <c r="BT6" s="348">
        <v>2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52"/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">
        <f t="shared" si="3"/>
        <v>232</v>
      </c>
      <c r="AI7" s="3">
        <f>COUNTIF(C7:AG7,"D")+COUNTIF(C7:AG7,"NrsD")</f>
        <v>0</v>
      </c>
      <c r="AJ7" s="3">
        <f>COUNTIF(C7:AG7,"N")</f>
        <v>0</v>
      </c>
      <c r="AK7" s="3">
        <f>COUNTIF(C7:AG7,"OFF")+COUNTIF(C7:AG7,"上課")</f>
        <v>0</v>
      </c>
      <c r="AL7" s="3">
        <f>COUNTIF(C7:AG7,"")-AM7+COUNTIF(C7:AG7,"h3")</f>
        <v>27</v>
      </c>
      <c r="AM7" s="3">
        <f>COUNTIFS($C$5:$AG$5,"6",C7:AG7,"")+COUNTIF(C7:AG7,"h3")</f>
        <v>4</v>
      </c>
      <c r="AN7" s="3">
        <f t="array" ref="AN7">SUMPRODUCT(($C$5:$AG$5=6)*(C7:AG7="off"))</f>
        <v>0</v>
      </c>
      <c r="AO7" s="3" t="s">
        <v>406</v>
      </c>
      <c r="AP7" s="3" t="s">
        <v>84</v>
      </c>
      <c r="AQ7" s="12"/>
      <c r="AR7" s="256">
        <f t="shared" ref="AR7:AR17" si="5">BN7</f>
        <v>4</v>
      </c>
      <c r="AS7" s="256">
        <f t="shared" ref="AS7:AS17" si="6">BP7</f>
        <v>3</v>
      </c>
      <c r="AT7" s="256">
        <f t="shared" ref="AT7:AT17" si="7">BR7</f>
        <v>17</v>
      </c>
      <c r="AU7" s="256">
        <f t="shared" ref="AU7:AU17" si="8">BT7</f>
        <v>2</v>
      </c>
      <c r="BJ7" s="348" t="s">
        <v>384</v>
      </c>
      <c r="BK7" s="348" t="str">
        <f t="shared" ref="BK7:BK17" si="9">A32</f>
        <v>C詹絲庭</v>
      </c>
      <c r="BL7" s="348"/>
      <c r="BM7" s="348"/>
      <c r="BN7" s="348">
        <v>4</v>
      </c>
      <c r="BO7" s="348"/>
      <c r="BP7" s="348">
        <v>3</v>
      </c>
      <c r="BQ7" s="348" t="s">
        <v>419</v>
      </c>
      <c r="BR7" s="348">
        <v>17</v>
      </c>
      <c r="BS7" s="348" t="s">
        <v>419</v>
      </c>
      <c r="BT7" s="348">
        <v>2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">
        <f t="shared" si="3"/>
        <v>232</v>
      </c>
      <c r="AI8" s="3">
        <f>COUNTIF(C8:AG8,"D")+COUNTIF(C8:AG8,"NrsD")</f>
        <v>0</v>
      </c>
      <c r="AJ8" s="3">
        <f t="shared" ref="AJ8:AJ17" si="11">COUNTIF(C8:AG8,"N")</f>
        <v>0</v>
      </c>
      <c r="AK8" s="3">
        <f t="shared" ref="AK8:AK17" si="12">COUNTIF(C8:AG8,"OFF")+COUNTIF(C8:AG8,"上課")</f>
        <v>0</v>
      </c>
      <c r="AL8" s="3">
        <f t="shared" ref="AL8:AL17" si="13">COUNTIF(C8:AG8,"")-AM8+COUNTIF(C8:AG8,"h3")</f>
        <v>27</v>
      </c>
      <c r="AM8" s="3">
        <f t="shared" ref="AM8:AM17" si="14">COUNTIFS($C$5:$AG$5,"6",C8:AG8,"")+COUNTIF(C8:AG8,"h3")</f>
        <v>4</v>
      </c>
      <c r="AN8" s="3">
        <f t="array" ref="AN8">SUMPRODUCT(($C$5:$AG$5=6)*(C8:AG8="off"))</f>
        <v>0</v>
      </c>
      <c r="AO8" s="3" t="s">
        <v>407</v>
      </c>
      <c r="AP8" s="3" t="s">
        <v>90</v>
      </c>
      <c r="AQ8" s="12"/>
      <c r="AR8" s="256">
        <f t="shared" si="5"/>
        <v>4</v>
      </c>
      <c r="AS8" s="256">
        <f t="shared" si="6"/>
        <v>3</v>
      </c>
      <c r="AT8" s="256">
        <f t="shared" si="7"/>
        <v>16</v>
      </c>
      <c r="AU8" s="256">
        <f t="shared" si="8"/>
        <v>2</v>
      </c>
      <c r="BJ8" s="348" t="s">
        <v>384</v>
      </c>
      <c r="BK8" s="348" t="str">
        <f t="shared" si="9"/>
        <v>D王子建</v>
      </c>
      <c r="BL8" s="348"/>
      <c r="BM8" s="348" t="s">
        <v>419</v>
      </c>
      <c r="BN8" s="348">
        <v>4</v>
      </c>
      <c r="BO8" s="348"/>
      <c r="BP8" s="348">
        <v>3</v>
      </c>
      <c r="BQ8" s="348"/>
      <c r="BR8" s="348">
        <v>16</v>
      </c>
      <c r="BS8" s="348" t="s">
        <v>448</v>
      </c>
      <c r="BT8" s="348">
        <v>2</v>
      </c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">
        <f t="shared" si="3"/>
        <v>232</v>
      </c>
      <c r="AI9" s="3">
        <f t="shared" ref="AI9:AI15" si="15">COUNTIF(C9:AG9,"D")+COUNTIF(C9:AG9,"NrsD")</f>
        <v>0</v>
      </c>
      <c r="AJ9" s="3">
        <f t="shared" si="11"/>
        <v>0</v>
      </c>
      <c r="AK9" s="3">
        <f t="shared" si="12"/>
        <v>0</v>
      </c>
      <c r="AL9" s="3">
        <f t="shared" si="13"/>
        <v>27</v>
      </c>
      <c r="AM9" s="3">
        <f t="shared" si="14"/>
        <v>4</v>
      </c>
      <c r="AN9" s="3">
        <f t="array" ref="AN9">SUMPRODUCT(($C$5:$AG$5=6)*(C9:AG9="off"))</f>
        <v>0</v>
      </c>
      <c r="AO9" s="3" t="s">
        <v>405</v>
      </c>
      <c r="AP9" s="3" t="s">
        <v>72</v>
      </c>
      <c r="AQ9" s="12"/>
      <c r="AR9" s="256">
        <f t="shared" si="5"/>
        <v>3</v>
      </c>
      <c r="AS9" s="256">
        <f t="shared" si="6"/>
        <v>4</v>
      </c>
      <c r="AT9" s="256">
        <f t="shared" si="7"/>
        <v>16</v>
      </c>
      <c r="AU9" s="256">
        <f t="shared" si="8"/>
        <v>2</v>
      </c>
      <c r="BJ9" s="348" t="s">
        <v>384</v>
      </c>
      <c r="BK9" s="348" t="str">
        <f t="shared" si="9"/>
        <v>E詹雅慈</v>
      </c>
      <c r="BL9" s="348"/>
      <c r="BM9" s="348"/>
      <c r="BN9" s="348">
        <v>3</v>
      </c>
      <c r="BO9" s="348" t="s">
        <v>448</v>
      </c>
      <c r="BP9" s="348">
        <v>4</v>
      </c>
      <c r="BQ9" s="348"/>
      <c r="BR9" s="348">
        <v>16</v>
      </c>
      <c r="BS9" s="348"/>
      <c r="BT9" s="348">
        <v>2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customHeight="1">
      <c r="A10" s="6" t="str">
        <f t="shared" si="10"/>
        <v>F丁韋綸</v>
      </c>
      <c r="B10" s="338" t="str">
        <f t="shared" si="4"/>
        <v>X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">
        <f t="shared" si="3"/>
        <v>232</v>
      </c>
      <c r="AI10" s="3">
        <f t="shared" si="15"/>
        <v>0</v>
      </c>
      <c r="AJ10" s="3">
        <f t="shared" si="11"/>
        <v>0</v>
      </c>
      <c r="AK10" s="3">
        <f t="shared" si="12"/>
        <v>0</v>
      </c>
      <c r="AL10" s="3">
        <f t="shared" si="13"/>
        <v>27</v>
      </c>
      <c r="AM10" s="3">
        <f t="shared" si="14"/>
        <v>4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customHeight="1">
      <c r="A11" s="6" t="str">
        <f t="shared" si="10"/>
        <v>G陳盈潔</v>
      </c>
      <c r="B11" s="338" t="str">
        <f t="shared" si="4"/>
        <v>X</v>
      </c>
      <c r="C11" s="352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">
        <f t="shared" si="3"/>
        <v>232</v>
      </c>
      <c r="AI11" s="3">
        <f t="shared" si="15"/>
        <v>0</v>
      </c>
      <c r="AJ11" s="3">
        <f t="shared" si="11"/>
        <v>0</v>
      </c>
      <c r="AK11" s="3">
        <f t="shared" si="12"/>
        <v>0</v>
      </c>
      <c r="AL11" s="3">
        <f t="shared" si="13"/>
        <v>27</v>
      </c>
      <c r="AM11" s="3">
        <f t="shared" si="14"/>
        <v>4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10"/>
        <v>H張心柔</v>
      </c>
      <c r="B12" s="338" t="str">
        <f t="shared" si="4"/>
        <v/>
      </c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">
        <f t="shared" si="3"/>
        <v>232</v>
      </c>
      <c r="AI12" s="3">
        <f t="shared" si="15"/>
        <v>0</v>
      </c>
      <c r="AJ12" s="3">
        <f t="shared" si="11"/>
        <v>0</v>
      </c>
      <c r="AK12" s="3">
        <f t="shared" si="12"/>
        <v>0</v>
      </c>
      <c r="AL12" s="3">
        <f t="shared" si="13"/>
        <v>27</v>
      </c>
      <c r="AM12" s="3">
        <f t="shared" si="14"/>
        <v>4</v>
      </c>
      <c r="AN12" s="3">
        <f t="array" ref="AN12">SUMPRODUCT(($C$5:$AG$5=6)*(C12:AG12="off"))</f>
        <v>0</v>
      </c>
      <c r="AO12" s="3" t="s">
        <v>408</v>
      </c>
      <c r="AP12" s="3" t="s">
        <v>95</v>
      </c>
      <c r="AQ12" s="12"/>
      <c r="AR12" s="256">
        <f t="shared" si="5"/>
        <v>3</v>
      </c>
      <c r="AS12" s="256">
        <f t="shared" si="6"/>
        <v>4</v>
      </c>
      <c r="AT12" s="256">
        <f t="shared" si="7"/>
        <v>16</v>
      </c>
      <c r="AU12" s="256">
        <f t="shared" si="8"/>
        <v>2</v>
      </c>
      <c r="BJ12" s="348" t="s">
        <v>384</v>
      </c>
      <c r="BK12" s="348" t="str">
        <f t="shared" si="9"/>
        <v>H張心柔</v>
      </c>
      <c r="BL12" s="348"/>
      <c r="BM12" s="348"/>
      <c r="BN12" s="348">
        <v>3</v>
      </c>
      <c r="BO12" s="348"/>
      <c r="BP12" s="348">
        <v>4</v>
      </c>
      <c r="BQ12" s="348"/>
      <c r="BR12" s="348">
        <v>16</v>
      </c>
      <c r="BS12" s="348"/>
      <c r="BT12" s="348">
        <v>2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I劉子瑄</v>
      </c>
      <c r="B13" s="338" t="str">
        <f t="shared" si="4"/>
        <v/>
      </c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">
        <f t="shared" si="3"/>
        <v>232</v>
      </c>
      <c r="AI13" s="3">
        <f t="shared" si="15"/>
        <v>0</v>
      </c>
      <c r="AJ13" s="3">
        <f t="shared" si="11"/>
        <v>0</v>
      </c>
      <c r="AK13" s="3">
        <f t="shared" si="12"/>
        <v>0</v>
      </c>
      <c r="AL13" s="3">
        <f t="shared" si="13"/>
        <v>27</v>
      </c>
      <c r="AM13" s="3">
        <f t="shared" si="14"/>
        <v>4</v>
      </c>
      <c r="AN13" s="3">
        <f t="array" ref="AN13">SUMPRODUCT(($C$5:$AG$5=6)*(C13:AG13="off"))</f>
        <v>0</v>
      </c>
      <c r="AP13" s="3"/>
      <c r="AQ13" s="12"/>
      <c r="AR13" s="256">
        <f t="shared" si="5"/>
        <v>4</v>
      </c>
      <c r="AS13" s="256">
        <f t="shared" si="6"/>
        <v>4</v>
      </c>
      <c r="AT13" s="256">
        <f t="shared" si="7"/>
        <v>16</v>
      </c>
      <c r="AU13" s="256">
        <f t="shared" si="8"/>
        <v>2</v>
      </c>
      <c r="BJ13" s="348" t="s">
        <v>384</v>
      </c>
      <c r="BK13" s="348" t="str">
        <f t="shared" si="9"/>
        <v>I劉子瑄</v>
      </c>
      <c r="BL13" s="348"/>
      <c r="BM13" s="348" t="s">
        <v>448</v>
      </c>
      <c r="BN13" s="348">
        <v>4</v>
      </c>
      <c r="BO13" s="348"/>
      <c r="BP13" s="348">
        <v>4</v>
      </c>
      <c r="BQ13" s="348"/>
      <c r="BR13" s="348">
        <v>16</v>
      </c>
      <c r="BS13" s="348"/>
      <c r="BT13" s="348">
        <v>2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10"/>
        <v>L陳咨希</v>
      </c>
      <c r="B14" s="338" t="str">
        <f t="shared" si="4"/>
        <v/>
      </c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">
        <f t="shared" si="3"/>
        <v>232</v>
      </c>
      <c r="AI14" s="3">
        <f t="shared" si="15"/>
        <v>0</v>
      </c>
      <c r="AJ14" s="3">
        <f t="shared" si="11"/>
        <v>0</v>
      </c>
      <c r="AK14" s="3">
        <f t="shared" si="12"/>
        <v>0</v>
      </c>
      <c r="AL14" s="3">
        <f t="shared" si="13"/>
        <v>27</v>
      </c>
      <c r="AM14" s="3">
        <f t="shared" si="14"/>
        <v>4</v>
      </c>
      <c r="AN14" s="3">
        <f t="array" ref="AN14">SUMPRODUCT(($C$5:$AG$5=6)*(C14:AG14="off"))</f>
        <v>0</v>
      </c>
      <c r="AO14" s="3"/>
      <c r="AP14" s="3"/>
      <c r="AQ14" s="12"/>
      <c r="AR14" s="256">
        <f t="shared" si="5"/>
        <v>4</v>
      </c>
      <c r="AS14" s="256">
        <f t="shared" si="6"/>
        <v>4</v>
      </c>
      <c r="AT14" s="256">
        <f t="shared" si="7"/>
        <v>17</v>
      </c>
      <c r="AU14" s="256">
        <f t="shared" si="8"/>
        <v>2</v>
      </c>
      <c r="AY14" s="335"/>
      <c r="BJ14" s="348" t="s">
        <v>451</v>
      </c>
      <c r="BK14" s="348" t="str">
        <f t="shared" si="9"/>
        <v>L陳咨希</v>
      </c>
      <c r="BL14" s="348"/>
      <c r="BM14" s="348"/>
      <c r="BN14" s="348">
        <v>4</v>
      </c>
      <c r="BO14" s="348"/>
      <c r="BP14" s="348">
        <v>4</v>
      </c>
      <c r="BQ14" s="348" t="s">
        <v>448</v>
      </c>
      <c r="BR14" s="348">
        <v>17</v>
      </c>
      <c r="BS14" s="348"/>
      <c r="BT14" s="348">
        <v>2</v>
      </c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J林瑋嫻</v>
      </c>
      <c r="B15" s="338" t="str">
        <f t="shared" si="4"/>
        <v>x</v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">
        <f t="shared" si="3"/>
        <v>232</v>
      </c>
      <c r="AI15" s="3">
        <f t="shared" si="15"/>
        <v>0</v>
      </c>
      <c r="AJ15" s="3">
        <f t="shared" si="11"/>
        <v>0</v>
      </c>
      <c r="AK15" s="3">
        <f t="shared" si="12"/>
        <v>0</v>
      </c>
      <c r="AL15" s="3">
        <f t="shared" si="13"/>
        <v>27</v>
      </c>
      <c r="AM15" s="3">
        <f t="shared" si="14"/>
        <v>4</v>
      </c>
      <c r="AN15" s="3">
        <f t="array" ref="AN15">SUMPRODUCT(($C$5:$AG$5=6)*(C15:AG15="off"))</f>
        <v>0</v>
      </c>
      <c r="AO15" s="3"/>
      <c r="AP15" s="3"/>
      <c r="AQ15" s="12"/>
      <c r="AR15" s="256">
        <f t="shared" si="5"/>
        <v>0</v>
      </c>
      <c r="AS15" s="256">
        <f t="shared" si="6"/>
        <v>0</v>
      </c>
      <c r="AT15" s="256">
        <f t="shared" si="7"/>
        <v>0</v>
      </c>
      <c r="AU15" s="256">
        <f t="shared" si="8"/>
        <v>0</v>
      </c>
      <c r="BJ15" s="348"/>
      <c r="BK15" s="348" t="str">
        <f t="shared" si="9"/>
        <v>J林瑋嫻</v>
      </c>
      <c r="BL15" s="348"/>
      <c r="BM15" s="348"/>
      <c r="BN15" s="348"/>
      <c r="BO15" s="348"/>
      <c r="BP15" s="348"/>
      <c r="BQ15" s="348"/>
      <c r="BR15" s="348"/>
      <c r="BS15" s="348"/>
      <c r="BT15" s="348"/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tr">
        <f t="shared" si="10"/>
        <v>K馮佳祺</v>
      </c>
      <c r="B16" s="338" t="str">
        <f t="shared" si="4"/>
        <v/>
      </c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3"/>
        <v>232</v>
      </c>
      <c r="AI16" s="3">
        <f>COUNTIF(C16:AG16,"D")+COUNTIF(C16:AG16,"NurseD")</f>
        <v>0</v>
      </c>
      <c r="AJ16" s="3">
        <f t="shared" si="11"/>
        <v>0</v>
      </c>
      <c r="AK16" s="3">
        <f t="shared" si="12"/>
        <v>0</v>
      </c>
      <c r="AL16" s="3">
        <f t="shared" si="13"/>
        <v>27</v>
      </c>
      <c r="AM16" s="3">
        <f t="shared" si="14"/>
        <v>4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5"/>
        <v>4</v>
      </c>
      <c r="AS16" s="256">
        <f t="shared" si="6"/>
        <v>4</v>
      </c>
      <c r="AT16" s="256">
        <f t="shared" si="7"/>
        <v>17</v>
      </c>
      <c r="AU16" s="256">
        <f t="shared" si="8"/>
        <v>2</v>
      </c>
      <c r="BJ16" s="355" t="s">
        <v>386</v>
      </c>
      <c r="BK16" s="348" t="str">
        <f t="shared" si="9"/>
        <v>K馮佳祺</v>
      </c>
      <c r="BL16" s="356"/>
      <c r="BM16" s="356"/>
      <c r="BN16" s="356">
        <v>4</v>
      </c>
      <c r="BO16" s="356"/>
      <c r="BP16" s="356">
        <v>4</v>
      </c>
      <c r="BQ16" s="356"/>
      <c r="BR16" s="356">
        <v>17</v>
      </c>
      <c r="BS16" s="356"/>
      <c r="BT16" s="357">
        <v>2</v>
      </c>
      <c r="CN16" s="256"/>
    </row>
    <row r="17" spans="1:72" ht="20.25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232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27</v>
      </c>
      <c r="AM17" s="3">
        <f t="shared" si="14"/>
        <v>4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AG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4</v>
      </c>
      <c r="D18" s="172">
        <f t="shared" si="16"/>
        <v>4</v>
      </c>
      <c r="E18" s="172">
        <f t="shared" si="16"/>
        <v>6</v>
      </c>
      <c r="F18" s="172">
        <f>IF($AZ$2="", IF(F5="","",IF(F$19="國",COUNTA($BJ$6:$BJ$17)-$AX$3-$AX$4-COUNTA($BL$6:$BL$17),IF(F5="日",COUNTA($BJ$6:$BJ$17)-$AX$3-$AX$4-COUNTA($BL$6:$BL$17),IF(F5=6,COUNTA($BJ$6:$BJ$17)-$AX$5-COUNTA($BL$6:$BL$17),IF(F5&lt;6,COUNTA($BJ$6:$BJ$17)-$AX$5-COUNTA($BL$6:$BL$17)))))), IF(DAY(F$4)&lt;$AZ$2,IF(F5="","",IF(F$19="國",COUNTA($BJ$6:$BJ$17)-$AX$3-$AX$4-COUNTA($BL$6:$BL$17),IF(F5="日",COUNTA($BJ$6:$BJ$17)-$AX$3-$AX$4-COUNTA($BL$6:$BL$17),IF(F5=6,COUNTA($BJ$6:$BJ$17)-$AX$5-COUNTA($BL$6:$BL$17),IF(F5&lt;6,COUNTA($BJ$6:$BJ$17)-$AX$5-COUNTA($BL$6:$BL$17)))))),IF(F5="","",IF(F$19="國",COUNTA($BJ$6:$BJ$17)-$AY$3-$AY$4-COUNTA($BL$6:$BL$17),IF(F5="日",COUNTA($BJ$6:$BJ$17)-$AY$3-$AY$4-COUNTA($BL$6:$BL$17),IF(F5=6,COUNTA($BJ$6:$BJ$17)-$AY$5-COUNTA($BL$6:$BL$17),IF(F5&lt;6,COUNTA($BJ$6:$BJ$17)-$AY$5-COUNTA($BL$6:$BL$17))))))))</f>
        <v>6</v>
      </c>
      <c r="G18" s="172">
        <f t="shared" si="16"/>
        <v>6</v>
      </c>
      <c r="H18" s="172">
        <f t="shared" si="16"/>
        <v>6</v>
      </c>
      <c r="I18" s="172">
        <f t="shared" si="16"/>
        <v>4</v>
      </c>
      <c r="J18" s="172">
        <f t="shared" si="16"/>
        <v>4</v>
      </c>
      <c r="K18" s="172">
        <f t="shared" si="16"/>
        <v>4</v>
      </c>
      <c r="L18" s="172">
        <f t="shared" si="16"/>
        <v>4</v>
      </c>
      <c r="M18" s="172">
        <f t="shared" si="16"/>
        <v>4</v>
      </c>
      <c r="N18" s="172">
        <f t="shared" si="16"/>
        <v>6</v>
      </c>
      <c r="O18" s="172">
        <f t="shared" si="16"/>
        <v>4</v>
      </c>
      <c r="P18" s="172">
        <f t="shared" si="16"/>
        <v>4</v>
      </c>
      <c r="Q18" s="172">
        <f t="shared" si="16"/>
        <v>4</v>
      </c>
      <c r="R18" s="172">
        <f t="shared" si="16"/>
        <v>4</v>
      </c>
      <c r="S18" s="172">
        <f t="shared" si="16"/>
        <v>4</v>
      </c>
      <c r="T18" s="172">
        <f t="shared" si="16"/>
        <v>4</v>
      </c>
      <c r="U18" s="172">
        <f t="shared" si="16"/>
        <v>6</v>
      </c>
      <c r="V18" s="172">
        <f t="shared" si="16"/>
        <v>4</v>
      </c>
      <c r="W18" s="172">
        <f t="shared" si="16"/>
        <v>4</v>
      </c>
      <c r="X18" s="172">
        <f t="shared" si="16"/>
        <v>4</v>
      </c>
      <c r="Y18" s="172">
        <f t="shared" si="16"/>
        <v>4</v>
      </c>
      <c r="Z18" s="172">
        <f t="shared" si="16"/>
        <v>4</v>
      </c>
      <c r="AA18" s="172">
        <f t="shared" si="16"/>
        <v>4</v>
      </c>
      <c r="AB18" s="172">
        <f t="shared" si="16"/>
        <v>6</v>
      </c>
      <c r="AC18" s="172">
        <f t="shared" si="16"/>
        <v>4</v>
      </c>
      <c r="AD18" s="172">
        <f t="shared" si="16"/>
        <v>4</v>
      </c>
      <c r="AE18" s="172">
        <f t="shared" si="16"/>
        <v>4</v>
      </c>
      <c r="AF18" s="172">
        <f t="shared" si="16"/>
        <v>4</v>
      </c>
      <c r="AG18" s="172" t="str">
        <f t="shared" si="16"/>
        <v/>
      </c>
      <c r="AH18" s="3" t="s">
        <v>391</v>
      </c>
      <c r="AI18" s="3">
        <f>COUNTIF(C18:AG18,"D")+COUNTIF(C18:AG18,"NurseD")</f>
        <v>0</v>
      </c>
      <c r="AJ18" s="3">
        <f>SUM(AJ6:AJ15)</f>
        <v>0</v>
      </c>
      <c r="AK18" s="3">
        <f>SUM(AK6:AK15)</f>
        <v>0</v>
      </c>
      <c r="AL18" s="3">
        <f>SUM(AL6:AL15)</f>
        <v>270</v>
      </c>
      <c r="AM18" s="3">
        <f>SUM(AM6:AM15)-SUM(AM10:AM11)-SUM(AM16:AM17)</f>
        <v>24</v>
      </c>
      <c r="AN18" s="3">
        <f>SUM(AN6:AN15)</f>
        <v>0</v>
      </c>
      <c r="AO18" s="3"/>
      <c r="AP18" s="3"/>
      <c r="AQ18" s="12"/>
      <c r="AR18" s="55">
        <f>SUBTOTAL(109,AR5:AR17)</f>
        <v>30</v>
      </c>
      <c r="AS18" s="55">
        <f>SUBTOTAL(109,AS5:AS17)</f>
        <v>30</v>
      </c>
      <c r="AT18" s="55">
        <f>SUM(AT6:AT17)</f>
        <v>132</v>
      </c>
      <c r="AU18" s="55">
        <f>SUBTOTAL(109,AU5:AU17)</f>
        <v>16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/>
      </c>
      <c r="D19" s="173" t="str">
        <f t="shared" ref="D19:AG19" si="17">IF(D44="","",D44)</f>
        <v/>
      </c>
      <c r="E19" s="173" t="str">
        <f t="shared" si="17"/>
        <v>國</v>
      </c>
      <c r="F19" s="173" t="str">
        <f t="shared" si="17"/>
        <v>國</v>
      </c>
      <c r="G19" s="173" t="str">
        <f t="shared" si="17"/>
        <v>國</v>
      </c>
      <c r="H19" s="173" t="str">
        <f t="shared" si="17"/>
        <v>國</v>
      </c>
      <c r="I19" s="173" t="str">
        <f t="shared" si="17"/>
        <v/>
      </c>
      <c r="J19" s="173" t="str">
        <f t="shared" si="17"/>
        <v/>
      </c>
      <c r="K19" s="173" t="str">
        <f t="shared" si="17"/>
        <v/>
      </c>
      <c r="L19" s="173" t="str">
        <f t="shared" si="17"/>
        <v/>
      </c>
      <c r="M19" s="173" t="str">
        <f t="shared" si="17"/>
        <v/>
      </c>
      <c r="N19" s="173" t="str">
        <f t="shared" si="17"/>
        <v/>
      </c>
      <c r="O19" s="173" t="str">
        <f t="shared" si="17"/>
        <v/>
      </c>
      <c r="P19" s="173" t="str">
        <f t="shared" si="17"/>
        <v/>
      </c>
      <c r="Q19" s="173" t="str">
        <f t="shared" si="17"/>
        <v/>
      </c>
      <c r="R19" s="173" t="str">
        <f t="shared" si="17"/>
        <v/>
      </c>
      <c r="S19" s="173" t="str">
        <f t="shared" si="17"/>
        <v/>
      </c>
      <c r="T19" s="173" t="str">
        <f t="shared" si="17"/>
        <v/>
      </c>
      <c r="U19" s="173" t="str">
        <f t="shared" si="17"/>
        <v/>
      </c>
      <c r="V19" s="173" t="str">
        <f t="shared" si="17"/>
        <v/>
      </c>
      <c r="W19" s="173" t="str">
        <f t="shared" si="17"/>
        <v/>
      </c>
      <c r="X19" s="173" t="str">
        <f t="shared" si="17"/>
        <v/>
      </c>
      <c r="Y19" s="173" t="str">
        <f t="shared" si="17"/>
        <v/>
      </c>
      <c r="Z19" s="173" t="str">
        <f t="shared" si="17"/>
        <v/>
      </c>
      <c r="AA19" s="173" t="str">
        <f t="shared" si="17"/>
        <v/>
      </c>
      <c r="AB19" s="173" t="str">
        <f t="shared" si="17"/>
        <v/>
      </c>
      <c r="AC19" s="173" t="str">
        <f t="shared" si="17"/>
        <v/>
      </c>
      <c r="AD19" s="173" t="str">
        <f t="shared" si="17"/>
        <v/>
      </c>
      <c r="AE19" s="173" t="str">
        <f t="shared" si="17"/>
        <v/>
      </c>
      <c r="AF19" s="173" t="str">
        <f t="shared" si="17"/>
        <v/>
      </c>
      <c r="AG19" s="173" t="str">
        <f t="shared" si="17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 t="shared" ref="C20:AG20" si="18">COUNTIF(C6:C17,"off")</f>
        <v>0</v>
      </c>
      <c r="D20" s="360">
        <f t="shared" si="18"/>
        <v>0</v>
      </c>
      <c r="E20" s="360">
        <f t="shared" si="18"/>
        <v>0</v>
      </c>
      <c r="F20" s="360">
        <f t="shared" si="18"/>
        <v>0</v>
      </c>
      <c r="G20" s="360">
        <f t="shared" si="18"/>
        <v>0</v>
      </c>
      <c r="H20" s="360">
        <f t="shared" si="18"/>
        <v>0</v>
      </c>
      <c r="I20" s="360">
        <f t="shared" si="18"/>
        <v>0</v>
      </c>
      <c r="J20" s="360">
        <f t="shared" si="18"/>
        <v>0</v>
      </c>
      <c r="K20" s="360">
        <f t="shared" si="18"/>
        <v>0</v>
      </c>
      <c r="L20" s="360">
        <f t="shared" si="18"/>
        <v>0</v>
      </c>
      <c r="M20" s="360">
        <f t="shared" si="18"/>
        <v>0</v>
      </c>
      <c r="N20" s="360">
        <f t="shared" si="18"/>
        <v>0</v>
      </c>
      <c r="O20" s="360">
        <f t="shared" si="18"/>
        <v>0</v>
      </c>
      <c r="P20" s="360">
        <f t="shared" si="18"/>
        <v>0</v>
      </c>
      <c r="Q20" s="360">
        <f t="shared" si="18"/>
        <v>0</v>
      </c>
      <c r="R20" s="360">
        <f t="shared" si="18"/>
        <v>0</v>
      </c>
      <c r="S20" s="360">
        <f t="shared" si="18"/>
        <v>0</v>
      </c>
      <c r="T20" s="360">
        <f t="shared" si="18"/>
        <v>0</v>
      </c>
      <c r="U20" s="360">
        <f t="shared" si="18"/>
        <v>0</v>
      </c>
      <c r="V20" s="360">
        <f t="shared" si="18"/>
        <v>0</v>
      </c>
      <c r="W20" s="360">
        <f t="shared" si="18"/>
        <v>0</v>
      </c>
      <c r="X20" s="360">
        <f t="shared" si="18"/>
        <v>0</v>
      </c>
      <c r="Y20" s="360">
        <f t="shared" si="18"/>
        <v>0</v>
      </c>
      <c r="Z20" s="360">
        <f t="shared" si="18"/>
        <v>0</v>
      </c>
      <c r="AA20" s="360">
        <f>COUNTIF(AA6:AA17,"off")</f>
        <v>0</v>
      </c>
      <c r="AB20" s="360">
        <f t="shared" si="18"/>
        <v>0</v>
      </c>
      <c r="AC20" s="360">
        <f t="shared" si="18"/>
        <v>0</v>
      </c>
      <c r="AD20" s="360">
        <f t="shared" si="18"/>
        <v>0</v>
      </c>
      <c r="AE20" s="360">
        <f t="shared" si="18"/>
        <v>0</v>
      </c>
      <c r="AF20" s="360">
        <f t="shared" si="18"/>
        <v>0</v>
      </c>
      <c r="AG20" s="360">
        <f t="shared" si="18"/>
        <v>0</v>
      </c>
      <c r="AH20" s="12">
        <f>SUM(C20:AG20)</f>
        <v>0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0</v>
      </c>
      <c r="D21" s="360">
        <f t="shared" ref="D21:AG21" si="19">COUNTIF(D6:D15,"D")+COUNTIF(D6:D15,"NrsD")</f>
        <v>0</v>
      </c>
      <c r="E21" s="360">
        <f t="shared" si="19"/>
        <v>0</v>
      </c>
      <c r="F21" s="360">
        <f t="shared" si="19"/>
        <v>0</v>
      </c>
      <c r="G21" s="360">
        <f t="shared" si="19"/>
        <v>0</v>
      </c>
      <c r="H21" s="360">
        <f t="shared" si="19"/>
        <v>0</v>
      </c>
      <c r="I21" s="360">
        <f t="shared" si="19"/>
        <v>0</v>
      </c>
      <c r="J21" s="360">
        <f t="shared" si="19"/>
        <v>0</v>
      </c>
      <c r="K21" s="360">
        <f t="shared" si="19"/>
        <v>0</v>
      </c>
      <c r="L21" s="360">
        <f t="shared" si="19"/>
        <v>0</v>
      </c>
      <c r="M21" s="360">
        <f t="shared" si="19"/>
        <v>0</v>
      </c>
      <c r="N21" s="360">
        <f t="shared" si="19"/>
        <v>0</v>
      </c>
      <c r="O21" s="360">
        <f t="shared" si="19"/>
        <v>0</v>
      </c>
      <c r="P21" s="360">
        <f t="shared" si="19"/>
        <v>0</v>
      </c>
      <c r="Q21" s="360">
        <f t="shared" si="19"/>
        <v>0</v>
      </c>
      <c r="R21" s="360">
        <f t="shared" si="19"/>
        <v>0</v>
      </c>
      <c r="S21" s="360">
        <f t="shared" si="19"/>
        <v>0</v>
      </c>
      <c r="T21" s="360">
        <f t="shared" si="19"/>
        <v>0</v>
      </c>
      <c r="U21" s="360">
        <f t="shared" si="19"/>
        <v>0</v>
      </c>
      <c r="V21" s="360">
        <f t="shared" si="19"/>
        <v>0</v>
      </c>
      <c r="W21" s="360">
        <f t="shared" si="19"/>
        <v>0</v>
      </c>
      <c r="X21" s="360">
        <f t="shared" si="19"/>
        <v>0</v>
      </c>
      <c r="Y21" s="360">
        <f t="shared" si="19"/>
        <v>0</v>
      </c>
      <c r="Z21" s="360">
        <f t="shared" si="19"/>
        <v>0</v>
      </c>
      <c r="AA21" s="360">
        <f>COUNTIF(AA6:AA17,"D")+COUNTIF(AA6:AA15,"NrsD")</f>
        <v>0</v>
      </c>
      <c r="AB21" s="360">
        <f t="shared" si="19"/>
        <v>0</v>
      </c>
      <c r="AC21" s="360">
        <f t="shared" si="19"/>
        <v>0</v>
      </c>
      <c r="AD21" s="360">
        <f t="shared" si="19"/>
        <v>0</v>
      </c>
      <c r="AE21" s="360">
        <f t="shared" si="19"/>
        <v>0</v>
      </c>
      <c r="AF21" s="360">
        <f t="shared" si="19"/>
        <v>0</v>
      </c>
      <c r="AG21" s="360">
        <f t="shared" si="19"/>
        <v>0</v>
      </c>
      <c r="AH21" s="12"/>
      <c r="AI21" s="12">
        <f>SUM(C18:AG18)</f>
        <v>134</v>
      </c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0</v>
      </c>
      <c r="D22" s="360">
        <f t="shared" ref="D22:AG22" si="20">COUNTIF(D6:D15,"N")</f>
        <v>0</v>
      </c>
      <c r="E22" s="360">
        <f t="shared" si="20"/>
        <v>0</v>
      </c>
      <c r="F22" s="360">
        <f t="shared" si="20"/>
        <v>0</v>
      </c>
      <c r="G22" s="360">
        <f t="shared" si="20"/>
        <v>0</v>
      </c>
      <c r="H22" s="360">
        <f t="shared" si="20"/>
        <v>0</v>
      </c>
      <c r="I22" s="360">
        <f t="shared" si="20"/>
        <v>0</v>
      </c>
      <c r="J22" s="360">
        <f t="shared" si="20"/>
        <v>0</v>
      </c>
      <c r="K22" s="360">
        <f t="shared" si="20"/>
        <v>0</v>
      </c>
      <c r="L22" s="360">
        <f t="shared" si="20"/>
        <v>0</v>
      </c>
      <c r="M22" s="360">
        <f t="shared" si="20"/>
        <v>0</v>
      </c>
      <c r="N22" s="360">
        <f t="shared" si="20"/>
        <v>0</v>
      </c>
      <c r="O22" s="360">
        <f t="shared" si="20"/>
        <v>0</v>
      </c>
      <c r="P22" s="360">
        <f t="shared" si="20"/>
        <v>0</v>
      </c>
      <c r="Q22" s="360">
        <f t="shared" si="20"/>
        <v>0</v>
      </c>
      <c r="R22" s="360">
        <f t="shared" si="20"/>
        <v>0</v>
      </c>
      <c r="S22" s="360">
        <f t="shared" si="20"/>
        <v>0</v>
      </c>
      <c r="T22" s="360">
        <f t="shared" si="20"/>
        <v>0</v>
      </c>
      <c r="U22" s="360">
        <f t="shared" si="20"/>
        <v>0</v>
      </c>
      <c r="V22" s="360">
        <f t="shared" si="20"/>
        <v>0</v>
      </c>
      <c r="W22" s="360">
        <f t="shared" si="20"/>
        <v>0</v>
      </c>
      <c r="X22" s="360">
        <f t="shared" si="20"/>
        <v>0</v>
      </c>
      <c r="Y22" s="360">
        <f t="shared" si="20"/>
        <v>0</v>
      </c>
      <c r="Z22" s="360">
        <f t="shared" si="20"/>
        <v>0</v>
      </c>
      <c r="AA22" s="360">
        <f t="shared" si="20"/>
        <v>0</v>
      </c>
      <c r="AB22" s="360">
        <f t="shared" si="20"/>
        <v>0</v>
      </c>
      <c r="AC22" s="360">
        <f t="shared" si="20"/>
        <v>0</v>
      </c>
      <c r="AD22" s="360">
        <f t="shared" si="20"/>
        <v>0</v>
      </c>
      <c r="AE22" s="360">
        <f t="shared" si="20"/>
        <v>0</v>
      </c>
      <c r="AF22" s="360">
        <f t="shared" si="20"/>
        <v>0</v>
      </c>
      <c r="AG22" s="360">
        <f t="shared" si="20"/>
        <v>0</v>
      </c>
    </row>
    <row r="23" spans="1:72" s="351" customFormat="1" ht="25" customHeight="1">
      <c r="A23" s="386" t="s">
        <v>413</v>
      </c>
      <c r="B23" s="387"/>
      <c r="C23" s="387"/>
      <c r="D23" s="387"/>
      <c r="E23" s="387"/>
      <c r="F23" s="387"/>
      <c r="G23" s="387"/>
      <c r="H23" s="387"/>
      <c r="I23" s="387"/>
      <c r="J23" s="387"/>
      <c r="K23" s="387"/>
      <c r="L23" s="387"/>
      <c r="M23" s="387"/>
      <c r="N23" s="387"/>
      <c r="O23" s="387"/>
      <c r="P23" s="387"/>
      <c r="Q23" s="387"/>
      <c r="R23" s="387"/>
      <c r="S23" s="387"/>
      <c r="T23" s="387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15" t="s">
        <v>376</v>
      </c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17" t="s">
        <v>491</v>
      </c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  <c r="Q25" s="418"/>
      <c r="R25" s="418"/>
      <c r="S25" s="418"/>
      <c r="T25" s="418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378" t="s">
        <v>492</v>
      </c>
      <c r="B26" s="379"/>
      <c r="C26" s="379"/>
      <c r="D26" s="379"/>
      <c r="E26" s="379"/>
      <c r="F26" s="379"/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 t="s">
        <v>475</v>
      </c>
      <c r="F28" s="174" t="s">
        <v>475</v>
      </c>
      <c r="G28" s="323" t="s">
        <v>300</v>
      </c>
      <c r="H28" s="324" t="s">
        <v>300</v>
      </c>
      <c r="I28" s="324"/>
      <c r="J28" s="325"/>
      <c r="K28" s="326"/>
      <c r="L28" s="326"/>
      <c r="M28" s="327"/>
      <c r="N28" s="322"/>
      <c r="O28" s="328"/>
      <c r="P28" s="363"/>
      <c r="Q28" s="363"/>
      <c r="R28" s="363"/>
      <c r="S28" s="363"/>
      <c r="T28" s="363"/>
      <c r="U28" s="363"/>
      <c r="V28" s="363"/>
      <c r="W28" s="363"/>
      <c r="X28" s="363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46113</v>
      </c>
      <c r="D29" s="30">
        <f t="shared" ref="D29:AC29" si="21">C29+1</f>
        <v>46114</v>
      </c>
      <c r="E29" s="30">
        <f t="shared" si="21"/>
        <v>46115</v>
      </c>
      <c r="F29" s="30">
        <f t="shared" si="21"/>
        <v>46116</v>
      </c>
      <c r="G29" s="30">
        <f t="shared" si="21"/>
        <v>46117</v>
      </c>
      <c r="H29" s="30">
        <f t="shared" si="21"/>
        <v>46118</v>
      </c>
      <c r="I29" s="30">
        <f t="shared" si="21"/>
        <v>46119</v>
      </c>
      <c r="J29" s="30">
        <f t="shared" si="21"/>
        <v>46120</v>
      </c>
      <c r="K29" s="30">
        <f t="shared" si="21"/>
        <v>46121</v>
      </c>
      <c r="L29" s="30">
        <f t="shared" si="21"/>
        <v>46122</v>
      </c>
      <c r="M29" s="30">
        <f t="shared" si="21"/>
        <v>46123</v>
      </c>
      <c r="N29" s="30">
        <f t="shared" si="21"/>
        <v>46124</v>
      </c>
      <c r="O29" s="30">
        <f t="shared" si="21"/>
        <v>46125</v>
      </c>
      <c r="P29" s="30">
        <f t="shared" si="21"/>
        <v>46126</v>
      </c>
      <c r="Q29" s="30">
        <f t="shared" si="21"/>
        <v>46127</v>
      </c>
      <c r="R29" s="30">
        <f t="shared" si="21"/>
        <v>46128</v>
      </c>
      <c r="S29" s="30">
        <f t="shared" si="21"/>
        <v>46129</v>
      </c>
      <c r="T29" s="30">
        <f t="shared" si="21"/>
        <v>46130</v>
      </c>
      <c r="U29" s="30">
        <f t="shared" si="21"/>
        <v>46131</v>
      </c>
      <c r="V29" s="30">
        <f t="shared" si="21"/>
        <v>46132</v>
      </c>
      <c r="W29" s="30">
        <f t="shared" si="21"/>
        <v>46133</v>
      </c>
      <c r="X29" s="30">
        <f t="shared" si="21"/>
        <v>46134</v>
      </c>
      <c r="Y29" s="30">
        <f t="shared" si="21"/>
        <v>46135</v>
      </c>
      <c r="Z29" s="30">
        <f t="shared" si="21"/>
        <v>46136</v>
      </c>
      <c r="AA29" s="30">
        <f t="shared" si="21"/>
        <v>46137</v>
      </c>
      <c r="AB29" s="30">
        <f t="shared" si="21"/>
        <v>46138</v>
      </c>
      <c r="AC29" s="30">
        <f t="shared" si="21"/>
        <v>46139</v>
      </c>
      <c r="AD29" s="30">
        <f>IFERROR(IF(MONTH(AC29+1)=$J$2,AC29+1,""),"")</f>
        <v>46140</v>
      </c>
      <c r="AE29" s="30">
        <f>IFERROR(IF(MONTH(AD29+1)=$J$2,AD29+1,""),"")</f>
        <v>46141</v>
      </c>
      <c r="AF29" s="30">
        <f>IFERROR(IF(MONTH(AE29+1)=$J$2,AE29+1,""),"")</f>
        <v>46142</v>
      </c>
      <c r="AG29" s="30" t="str">
        <f>IFERROR(IF(MONTH(AF29+1)=$J$2,AF29+1,""),"")</f>
        <v/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3</v>
      </c>
      <c r="D30" s="31">
        <f>IFERROR(IF(WEEKDAY(D29,2)=7,"日",WEEKDAY(D29,2)),"")</f>
        <v>4</v>
      </c>
      <c r="E30" s="31">
        <f t="shared" ref="E30:AG30" si="22">IFERROR(IF(WEEKDAY(E29,2)=7,"日",WEEKDAY(E29,2)),"")</f>
        <v>5</v>
      </c>
      <c r="F30" s="31">
        <f t="shared" si="22"/>
        <v>6</v>
      </c>
      <c r="G30" s="31" t="str">
        <f t="shared" si="22"/>
        <v>日</v>
      </c>
      <c r="H30" s="31">
        <f t="shared" si="22"/>
        <v>1</v>
      </c>
      <c r="I30" s="31">
        <f t="shared" si="22"/>
        <v>2</v>
      </c>
      <c r="J30" s="31">
        <f t="shared" si="22"/>
        <v>3</v>
      </c>
      <c r="K30" s="31">
        <f t="shared" si="22"/>
        <v>4</v>
      </c>
      <c r="L30" s="31">
        <f t="shared" si="22"/>
        <v>5</v>
      </c>
      <c r="M30" s="31">
        <f t="shared" si="22"/>
        <v>6</v>
      </c>
      <c r="N30" s="31" t="str">
        <f t="shared" si="22"/>
        <v>日</v>
      </c>
      <c r="O30" s="31">
        <f t="shared" si="22"/>
        <v>1</v>
      </c>
      <c r="P30" s="31">
        <f t="shared" si="22"/>
        <v>2</v>
      </c>
      <c r="Q30" s="31">
        <f t="shared" si="22"/>
        <v>3</v>
      </c>
      <c r="R30" s="31">
        <f t="shared" si="22"/>
        <v>4</v>
      </c>
      <c r="S30" s="31">
        <f t="shared" si="22"/>
        <v>5</v>
      </c>
      <c r="T30" s="31">
        <f t="shared" si="22"/>
        <v>6</v>
      </c>
      <c r="U30" s="31" t="str">
        <f t="shared" si="22"/>
        <v>日</v>
      </c>
      <c r="V30" s="31">
        <f t="shared" si="22"/>
        <v>1</v>
      </c>
      <c r="W30" s="31">
        <f t="shared" si="22"/>
        <v>2</v>
      </c>
      <c r="X30" s="31">
        <f t="shared" si="22"/>
        <v>3</v>
      </c>
      <c r="Y30" s="31">
        <f t="shared" si="22"/>
        <v>4</v>
      </c>
      <c r="Z30" s="31">
        <f t="shared" si="22"/>
        <v>5</v>
      </c>
      <c r="AA30" s="31">
        <f t="shared" si="22"/>
        <v>6</v>
      </c>
      <c r="AB30" s="31" t="str">
        <f t="shared" si="22"/>
        <v>日</v>
      </c>
      <c r="AC30" s="31">
        <f t="shared" si="22"/>
        <v>1</v>
      </c>
      <c r="AD30" s="31">
        <f t="shared" si="22"/>
        <v>2</v>
      </c>
      <c r="AE30" s="31">
        <f t="shared" si="22"/>
        <v>3</v>
      </c>
      <c r="AF30" s="31">
        <f t="shared" si="22"/>
        <v>4</v>
      </c>
      <c r="AG30" s="31" t="str">
        <f t="shared" si="22"/>
        <v/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 t="s">
        <v>7</v>
      </c>
      <c r="G31" s="33"/>
      <c r="H31" s="33"/>
      <c r="I31" s="33"/>
      <c r="J31" s="33"/>
      <c r="K31" s="33"/>
      <c r="L31" s="33"/>
      <c r="M31" s="33" t="s">
        <v>6</v>
      </c>
      <c r="N31" s="33" t="s">
        <v>6</v>
      </c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 t="s">
        <v>7</v>
      </c>
      <c r="AB31" s="33"/>
      <c r="AC31" s="33"/>
      <c r="AD31" s="33"/>
      <c r="AE31" s="33"/>
      <c r="AF31" s="33"/>
      <c r="AG31" s="33"/>
      <c r="AH31" s="3">
        <f>(AI31*12)+(AJ31*12)+(AL31*8)+(AM31*4)</f>
        <v>260</v>
      </c>
      <c r="AI31" s="3">
        <f t="shared" ref="AI31:AI40" si="23">COUNTIF(C31:AG31,"D")</f>
        <v>2</v>
      </c>
      <c r="AJ31" s="3">
        <f t="shared" ref="AJ31:AJ40" si="24">COUNTIF(C31:AG31,"N")</f>
        <v>2</v>
      </c>
      <c r="AK31" s="3">
        <f t="shared" ref="AK31:AK40" si="25">COUNTIF(C31:AG31,"OFF")+COUNTIF(C31:AG31,"上課")</f>
        <v>0</v>
      </c>
      <c r="AL31" s="3">
        <f t="shared" ref="AL31:AL40" si="26">COUNTIF(C31:AG31,"")-AM31+COUNTIF(C31:AG31,"h3")</f>
        <v>26</v>
      </c>
      <c r="AM31" s="3">
        <f t="shared" ref="AM31:AM40" si="27">COUNTIFS($C$5:$AG$5,"6",C31:AG31,"")+COUNTIF(C31:AG31,"h3")</f>
        <v>1</v>
      </c>
      <c r="AN31" s="3">
        <f t="array" ref="AN31">SUMPRODUCT(($C$5:$AG$5=6)*(C31:AG31="off"))</f>
        <v>0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/>
      <c r="F32" s="33"/>
      <c r="G32" s="33" t="s">
        <v>7</v>
      </c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">
        <f>(AI32*12)+(AJ32*12)+(AL32*8)+(AM32*4)</f>
        <v>236</v>
      </c>
      <c r="AI32" s="3">
        <f t="shared" si="23"/>
        <v>1</v>
      </c>
      <c r="AJ32" s="3">
        <f t="shared" si="24"/>
        <v>0</v>
      </c>
      <c r="AK32" s="3">
        <f t="shared" si="25"/>
        <v>0</v>
      </c>
      <c r="AL32" s="3">
        <f t="shared" si="26"/>
        <v>26</v>
      </c>
      <c r="AM32" s="3">
        <f t="shared" si="27"/>
        <v>4</v>
      </c>
      <c r="AN32" s="3">
        <f t="array" ref="AN32">SUMPRODUCT(($C$5:$AG$5=6)*(C32:AG32="off"))</f>
        <v>0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/>
      <c r="D33" s="33"/>
      <c r="E33" s="33"/>
      <c r="F33" s="33"/>
      <c r="G33" s="33"/>
      <c r="H33" s="33"/>
      <c r="I33" s="33"/>
      <c r="J33" s="33"/>
      <c r="K33" s="33"/>
      <c r="L33" s="33" t="s">
        <v>2</v>
      </c>
      <c r="M33" s="33"/>
      <c r="N33" s="33" t="s">
        <v>7</v>
      </c>
      <c r="O33" s="33"/>
      <c r="P33" s="33"/>
      <c r="Q33" s="33"/>
      <c r="R33" s="33" t="s">
        <v>2</v>
      </c>
      <c r="S33" s="33"/>
      <c r="T33" s="33" t="s">
        <v>5</v>
      </c>
      <c r="U33" s="33" t="s">
        <v>6</v>
      </c>
      <c r="V33" s="33"/>
      <c r="W33" s="33"/>
      <c r="X33" s="33"/>
      <c r="Y33" s="33"/>
      <c r="Z33" s="33" t="s">
        <v>2</v>
      </c>
      <c r="AA33" s="33" t="s">
        <v>2</v>
      </c>
      <c r="AB33" s="33" t="s">
        <v>2</v>
      </c>
      <c r="AC33" s="33"/>
      <c r="AD33" s="33"/>
      <c r="AE33" s="33"/>
      <c r="AF33" s="33"/>
      <c r="AG33" s="33"/>
      <c r="AH33" s="3">
        <f>(AI33*12)+(AJ33*12)+(AL33*8)+(AM33*4)</f>
        <v>212</v>
      </c>
      <c r="AI33" s="3">
        <f t="shared" si="23"/>
        <v>1</v>
      </c>
      <c r="AJ33" s="3">
        <f t="shared" si="24"/>
        <v>2</v>
      </c>
      <c r="AK33" s="3">
        <f t="shared" si="25"/>
        <v>5</v>
      </c>
      <c r="AL33" s="3">
        <f t="shared" si="26"/>
        <v>21</v>
      </c>
      <c r="AM33" s="3">
        <f t="shared" si="27"/>
        <v>2</v>
      </c>
      <c r="AN33" s="3">
        <f t="array" ref="AN33">SUMPRODUCT(($C$5:$AG$5=6)*(C33:AG33="off"))</f>
        <v>1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 t="s">
        <v>2</v>
      </c>
      <c r="D34" s="33" t="s">
        <v>2</v>
      </c>
      <c r="E34" s="33"/>
      <c r="F34" s="33"/>
      <c r="G34" s="33"/>
      <c r="H34" s="33" t="s">
        <v>7</v>
      </c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 t="s">
        <v>2</v>
      </c>
      <c r="T34" s="33" t="s">
        <v>2</v>
      </c>
      <c r="U34" s="33"/>
      <c r="V34" s="33"/>
      <c r="W34" s="33"/>
      <c r="X34" s="33"/>
      <c r="Y34" s="33"/>
      <c r="Z34" s="33"/>
      <c r="AA34" s="33" t="s">
        <v>2</v>
      </c>
      <c r="AB34" s="33"/>
      <c r="AC34" s="33" t="s">
        <v>2</v>
      </c>
      <c r="AD34" s="33"/>
      <c r="AE34" s="33"/>
      <c r="AF34" s="33"/>
      <c r="AG34" s="33"/>
      <c r="AH34" s="3">
        <f>(AI34*12)+(AJ34*12)+(AL34*8)+(AM34*4)</f>
        <v>196</v>
      </c>
      <c r="AI34" s="3">
        <f t="shared" si="23"/>
        <v>1</v>
      </c>
      <c r="AJ34" s="3">
        <f t="shared" si="24"/>
        <v>0</v>
      </c>
      <c r="AK34" s="3">
        <f t="shared" si="25"/>
        <v>6</v>
      </c>
      <c r="AL34" s="3">
        <f t="shared" si="26"/>
        <v>22</v>
      </c>
      <c r="AM34" s="3">
        <f t="shared" si="27"/>
        <v>2</v>
      </c>
      <c r="AN34" s="3">
        <f t="array" ref="AN34">SUMPRODUCT(($C$5:$AG$5=6)*(C34:AG34="off"))</f>
        <v>2</v>
      </c>
      <c r="AO34" s="3"/>
      <c r="AP34" s="3"/>
      <c r="AQ34" s="12"/>
      <c r="AR34" s="12"/>
      <c r="AS34" s="12"/>
      <c r="AT34" s="12"/>
      <c r="AU34" s="12"/>
    </row>
    <row r="35" spans="1:47" ht="20.25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8">(AI35*12)+(AJ35*12)+(AL35*8)+(AM35*4)</f>
        <v>232</v>
      </c>
      <c r="AI35" s="3">
        <f t="shared" si="23"/>
        <v>0</v>
      </c>
      <c r="AJ35" s="3">
        <f t="shared" si="24"/>
        <v>0</v>
      </c>
      <c r="AK35" s="3">
        <f t="shared" si="25"/>
        <v>0</v>
      </c>
      <c r="AL35" s="3">
        <f t="shared" si="26"/>
        <v>27</v>
      </c>
      <c r="AM35" s="3">
        <f t="shared" si="27"/>
        <v>4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8"/>
        <v>232</v>
      </c>
      <c r="AI36" s="3">
        <f t="shared" si="23"/>
        <v>0</v>
      </c>
      <c r="AJ36" s="3">
        <f t="shared" si="24"/>
        <v>0</v>
      </c>
      <c r="AK36" s="3">
        <f t="shared" si="25"/>
        <v>0</v>
      </c>
      <c r="AL36" s="3">
        <f t="shared" si="26"/>
        <v>27</v>
      </c>
      <c r="AM36" s="3">
        <f t="shared" si="27"/>
        <v>4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 t="s">
        <v>7</v>
      </c>
      <c r="F37" s="33" t="s">
        <v>6</v>
      </c>
      <c r="G37" s="33"/>
      <c r="H37" s="33"/>
      <c r="I37" s="33"/>
      <c r="J37" s="33"/>
      <c r="K37" s="33"/>
      <c r="L37" s="33" t="s">
        <v>2</v>
      </c>
      <c r="M37" s="33" t="s">
        <v>2</v>
      </c>
      <c r="N37" s="33"/>
      <c r="O37" s="33" t="s">
        <v>2</v>
      </c>
      <c r="P37" s="33" t="s">
        <v>2</v>
      </c>
      <c r="Q37" s="33" t="s">
        <v>2</v>
      </c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 t="s">
        <v>7</v>
      </c>
      <c r="AC37" s="33"/>
      <c r="AD37" s="33"/>
      <c r="AE37" s="33"/>
      <c r="AF37" s="33"/>
      <c r="AG37" s="33"/>
      <c r="AH37" s="3">
        <f t="shared" si="28"/>
        <v>212</v>
      </c>
      <c r="AI37" s="3">
        <f t="shared" si="23"/>
        <v>2</v>
      </c>
      <c r="AJ37" s="3">
        <f t="shared" si="24"/>
        <v>1</v>
      </c>
      <c r="AK37" s="3">
        <f t="shared" si="25"/>
        <v>5</v>
      </c>
      <c r="AL37" s="3">
        <f t="shared" si="26"/>
        <v>21</v>
      </c>
      <c r="AM37" s="3">
        <f t="shared" si="27"/>
        <v>2</v>
      </c>
      <c r="AN37" s="3">
        <f t="array" ref="AN37">SUMPRODUCT(($C$5:$AG$5=6)*(C37:AG37="off"))</f>
        <v>1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 t="s">
        <v>6</v>
      </c>
      <c r="F38" s="33"/>
      <c r="G38" s="33"/>
      <c r="H38" s="33" t="s">
        <v>6</v>
      </c>
      <c r="I38" s="33"/>
      <c r="J38" s="33"/>
      <c r="K38" s="33"/>
      <c r="L38" s="33"/>
      <c r="M38" s="33"/>
      <c r="N38" s="33" t="s">
        <v>2</v>
      </c>
      <c r="O38" s="33" t="s">
        <v>488</v>
      </c>
      <c r="P38" s="33"/>
      <c r="Q38" s="33"/>
      <c r="R38" s="33" t="s">
        <v>488</v>
      </c>
      <c r="S38" s="33"/>
      <c r="T38" s="33"/>
      <c r="U38" s="33" t="s">
        <v>7</v>
      </c>
      <c r="V38" s="33" t="s">
        <v>2</v>
      </c>
      <c r="W38" s="33" t="s">
        <v>2</v>
      </c>
      <c r="X38" s="33"/>
      <c r="Y38" s="33"/>
      <c r="Z38" s="33"/>
      <c r="AA38" s="33" t="s">
        <v>6</v>
      </c>
      <c r="AB38" s="33" t="s">
        <v>6</v>
      </c>
      <c r="AC38" s="33" t="s">
        <v>488</v>
      </c>
      <c r="AD38" s="33"/>
      <c r="AE38" s="33"/>
      <c r="AF38" s="33"/>
      <c r="AG38" s="33"/>
      <c r="AH38" s="3">
        <f t="shared" si="28"/>
        <v>208</v>
      </c>
      <c r="AI38" s="3">
        <f t="shared" si="23"/>
        <v>1</v>
      </c>
      <c r="AJ38" s="3">
        <f t="shared" si="24"/>
        <v>4</v>
      </c>
      <c r="AK38" s="3">
        <f t="shared" si="25"/>
        <v>3</v>
      </c>
      <c r="AL38" s="3">
        <f t="shared" si="26"/>
        <v>17</v>
      </c>
      <c r="AM38" s="3">
        <f t="shared" si="27"/>
        <v>3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/>
      <c r="D39" s="33" t="s">
        <v>488</v>
      </c>
      <c r="E39" s="33"/>
      <c r="F39" s="33"/>
      <c r="G39" s="33"/>
      <c r="H39" s="33"/>
      <c r="I39" s="33"/>
      <c r="J39" s="33"/>
      <c r="K39" s="33"/>
      <c r="L39" s="33" t="s">
        <v>488</v>
      </c>
      <c r="M39" s="33" t="s">
        <v>7</v>
      </c>
      <c r="N39" s="33" t="s">
        <v>2</v>
      </c>
      <c r="O39" s="33" t="s">
        <v>2</v>
      </c>
      <c r="P39" s="33" t="s">
        <v>488</v>
      </c>
      <c r="Q39" s="33" t="s">
        <v>2</v>
      </c>
      <c r="R39" s="33" t="s">
        <v>488</v>
      </c>
      <c r="S39" s="33" t="s">
        <v>488</v>
      </c>
      <c r="T39" s="33"/>
      <c r="U39" s="33"/>
      <c r="V39" s="33"/>
      <c r="W39" s="33"/>
      <c r="X39" s="33"/>
      <c r="Y39" s="33" t="s">
        <v>488</v>
      </c>
      <c r="Z39" s="33" t="s">
        <v>2</v>
      </c>
      <c r="AA39" s="33" t="s">
        <v>2</v>
      </c>
      <c r="AB39" s="33" t="s">
        <v>2</v>
      </c>
      <c r="AC39" s="33"/>
      <c r="AD39" s="33"/>
      <c r="AE39" s="33" t="s">
        <v>2</v>
      </c>
      <c r="AF39" s="33" t="s">
        <v>2</v>
      </c>
      <c r="AG39" s="33"/>
      <c r="AH39" s="3">
        <f t="shared" si="28"/>
        <v>132</v>
      </c>
      <c r="AI39" s="3">
        <f t="shared" si="23"/>
        <v>1</v>
      </c>
      <c r="AJ39" s="3">
        <f t="shared" si="24"/>
        <v>0</v>
      </c>
      <c r="AK39" s="3">
        <f t="shared" si="25"/>
        <v>8</v>
      </c>
      <c r="AL39" s="3">
        <f t="shared" si="26"/>
        <v>14</v>
      </c>
      <c r="AM39" s="3">
        <f t="shared" si="27"/>
        <v>2</v>
      </c>
      <c r="AN39" s="3">
        <f t="array" ref="AN39">SUMPRODUCT(($C$5:$AG$5=6)*(C39:AG39="off"))</f>
        <v>1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 t="s">
        <v>319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">
        <f t="shared" si="28"/>
        <v>232</v>
      </c>
      <c r="AI40" s="3">
        <f t="shared" si="23"/>
        <v>0</v>
      </c>
      <c r="AJ40" s="3">
        <f t="shared" si="24"/>
        <v>0</v>
      </c>
      <c r="AK40" s="3">
        <f t="shared" si="25"/>
        <v>0</v>
      </c>
      <c r="AL40" s="3">
        <f t="shared" si="26"/>
        <v>27</v>
      </c>
      <c r="AM40" s="3">
        <f t="shared" si="27"/>
        <v>4</v>
      </c>
      <c r="AN40" s="3">
        <f t="array" ref="AN40">SUMPRODUCT(($C$5:$AG$5=6)*(C40:AG40="off"))</f>
        <v>0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440</v>
      </c>
      <c r="B41" s="6"/>
      <c r="C41" s="88"/>
      <c r="D41" s="88"/>
      <c r="E41" s="88"/>
      <c r="F41" s="88"/>
      <c r="G41" s="33" t="s">
        <v>6</v>
      </c>
      <c r="H41" s="33"/>
      <c r="I41" s="33"/>
      <c r="J41" s="33"/>
      <c r="K41" s="33"/>
      <c r="L41" s="33"/>
      <c r="M41" s="33"/>
      <c r="N41" s="33" t="s">
        <v>2</v>
      </c>
      <c r="O41" s="33" t="s">
        <v>2</v>
      </c>
      <c r="P41" s="33" t="s">
        <v>488</v>
      </c>
      <c r="Q41" s="33"/>
      <c r="R41" s="33" t="s">
        <v>488</v>
      </c>
      <c r="S41" s="33" t="s">
        <v>2</v>
      </c>
      <c r="T41" s="33" t="s">
        <v>7</v>
      </c>
      <c r="U41" s="88"/>
      <c r="V41" s="88"/>
      <c r="W41" s="33" t="s">
        <v>488</v>
      </c>
      <c r="X41" s="33" t="s">
        <v>2</v>
      </c>
      <c r="Y41" s="33" t="s">
        <v>2</v>
      </c>
      <c r="Z41" s="33" t="s">
        <v>2</v>
      </c>
      <c r="AA41" s="33" t="s">
        <v>2</v>
      </c>
      <c r="AB41" s="33" t="s">
        <v>2</v>
      </c>
      <c r="AC41" s="33" t="s">
        <v>2</v>
      </c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4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29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6</v>
      </c>
      <c r="F43" s="172">
        <f t="shared" si="29"/>
        <v>6</v>
      </c>
      <c r="G43" s="172">
        <f t="shared" si="29"/>
        <v>6</v>
      </c>
      <c r="H43" s="172">
        <f t="shared" si="29"/>
        <v>6</v>
      </c>
      <c r="I43" s="172">
        <f t="shared" si="29"/>
        <v>4</v>
      </c>
      <c r="J43" s="172">
        <f t="shared" si="29"/>
        <v>4</v>
      </c>
      <c r="K43" s="172">
        <f t="shared" si="29"/>
        <v>4</v>
      </c>
      <c r="L43" s="172">
        <f t="shared" si="29"/>
        <v>4</v>
      </c>
      <c r="M43" s="172">
        <f t="shared" si="29"/>
        <v>4</v>
      </c>
      <c r="N43" s="172">
        <f t="shared" si="29"/>
        <v>6</v>
      </c>
      <c r="O43" s="172">
        <f t="shared" si="29"/>
        <v>4</v>
      </c>
      <c r="P43" s="172">
        <f t="shared" si="29"/>
        <v>4</v>
      </c>
      <c r="Q43" s="172">
        <f t="shared" si="29"/>
        <v>4</v>
      </c>
      <c r="R43" s="172">
        <f t="shared" si="29"/>
        <v>4</v>
      </c>
      <c r="S43" s="172">
        <f t="shared" si="29"/>
        <v>4</v>
      </c>
      <c r="T43" s="172">
        <f t="shared" si="29"/>
        <v>4</v>
      </c>
      <c r="U43" s="172">
        <f t="shared" si="29"/>
        <v>6</v>
      </c>
      <c r="V43" s="172">
        <f t="shared" si="29"/>
        <v>4</v>
      </c>
      <c r="W43" s="172">
        <f t="shared" si="29"/>
        <v>4</v>
      </c>
      <c r="X43" s="172">
        <f t="shared" si="29"/>
        <v>4</v>
      </c>
      <c r="Y43" s="172">
        <f t="shared" si="29"/>
        <v>4</v>
      </c>
      <c r="Z43" s="172">
        <f t="shared" si="29"/>
        <v>4</v>
      </c>
      <c r="AA43" s="172">
        <f t="shared" si="29"/>
        <v>4</v>
      </c>
      <c r="AB43" s="172">
        <f t="shared" si="29"/>
        <v>6</v>
      </c>
      <c r="AC43" s="172">
        <f t="shared" si="29"/>
        <v>4</v>
      </c>
      <c r="AD43" s="172">
        <f t="shared" si="29"/>
        <v>4</v>
      </c>
      <c r="AE43" s="172">
        <f t="shared" si="29"/>
        <v>4</v>
      </c>
      <c r="AF43" s="172">
        <f t="shared" si="29"/>
        <v>4</v>
      </c>
      <c r="AG43" s="172" t="str">
        <f t="shared" si="29"/>
        <v/>
      </c>
      <c r="AH43" s="3" t="s">
        <v>391</v>
      </c>
      <c r="AI43" s="3">
        <f>SUM(AI31:AI40)</f>
        <v>9</v>
      </c>
      <c r="AJ43" s="3">
        <f>SUM(AJ31:AJ40)</f>
        <v>9</v>
      </c>
      <c r="AK43" s="3">
        <f>SUM(AK31:AK40)</f>
        <v>27</v>
      </c>
      <c r="AL43" s="3">
        <f>SUM(AL31:AL40)</f>
        <v>228</v>
      </c>
      <c r="AM43" s="3">
        <f>SUM(AM31:AM40)-SUM(AM35:AM36)-SUM(AM41:AM42)</f>
        <v>20</v>
      </c>
      <c r="AN43" s="3">
        <f>SUM(AN31:AN40)</f>
        <v>5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 t="s">
        <v>250</v>
      </c>
      <c r="F44" s="173" t="s">
        <v>250</v>
      </c>
      <c r="G44" s="173" t="s">
        <v>250</v>
      </c>
      <c r="H44" s="173" t="s">
        <v>250</v>
      </c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 t="shared" ref="C45:AG45" si="30">COUNTIF(C31:C42,"off")</f>
        <v>1</v>
      </c>
      <c r="D45" s="360">
        <f t="shared" si="30"/>
        <v>1</v>
      </c>
      <c r="E45" s="360">
        <f t="shared" si="30"/>
        <v>0</v>
      </c>
      <c r="F45" s="360">
        <f t="shared" si="30"/>
        <v>0</v>
      </c>
      <c r="G45" s="360">
        <f t="shared" si="30"/>
        <v>0</v>
      </c>
      <c r="H45" s="360">
        <f t="shared" si="30"/>
        <v>0</v>
      </c>
      <c r="I45" s="360">
        <f t="shared" si="30"/>
        <v>0</v>
      </c>
      <c r="J45" s="360">
        <f t="shared" si="30"/>
        <v>0</v>
      </c>
      <c r="K45" s="360">
        <f t="shared" si="30"/>
        <v>0</v>
      </c>
      <c r="L45" s="360">
        <f t="shared" si="30"/>
        <v>2</v>
      </c>
      <c r="M45" s="360">
        <f t="shared" si="30"/>
        <v>1</v>
      </c>
      <c r="N45" s="360">
        <f t="shared" si="30"/>
        <v>3</v>
      </c>
      <c r="O45" s="360">
        <f t="shared" si="30"/>
        <v>3</v>
      </c>
      <c r="P45" s="360">
        <f t="shared" si="30"/>
        <v>1</v>
      </c>
      <c r="Q45" s="360">
        <f t="shared" si="30"/>
        <v>2</v>
      </c>
      <c r="R45" s="360">
        <f t="shared" si="30"/>
        <v>1</v>
      </c>
      <c r="S45" s="360">
        <f t="shared" si="30"/>
        <v>2</v>
      </c>
      <c r="T45" s="360">
        <f t="shared" si="30"/>
        <v>1</v>
      </c>
      <c r="U45" s="360">
        <f t="shared" si="30"/>
        <v>0</v>
      </c>
      <c r="V45" s="360">
        <f t="shared" si="30"/>
        <v>1</v>
      </c>
      <c r="W45" s="360">
        <f t="shared" si="30"/>
        <v>1</v>
      </c>
      <c r="X45" s="360">
        <f t="shared" si="30"/>
        <v>1</v>
      </c>
      <c r="Y45" s="360">
        <f t="shared" si="30"/>
        <v>1</v>
      </c>
      <c r="Z45" s="360">
        <f>COUNTIF(Z31:Z42,"off")</f>
        <v>3</v>
      </c>
      <c r="AA45" s="360">
        <f>COUNTIF(AA31:AA42,"off")</f>
        <v>4</v>
      </c>
      <c r="AB45" s="360">
        <f t="shared" si="30"/>
        <v>3</v>
      </c>
      <c r="AC45" s="360">
        <f t="shared" si="30"/>
        <v>2</v>
      </c>
      <c r="AD45" s="360">
        <f t="shared" si="30"/>
        <v>0</v>
      </c>
      <c r="AE45" s="360">
        <f t="shared" si="30"/>
        <v>1</v>
      </c>
      <c r="AF45" s="360">
        <f t="shared" si="30"/>
        <v>1</v>
      </c>
      <c r="AG45" s="360">
        <f t="shared" si="30"/>
        <v>0</v>
      </c>
    </row>
  </sheetData>
  <protectedRanges>
    <protectedRange password="CC6F" sqref="C4:AG5 D1:P2 A29:AG30 AH31:AN43 AR6:AU6 BB4:BC4 BB2:BH2 AR7:AR16 AS7:AU17 C43:AG43 AH6:AN18 C18:AG18" name="範圍1_24_24_24_24"/>
  </protectedRanges>
  <mergeCells count="17"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  <mergeCell ref="AH5:AM5"/>
    <mergeCell ref="A26:T26"/>
    <mergeCell ref="A1:C2"/>
    <mergeCell ref="D1:E1"/>
    <mergeCell ref="G1:H1"/>
    <mergeCell ref="J1:K1"/>
    <mergeCell ref="T1:W2"/>
  </mergeCells>
  <phoneticPr fontId="11" type="noConversion"/>
  <conditionalFormatting sqref="AH4">
    <cfRule type="expression" dxfId="3105" priority="48" stopIfTrue="1">
      <formula>WEEKDAY(AH$4)=7</formula>
    </cfRule>
    <cfRule type="expression" dxfId="3104" priority="49" stopIfTrue="1">
      <formula>WEEKDAY(AH$4)=1</formula>
    </cfRule>
    <cfRule type="expression" dxfId="3103" priority="50" stopIfTrue="1">
      <formula>WEEKDAY(AH$4)=7</formula>
    </cfRule>
    <cfRule type="expression" dxfId="3102" priority="51" stopIfTrue="1">
      <formula>WEEKDAY(AH$4)=1</formula>
    </cfRule>
  </conditionalFormatting>
  <conditionalFormatting sqref="C43:AG43">
    <cfRule type="expression" dxfId="3101" priority="52" stopIfTrue="1">
      <formula>(COUNTIF(C$31:C$42,"off")+COUNTIF(C$31:C$42,"護"))&lt;&gt;C$43</formula>
    </cfRule>
  </conditionalFormatting>
  <conditionalFormatting sqref="C4:AG6 C7:AF7 C8:AG17">
    <cfRule type="expression" dxfId="3100" priority="46" stopIfTrue="1">
      <formula>WEEKDAY(C$4,2)=6</formula>
    </cfRule>
    <cfRule type="expression" dxfId="3099" priority="47" stopIfTrue="1">
      <formula>WEEKDAY(C$4,2)=7</formula>
    </cfRule>
  </conditionalFormatting>
  <conditionalFormatting sqref="CD5">
    <cfRule type="expression" dxfId="3098" priority="44" stopIfTrue="1">
      <formula>COUNTIF(#REF!,"D")&lt;&gt;$BV4</formula>
    </cfRule>
  </conditionalFormatting>
  <conditionalFormatting sqref="CF5">
    <cfRule type="expression" dxfId="3097" priority="45" stopIfTrue="1">
      <formula>COUNTIF(#REF!,"N")&lt;&gt;#REF!</formula>
    </cfRule>
  </conditionalFormatting>
  <conditionalFormatting sqref="CF14">
    <cfRule type="expression" dxfId="3096" priority="53" stopIfTrue="1">
      <formula>COUNTIF($C9:$AH9,"N")&lt;&gt;#REF!</formula>
    </cfRule>
  </conditionalFormatting>
  <conditionalFormatting sqref="CF15">
    <cfRule type="expression" dxfId="3095" priority="54" stopIfTrue="1">
      <formula>COUNTIF($C9:$AH9,"N")&lt;&gt;#REF!</formula>
    </cfRule>
  </conditionalFormatting>
  <conditionalFormatting sqref="CD6:CD9">
    <cfRule type="expression" dxfId="3094" priority="55" stopIfTrue="1">
      <formula>COUNTIF($C2:$AG2,"D")&lt;&gt;$BV5</formula>
    </cfRule>
  </conditionalFormatting>
  <conditionalFormatting sqref="CF12:CF15">
    <cfRule type="expression" dxfId="3093" priority="56" stopIfTrue="1">
      <formula>COUNTIF($C8:$AH8,"N")&lt;&gt;#REF!</formula>
    </cfRule>
  </conditionalFormatting>
  <conditionalFormatting sqref="CD12:CD15">
    <cfRule type="expression" dxfId="3092" priority="57" stopIfTrue="1">
      <formula>COUNTIF($C8:$AH8,"D")&lt;&gt;$BV11</formula>
    </cfRule>
  </conditionalFormatting>
  <conditionalFormatting sqref="CF6:CF9">
    <cfRule type="expression" dxfId="3091" priority="58" stopIfTrue="1">
      <formula>COUNTIF($C2:$AG2,"N")&lt;&gt;#REF!</formula>
    </cfRule>
  </conditionalFormatting>
  <conditionalFormatting sqref="CF11">
    <cfRule type="expression" dxfId="3090" priority="59" stopIfTrue="1">
      <formula>COUNTIF($D7:$AH7,"N")&lt;&gt;#REF!</formula>
    </cfRule>
  </conditionalFormatting>
  <conditionalFormatting sqref="CD11">
    <cfRule type="expression" dxfId="3089" priority="60" stopIfTrue="1">
      <formula>COUNTIF($D7:$AH7,"D")&lt;&gt;$BV10</formula>
    </cfRule>
  </conditionalFormatting>
  <conditionalFormatting sqref="AH29">
    <cfRule type="expression" dxfId="3088" priority="40" stopIfTrue="1">
      <formula>WEEKDAY(AH$4)=7</formula>
    </cfRule>
    <cfRule type="expression" dxfId="3087" priority="41" stopIfTrue="1">
      <formula>WEEKDAY(AH$4)=1</formula>
    </cfRule>
    <cfRule type="expression" dxfId="3086" priority="42" stopIfTrue="1">
      <formula>WEEKDAY(AH$4)=7</formula>
    </cfRule>
    <cfRule type="expression" dxfId="3085" priority="43" stopIfTrue="1">
      <formula>WEEKDAY(AH$4)=1</formula>
    </cfRule>
  </conditionalFormatting>
  <conditionalFormatting sqref="C40:AG40 Q39 AA39:AG39 C29:AG31 C39:O39 C42:AG42 C41:O41 S41:V41 X41:AE41 S39:X39 C35:AG37 C34:Q34 S34:AG34 C33:AG33 C32:Q32 AG41 AG38 S32:AG32 S38:AE38 C38:Q38">
    <cfRule type="expression" dxfId="3084" priority="38" stopIfTrue="1">
      <formula>WEEKDAY(C$4,2)=6</formula>
    </cfRule>
    <cfRule type="expression" dxfId="3083" priority="39" stopIfTrue="1">
      <formula>WEEKDAY(C$4,2)=7</formula>
    </cfRule>
  </conditionalFormatting>
  <conditionalFormatting sqref="C18:AG18">
    <cfRule type="expression" dxfId="3082" priority="37" stopIfTrue="1">
      <formula>(COUNTIF(C$6:C$17,"off")+COUNTIF(C$6:C$17,"護"))&lt;&gt;C$18</formula>
    </cfRule>
  </conditionalFormatting>
  <conditionalFormatting sqref="AG7">
    <cfRule type="expression" dxfId="3081" priority="61" stopIfTrue="1">
      <formula>WEEKDAY(AF$4,2)=6</formula>
    </cfRule>
    <cfRule type="expression" dxfId="3080" priority="62" stopIfTrue="1">
      <formula>WEEKDAY(AF$4,2)=7</formula>
    </cfRule>
  </conditionalFormatting>
  <conditionalFormatting sqref="Z39">
    <cfRule type="expression" dxfId="3079" priority="33" stopIfTrue="1">
      <formula>WEEKDAY(Z$4,2)=6</formula>
    </cfRule>
    <cfRule type="expression" dxfId="3078" priority="34" stopIfTrue="1">
      <formula>WEEKDAY(Z$4,2)=7</formula>
    </cfRule>
  </conditionalFormatting>
  <conditionalFormatting sqref="Y39">
    <cfRule type="expression" dxfId="3077" priority="29" stopIfTrue="1">
      <formula>WEEKDAY(Y$4,2)=6</formula>
    </cfRule>
    <cfRule type="expression" dxfId="3076" priority="30" stopIfTrue="1">
      <formula>WEEKDAY(Y$4,2)=7</formula>
    </cfRule>
  </conditionalFormatting>
  <conditionalFormatting sqref="P39">
    <cfRule type="expression" dxfId="3075" priority="27" stopIfTrue="1">
      <formula>WEEKDAY(P$4,2)=6</formula>
    </cfRule>
    <cfRule type="expression" dxfId="3074" priority="28" stopIfTrue="1">
      <formula>WEEKDAY(P$4,2)=7</formula>
    </cfRule>
  </conditionalFormatting>
  <conditionalFormatting sqref="W41">
    <cfRule type="expression" dxfId="3073" priority="23" stopIfTrue="1">
      <formula>WEEKDAY(W$4,2)=6</formula>
    </cfRule>
    <cfRule type="expression" dxfId="3072" priority="24" stopIfTrue="1">
      <formula>WEEKDAY(W$4,2)=7</formula>
    </cfRule>
  </conditionalFormatting>
  <conditionalFormatting sqref="P41">
    <cfRule type="expression" dxfId="3071" priority="21" stopIfTrue="1">
      <formula>WEEKDAY(P$4,2)=6</formula>
    </cfRule>
    <cfRule type="expression" dxfId="3070" priority="22" stopIfTrue="1">
      <formula>WEEKDAY(P$4,2)=7</formula>
    </cfRule>
  </conditionalFormatting>
  <conditionalFormatting sqref="Q41">
    <cfRule type="expression" dxfId="3069" priority="19" stopIfTrue="1">
      <formula>WEEKDAY(Q$4,2)=6</formula>
    </cfRule>
    <cfRule type="expression" dxfId="3068" priority="20" stopIfTrue="1">
      <formula>WEEKDAY(Q$4,2)=7</formula>
    </cfRule>
  </conditionalFormatting>
  <conditionalFormatting sqref="R34">
    <cfRule type="expression" dxfId="3067" priority="15" stopIfTrue="1">
      <formula>WEEKDAY(R$4,2)=6</formula>
    </cfRule>
    <cfRule type="expression" dxfId="3066" priority="16" stopIfTrue="1">
      <formula>WEEKDAY(R$4,2)=7</formula>
    </cfRule>
  </conditionalFormatting>
  <conditionalFormatting sqref="R32">
    <cfRule type="expression" dxfId="3065" priority="11" stopIfTrue="1">
      <formula>WEEKDAY(R$4,2)=6</formula>
    </cfRule>
    <cfRule type="expression" dxfId="3064" priority="12" stopIfTrue="1">
      <formula>WEEKDAY(R$4,2)=7</formula>
    </cfRule>
  </conditionalFormatting>
  <conditionalFormatting sqref="AF41">
    <cfRule type="expression" dxfId="3063" priority="9" stopIfTrue="1">
      <formula>WEEKDAY(AF$4,2)=6</formula>
    </cfRule>
    <cfRule type="expression" dxfId="3062" priority="10" stopIfTrue="1">
      <formula>WEEKDAY(AF$4,2)=7</formula>
    </cfRule>
  </conditionalFormatting>
  <conditionalFormatting sqref="AF38">
    <cfRule type="expression" dxfId="3061" priority="7" stopIfTrue="1">
      <formula>WEEKDAY(AF$4,2)=6</formula>
    </cfRule>
    <cfRule type="expression" dxfId="3060" priority="8" stopIfTrue="1">
      <formula>WEEKDAY(AF$4,2)=7</formula>
    </cfRule>
  </conditionalFormatting>
  <conditionalFormatting sqref="R41">
    <cfRule type="expression" dxfId="3059" priority="5" stopIfTrue="1">
      <formula>WEEKDAY(R$4,2)=6</formula>
    </cfRule>
    <cfRule type="expression" dxfId="3058" priority="6" stopIfTrue="1">
      <formula>WEEKDAY(R$4,2)=7</formula>
    </cfRule>
  </conditionalFormatting>
  <conditionalFormatting sqref="R39">
    <cfRule type="expression" dxfId="3057" priority="3" stopIfTrue="1">
      <formula>WEEKDAY(R$4,2)=6</formula>
    </cfRule>
    <cfRule type="expression" dxfId="3056" priority="4" stopIfTrue="1">
      <formula>WEEKDAY(R$4,2)=7</formula>
    </cfRule>
  </conditionalFormatting>
  <conditionalFormatting sqref="R38">
    <cfRule type="expression" dxfId="3055" priority="1" stopIfTrue="1">
      <formula>WEEKDAY(R$4,2)=6</formula>
    </cfRule>
    <cfRule type="expression" dxfId="3054" priority="2" stopIfTrue="1">
      <formula>WEEKDAY(R$4,2)=7</formula>
    </cfRule>
  </conditionalFormatting>
  <dataValidations count="7">
    <dataValidation type="list" allowBlank="1" sqref="A31:A42 A6:A17" xr:uid="{430CA0B3-B8A1-46A4-B68D-75DE011B11BA}">
      <formula1>姓名清單</formula1>
    </dataValidation>
    <dataValidation type="list" allowBlank="1" showInputMessage="1" sqref="A43:A44 A18:A19" xr:uid="{D8BDF7AD-CD46-4927-AB11-C6ADEEFFE3B8}">
      <formula1>$CM$11:$CN$11</formula1>
    </dataValidation>
    <dataValidation type="list" allowBlank="1" showInputMessage="1" sqref="C17:AG17" xr:uid="{174C548C-AB19-4D9B-98DA-16CF36CB5D5D}">
      <formula1>$AI$19:$AI$31</formula1>
    </dataValidation>
    <dataValidation type="list" allowBlank="1" sqref="C16:AG16" xr:uid="{C40A6F62-FBDA-48B4-AFE0-5380B27143E3}">
      <formula1>$AI$4:$AK$4</formula1>
    </dataValidation>
    <dataValidation type="list" allowBlank="1" sqref="C6:AG15" xr:uid="{3767E1E0-155E-46C0-81ED-69442C78882D}">
      <formula1>$AI$3:$AM$3</formula1>
    </dataValidation>
    <dataValidation type="list" allowBlank="1" showInputMessage="1" showErrorMessage="1" sqref="Y39 AA31:AG42 Y31:Z38 Y40:Z42 C31:X42" xr:uid="{5D978BC8-4DB5-42E8-8C50-C868CFC405A1}">
      <formula1>$AI$29:$AK$29</formula1>
    </dataValidation>
    <dataValidation type="list" allowBlank="1" sqref="Z39" xr:uid="{5F18EC3A-154D-4AB2-BF89-5A18BFF93ECB}">
      <formula1>$AI$3:$AL$3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9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2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3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4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5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E4D90-6DDC-4012-A5F0-F5198C285E49}">
  <sheetPr codeName="工作表27">
    <pageSetUpPr fitToPage="1"/>
  </sheetPr>
  <dimension ref="A1:CP45"/>
  <sheetViews>
    <sheetView topLeftCell="AG1" zoomScale="50" zoomScaleNormal="50" workbookViewId="0">
      <selection activeCell="BG3" sqref="BG3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3 ... 7</v>
      </c>
      <c r="G1" s="381" t="s">
        <v>410</v>
      </c>
      <c r="H1" s="381"/>
      <c r="I1" s="358" t="str">
        <f>BB4</f>
        <v>3 ... 7</v>
      </c>
      <c r="J1" s="381" t="s">
        <v>437</v>
      </c>
      <c r="K1" s="381"/>
      <c r="L1" s="358" t="str">
        <f>BG4</f>
        <v>16 ... 3</v>
      </c>
      <c r="M1" s="99" t="s">
        <v>438</v>
      </c>
      <c r="N1" s="358">
        <f>COUNTIF(C5:AG5,6)</f>
        <v>5</v>
      </c>
      <c r="O1" s="99" t="s">
        <v>439</v>
      </c>
      <c r="P1" s="358">
        <f>COUNTIF(C5:AG5,"日")</f>
        <v>5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5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31</v>
      </c>
      <c r="BC2" s="350">
        <f>DAY(EOMONTH(C4,0))</f>
        <v>31</v>
      </c>
      <c r="BD2" s="350">
        <f>IF(ISBLANK(AY2), (COUNTIF(C5:AG5,"6")-COUNTIFS(C5:AG5,"6",C19:AG19,"國"))*(COUNTA(BJ6:BJ17)-AX5-COUNTA(BL6:BL17))+COUNTIFS(C5:AG5,"6",C44:AG44,"國")*(COUNTA(BJ6:BJ17)-AX3-AX4-COUNTA(BL6:BL17)), "手動計算填入下方")</f>
        <v>20</v>
      </c>
      <c r="BE2" s="350">
        <f>COUNTIF(C5:AG5,"日")*((COUNTA(BJ6:BJ17))-AX4-AX3-COUNTA(AX14BE4:BL6:BL17))</f>
        <v>25</v>
      </c>
      <c r="BF2" s="350">
        <f t="array" ref="BF2">IF(ISBLANK(AY2),(SUMPRODUCT(--(C4:AG4&lt;&gt;""))-COUNTIF(C5:AG5,"日")-COUNTIF(C5:AG5,"6")-BH2)*((COUNTA(BJ6:BJ17))-AX5-COUNTA(BL6:BL17)),"手動計算填入下方")</f>
        <v>80</v>
      </c>
      <c r="BG2" s="350" cm="1">
        <f t="array" ref="BG2">IF(ISBLANK(AY2),(COUNTIF(C5:AG5,"6")-COUNTIFS(C5:AG5,"6",C44:AG44,"國"))*(COUNTA(BJ6:BJ17)-AX5-COUNTA(BL6:BL17))+COUNTIFS(C5:AG5,"6",C44:AG44,"國")*(COUNTA(BJ6:BJ17)-AX3-AX4-COUNTA(BL6:BL17)),BD3)+BE2+BH2*((COUNTA(BJ6:BJ17))-AX2-COUNTA(BL6:BL17))+IF(ISBLANK(AY2),((SUMPRODUCT(--(C4:AG4&lt;&gt;""))-COUNTIF(C5:AG5,"日")-COUNTIF(C5:AG5,"6")-BH2)*((COUNTA(BJ6:BJ17))-AX5-COUNTA(BL6:BL17))),BF3)+BG5</f>
        <v>131</v>
      </c>
      <c r="BH2" s="350">
        <f>COUNTIF(C19:AG19,"*國*")</f>
        <v>1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>勞動</v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/>
      <c r="BH3" s="350"/>
      <c r="BW3" s="13"/>
    </row>
    <row r="4" spans="1:94" ht="20.25" customHeight="1">
      <c r="A4" s="19" t="s">
        <v>1</v>
      </c>
      <c r="B4" s="19"/>
      <c r="C4" s="30">
        <f>DATE($G$2,$J$2,1)</f>
        <v>46143</v>
      </c>
      <c r="D4" s="30">
        <f>C4+1</f>
        <v>46144</v>
      </c>
      <c r="E4" s="30">
        <f t="shared" ref="E4:AC4" si="1">D4+1</f>
        <v>46145</v>
      </c>
      <c r="F4" s="30">
        <f t="shared" si="1"/>
        <v>46146</v>
      </c>
      <c r="G4" s="30">
        <f t="shared" si="1"/>
        <v>46147</v>
      </c>
      <c r="H4" s="30">
        <f t="shared" si="1"/>
        <v>46148</v>
      </c>
      <c r="I4" s="30">
        <f t="shared" si="1"/>
        <v>46149</v>
      </c>
      <c r="J4" s="30">
        <f t="shared" si="1"/>
        <v>46150</v>
      </c>
      <c r="K4" s="30">
        <f t="shared" si="1"/>
        <v>46151</v>
      </c>
      <c r="L4" s="30">
        <f t="shared" si="1"/>
        <v>46152</v>
      </c>
      <c r="M4" s="30">
        <f t="shared" si="1"/>
        <v>46153</v>
      </c>
      <c r="N4" s="30">
        <f t="shared" si="1"/>
        <v>46154</v>
      </c>
      <c r="O4" s="30">
        <f t="shared" si="1"/>
        <v>46155</v>
      </c>
      <c r="P4" s="30">
        <f t="shared" si="1"/>
        <v>46156</v>
      </c>
      <c r="Q4" s="30">
        <f t="shared" si="1"/>
        <v>46157</v>
      </c>
      <c r="R4" s="30">
        <f t="shared" si="1"/>
        <v>46158</v>
      </c>
      <c r="S4" s="30">
        <f t="shared" si="1"/>
        <v>46159</v>
      </c>
      <c r="T4" s="30">
        <f t="shared" si="1"/>
        <v>46160</v>
      </c>
      <c r="U4" s="30">
        <f t="shared" si="1"/>
        <v>46161</v>
      </c>
      <c r="V4" s="30">
        <f t="shared" si="1"/>
        <v>46162</v>
      </c>
      <c r="W4" s="30">
        <f t="shared" si="1"/>
        <v>46163</v>
      </c>
      <c r="X4" s="30">
        <f t="shared" si="1"/>
        <v>46164</v>
      </c>
      <c r="Y4" s="30">
        <f t="shared" si="1"/>
        <v>46165</v>
      </c>
      <c r="Z4" s="30">
        <f t="shared" si="1"/>
        <v>46166</v>
      </c>
      <c r="AA4" s="30">
        <f t="shared" si="1"/>
        <v>46167</v>
      </c>
      <c r="AB4" s="30">
        <f t="shared" si="1"/>
        <v>46168</v>
      </c>
      <c r="AC4" s="30">
        <f t="shared" si="1"/>
        <v>46169</v>
      </c>
      <c r="AD4" s="30">
        <f>IFERROR(IF(MONTH(AC4+1)=$J$2,AC4+1,""),"")</f>
        <v>46170</v>
      </c>
      <c r="AE4" s="30">
        <f>IFERROR(IF(MONTH(AD4+1)=$J$2,AD4+1,""),"")</f>
        <v>46171</v>
      </c>
      <c r="AF4" s="30">
        <f>IFERROR(IF(MONTH(AE4+1)=$J$2,AE4+1,""),"")</f>
        <v>46172</v>
      </c>
      <c r="AG4" s="30">
        <f>IFERROR(IF(MONTH(AF4+1)=$J$2,AF4+1,""),"")</f>
        <v>46173</v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3 ... 7</v>
      </c>
      <c r="BC4" s="350" t="str">
        <f>QUOTIENT((COUNTA(C4:AG4)-COUNTIF(AE4:AG4,"")),COUNTA(BJ6:BJ15)-COUNTA(BL6:BL17))&amp;" ... "&amp;MOD((COUNTA(C4:AG4)-COUNTIF(AE4:AG4,"")),COUNTA(BJ6:BJ15)-COUNTA(BL6:BL17))</f>
        <v>3 ... 7</v>
      </c>
      <c r="BD4" s="350"/>
      <c r="BE4" s="350"/>
      <c r="BF4" s="350"/>
      <c r="BG4" s="350" t="str">
        <f>QUOTIENT(BG2,COUNTA(BJ6:BJ17)-COUNTA(BL6:BL17))&amp;" ... "&amp;MOD(BG2,COUNTA(BJ6:BJ17)-COUNTA(BL6:BL17))</f>
        <v>16 ... 3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2">IFERROR(IF(WEEKDAY(C4,2)=7,"日",WEEKDAY(C4,2)),"")</f>
        <v>5</v>
      </c>
      <c r="D5" s="31">
        <f>IFERROR(IF(WEEKDAY(D4,2)=7,"日",WEEKDAY(D4,2)),"")</f>
        <v>6</v>
      </c>
      <c r="E5" s="31" t="str">
        <f t="shared" si="2"/>
        <v>日</v>
      </c>
      <c r="F5" s="31">
        <f t="shared" si="2"/>
        <v>1</v>
      </c>
      <c r="G5" s="31">
        <f t="shared" si="2"/>
        <v>2</v>
      </c>
      <c r="H5" s="31">
        <f t="shared" si="2"/>
        <v>3</v>
      </c>
      <c r="I5" s="31">
        <f t="shared" si="2"/>
        <v>4</v>
      </c>
      <c r="J5" s="31">
        <f t="shared" si="2"/>
        <v>5</v>
      </c>
      <c r="K5" s="31">
        <f t="shared" si="2"/>
        <v>6</v>
      </c>
      <c r="L5" s="31" t="str">
        <f t="shared" si="2"/>
        <v>日</v>
      </c>
      <c r="M5" s="31">
        <f t="shared" si="2"/>
        <v>1</v>
      </c>
      <c r="N5" s="31">
        <f t="shared" si="2"/>
        <v>2</v>
      </c>
      <c r="O5" s="31">
        <f t="shared" si="2"/>
        <v>3</v>
      </c>
      <c r="P5" s="31">
        <f t="shared" si="2"/>
        <v>4</v>
      </c>
      <c r="Q5" s="31">
        <f t="shared" si="2"/>
        <v>5</v>
      </c>
      <c r="R5" s="31">
        <f t="shared" si="2"/>
        <v>6</v>
      </c>
      <c r="S5" s="31" t="str">
        <f t="shared" si="2"/>
        <v>日</v>
      </c>
      <c r="T5" s="31">
        <f t="shared" si="2"/>
        <v>1</v>
      </c>
      <c r="U5" s="31">
        <f t="shared" si="2"/>
        <v>2</v>
      </c>
      <c r="V5" s="31">
        <f t="shared" si="2"/>
        <v>3</v>
      </c>
      <c r="W5" s="31">
        <f t="shared" si="2"/>
        <v>4</v>
      </c>
      <c r="X5" s="31">
        <f t="shared" si="2"/>
        <v>5</v>
      </c>
      <c r="Y5" s="31">
        <f t="shared" si="2"/>
        <v>6</v>
      </c>
      <c r="Z5" s="31" t="str">
        <f t="shared" si="2"/>
        <v>日</v>
      </c>
      <c r="AA5" s="31">
        <f t="shared" si="2"/>
        <v>1</v>
      </c>
      <c r="AB5" s="31">
        <f t="shared" si="2"/>
        <v>2</v>
      </c>
      <c r="AC5" s="31">
        <f t="shared" si="2"/>
        <v>3</v>
      </c>
      <c r="AD5" s="31">
        <f t="shared" si="2"/>
        <v>4</v>
      </c>
      <c r="AE5" s="31">
        <f t="shared" si="2"/>
        <v>5</v>
      </c>
      <c r="AF5" s="31">
        <f t="shared" si="2"/>
        <v>6</v>
      </c>
      <c r="AG5" s="31" t="str">
        <f t="shared" si="2"/>
        <v>日</v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">
        <f t="shared" ref="AH6:AH17" si="3">(AI6*12)+(AJ6*12)+(AL6*8)+(AM6*4)</f>
        <v>228</v>
      </c>
      <c r="AI6" s="3">
        <f>COUNTIF(C6:AG6,"D")+COUNTIF(C6:AG6,"NrsD")</f>
        <v>0</v>
      </c>
      <c r="AJ6" s="3">
        <f>COUNTIF(C6:AG6,"N")</f>
        <v>0</v>
      </c>
      <c r="AK6" s="3">
        <f>COUNTIF(C6:AG6,"OFF")+COUNTIF(C6:AG6,"上課")</f>
        <v>0</v>
      </c>
      <c r="AL6" s="3">
        <f>COUNTIF(C6:AG6,"")-AM6+COUNTIF(C6:AG6,"h3")</f>
        <v>26</v>
      </c>
      <c r="AM6" s="3">
        <f>COUNTIFS($C$5:$AG$5,"6",C6:AG6,"")+COUNTIF(C6:AG6,"h3")</f>
        <v>5</v>
      </c>
      <c r="AN6" s="3">
        <f t="array" ref="AN6">SUMPRODUCT(($C$5:$AG$5=6)*(C6:AG6="off"))</f>
        <v>0</v>
      </c>
      <c r="AO6" s="3" t="s">
        <v>404</v>
      </c>
      <c r="AP6" s="3" t="s">
        <v>56</v>
      </c>
      <c r="AQ6" s="12"/>
      <c r="AR6" s="256">
        <f>BN6</f>
        <v>4</v>
      </c>
      <c r="AS6" s="256">
        <f>BP6</f>
        <v>3</v>
      </c>
      <c r="AT6" s="256">
        <f>BR6</f>
        <v>16</v>
      </c>
      <c r="AU6" s="256">
        <f>BT6</f>
        <v>3</v>
      </c>
      <c r="AV6" s="91"/>
      <c r="BJ6" s="348" t="s">
        <v>384</v>
      </c>
      <c r="BK6" s="348" t="str">
        <f>A31</f>
        <v>B黃郁芳</v>
      </c>
      <c r="BL6" s="348"/>
      <c r="BM6" s="348"/>
      <c r="BN6" s="348">
        <v>4</v>
      </c>
      <c r="BO6" s="348"/>
      <c r="BP6" s="348">
        <v>3</v>
      </c>
      <c r="BQ6" s="348"/>
      <c r="BR6" s="348">
        <v>16</v>
      </c>
      <c r="BS6" s="348"/>
      <c r="BT6" s="348">
        <v>3</v>
      </c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52"/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">
        <f t="shared" si="3"/>
        <v>228</v>
      </c>
      <c r="AI7" s="3">
        <f>COUNTIF(C7:AG7,"D")+COUNTIF(C7:AG7,"NrsD")</f>
        <v>0</v>
      </c>
      <c r="AJ7" s="3">
        <f>COUNTIF(C7:AG7,"N")</f>
        <v>0</v>
      </c>
      <c r="AK7" s="3">
        <f>COUNTIF(C7:AG7,"OFF")+COUNTIF(C7:AG7,"上課")</f>
        <v>0</v>
      </c>
      <c r="AL7" s="3">
        <f>COUNTIF(C7:AG7,"")-AM7+COUNTIF(C7:AG7,"h3")</f>
        <v>26</v>
      </c>
      <c r="AM7" s="3">
        <f>COUNTIFS($C$5:$AG$5,"6",C7:AG7,"")+COUNTIF(C7:AG7,"h3")</f>
        <v>5</v>
      </c>
      <c r="AN7" s="3">
        <f t="array" ref="AN7">SUMPRODUCT(($C$5:$AG$5=6)*(C7:AG7="off"))</f>
        <v>0</v>
      </c>
      <c r="AO7" s="3" t="s">
        <v>406</v>
      </c>
      <c r="AP7" s="3" t="s">
        <v>84</v>
      </c>
      <c r="AQ7" s="12"/>
      <c r="AR7" s="256">
        <f t="shared" ref="AR7:AR17" si="5">BN7</f>
        <v>4</v>
      </c>
      <c r="AS7" s="256">
        <f t="shared" ref="AS7:AS17" si="6">BP7</f>
        <v>4</v>
      </c>
      <c r="AT7" s="256">
        <f t="shared" ref="AT7:AT17" si="7">BR7</f>
        <v>16</v>
      </c>
      <c r="AU7" s="256">
        <f t="shared" ref="AU7:AU17" si="8">BT7</f>
        <v>3</v>
      </c>
      <c r="BJ7" s="348" t="s">
        <v>384</v>
      </c>
      <c r="BK7" s="348" t="str">
        <f t="shared" ref="BK7:BK17" si="9">A32</f>
        <v>C詹絲庭</v>
      </c>
      <c r="BL7" s="348"/>
      <c r="BM7" s="348" t="s">
        <v>419</v>
      </c>
      <c r="BN7" s="348">
        <v>4</v>
      </c>
      <c r="BO7" s="348" t="s">
        <v>448</v>
      </c>
      <c r="BP7" s="348">
        <v>4</v>
      </c>
      <c r="BQ7" s="348"/>
      <c r="BR7" s="348">
        <v>16</v>
      </c>
      <c r="BS7" s="348" t="s">
        <v>419</v>
      </c>
      <c r="BT7" s="348">
        <v>3</v>
      </c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">
        <f t="shared" si="3"/>
        <v>228</v>
      </c>
      <c r="AI8" s="3">
        <f>COUNTIF(C8:AG8,"D")+COUNTIF(C8:AG8,"NrsD")</f>
        <v>0</v>
      </c>
      <c r="AJ8" s="3">
        <f t="shared" ref="AJ8:AJ17" si="11">COUNTIF(C8:AG8,"N")</f>
        <v>0</v>
      </c>
      <c r="AK8" s="3">
        <f t="shared" ref="AK8:AK17" si="12">COUNTIF(C8:AG8,"OFF")+COUNTIF(C8:AG8,"上課")</f>
        <v>0</v>
      </c>
      <c r="AL8" s="3">
        <f t="shared" ref="AL8:AL17" si="13">COUNTIF(C8:AG8,"")-AM8+COUNTIF(C8:AG8,"h3")</f>
        <v>26</v>
      </c>
      <c r="AM8" s="3">
        <f t="shared" ref="AM8:AM17" si="14">COUNTIFS($C$5:$AG$5,"6",C8:AG8,"")+COUNTIF(C8:AG8,"h3")</f>
        <v>5</v>
      </c>
      <c r="AN8" s="3">
        <f t="array" ref="AN8">SUMPRODUCT(($C$5:$AG$5=6)*(C8:AG8="off"))</f>
        <v>0</v>
      </c>
      <c r="AO8" s="3" t="s">
        <v>407</v>
      </c>
      <c r="AP8" s="3" t="s">
        <v>90</v>
      </c>
      <c r="AQ8" s="12"/>
      <c r="AR8" s="256">
        <f t="shared" si="5"/>
        <v>3</v>
      </c>
      <c r="AS8" s="256">
        <f t="shared" si="6"/>
        <v>4</v>
      </c>
      <c r="AT8" s="256">
        <f t="shared" si="7"/>
        <v>17</v>
      </c>
      <c r="AU8" s="256">
        <f t="shared" si="8"/>
        <v>2</v>
      </c>
      <c r="BJ8" s="348" t="s">
        <v>384</v>
      </c>
      <c r="BK8" s="348" t="str">
        <f t="shared" si="9"/>
        <v>D王子建</v>
      </c>
      <c r="BL8" s="348"/>
      <c r="BM8" s="348"/>
      <c r="BN8" s="348">
        <v>3</v>
      </c>
      <c r="BO8" s="348"/>
      <c r="BP8" s="348">
        <v>4</v>
      </c>
      <c r="BQ8" s="348" t="s">
        <v>448</v>
      </c>
      <c r="BR8" s="348">
        <v>17</v>
      </c>
      <c r="BS8" s="348"/>
      <c r="BT8" s="348">
        <v>2</v>
      </c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">
        <f t="shared" si="3"/>
        <v>228</v>
      </c>
      <c r="AI9" s="3">
        <f t="shared" ref="AI9:AI15" si="15">COUNTIF(C9:AG9,"D")+COUNTIF(C9:AG9,"NrsD")</f>
        <v>0</v>
      </c>
      <c r="AJ9" s="3">
        <f t="shared" si="11"/>
        <v>0</v>
      </c>
      <c r="AK9" s="3">
        <f t="shared" si="12"/>
        <v>0</v>
      </c>
      <c r="AL9" s="3">
        <f t="shared" si="13"/>
        <v>26</v>
      </c>
      <c r="AM9" s="3">
        <f t="shared" si="14"/>
        <v>5</v>
      </c>
      <c r="AN9" s="3">
        <f t="array" ref="AN9">SUMPRODUCT(($C$5:$AG$5=6)*(C9:AG9="off"))</f>
        <v>0</v>
      </c>
      <c r="AO9" s="3" t="s">
        <v>405</v>
      </c>
      <c r="AP9" s="3" t="s">
        <v>72</v>
      </c>
      <c r="AQ9" s="12"/>
      <c r="AR9" s="256">
        <f t="shared" si="5"/>
        <v>4</v>
      </c>
      <c r="AS9" s="256">
        <f t="shared" si="6"/>
        <v>4</v>
      </c>
      <c r="AT9" s="256">
        <f t="shared" si="7"/>
        <v>17</v>
      </c>
      <c r="AU9" s="256">
        <f t="shared" si="8"/>
        <v>2</v>
      </c>
      <c r="BJ9" s="348" t="s">
        <v>384</v>
      </c>
      <c r="BK9" s="348" t="str">
        <f t="shared" si="9"/>
        <v>E詹雅慈</v>
      </c>
      <c r="BL9" s="348"/>
      <c r="BM9" s="348" t="s">
        <v>448</v>
      </c>
      <c r="BN9" s="348">
        <v>4</v>
      </c>
      <c r="BO9" s="348"/>
      <c r="BP9" s="348">
        <v>4</v>
      </c>
      <c r="BQ9" s="348"/>
      <c r="BR9" s="348">
        <v>17</v>
      </c>
      <c r="BS9" s="348"/>
      <c r="BT9" s="348">
        <v>2</v>
      </c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10"/>
        <v>F丁韋綸</v>
      </c>
      <c r="B10" s="338" t="str">
        <f t="shared" si="4"/>
        <v>X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">
        <f t="shared" si="3"/>
        <v>228</v>
      </c>
      <c r="AI10" s="3">
        <f t="shared" si="15"/>
        <v>0</v>
      </c>
      <c r="AJ10" s="3">
        <f t="shared" si="11"/>
        <v>0</v>
      </c>
      <c r="AK10" s="3">
        <f t="shared" si="12"/>
        <v>0</v>
      </c>
      <c r="AL10" s="3">
        <f t="shared" si="13"/>
        <v>26</v>
      </c>
      <c r="AM10" s="3">
        <f t="shared" si="14"/>
        <v>5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10"/>
        <v>G陳盈潔</v>
      </c>
      <c r="B11" s="338" t="str">
        <f t="shared" si="4"/>
        <v>X</v>
      </c>
      <c r="C11" s="352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">
        <f t="shared" si="3"/>
        <v>228</v>
      </c>
      <c r="AI11" s="3">
        <f t="shared" si="15"/>
        <v>0</v>
      </c>
      <c r="AJ11" s="3">
        <f t="shared" si="11"/>
        <v>0</v>
      </c>
      <c r="AK11" s="3">
        <f t="shared" si="12"/>
        <v>0</v>
      </c>
      <c r="AL11" s="3">
        <f t="shared" si="13"/>
        <v>26</v>
      </c>
      <c r="AM11" s="3">
        <f t="shared" si="14"/>
        <v>5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10"/>
        <v>H張心柔</v>
      </c>
      <c r="B12" s="338" t="str">
        <f t="shared" si="4"/>
        <v/>
      </c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">
        <f t="shared" si="3"/>
        <v>228</v>
      </c>
      <c r="AI12" s="3">
        <f t="shared" si="15"/>
        <v>0</v>
      </c>
      <c r="AJ12" s="3">
        <f t="shared" si="11"/>
        <v>0</v>
      </c>
      <c r="AK12" s="3">
        <f t="shared" si="12"/>
        <v>0</v>
      </c>
      <c r="AL12" s="3">
        <f t="shared" si="13"/>
        <v>26</v>
      </c>
      <c r="AM12" s="3">
        <f t="shared" si="14"/>
        <v>5</v>
      </c>
      <c r="AN12" s="3">
        <f t="array" ref="AN12">SUMPRODUCT(($C$5:$AG$5=6)*(C12:AG12="off"))</f>
        <v>0</v>
      </c>
      <c r="AO12" s="3" t="s">
        <v>408</v>
      </c>
      <c r="AP12" s="3" t="s">
        <v>95</v>
      </c>
      <c r="AQ12" s="12"/>
      <c r="AR12" s="256">
        <f t="shared" si="5"/>
        <v>4</v>
      </c>
      <c r="AS12" s="256">
        <f t="shared" si="6"/>
        <v>4</v>
      </c>
      <c r="AT12" s="256">
        <f t="shared" si="7"/>
        <v>17</v>
      </c>
      <c r="AU12" s="256">
        <f t="shared" si="8"/>
        <v>2</v>
      </c>
      <c r="BJ12" s="348" t="s">
        <v>384</v>
      </c>
      <c r="BK12" s="348" t="str">
        <f t="shared" si="9"/>
        <v>H張心柔</v>
      </c>
      <c r="BL12" s="348"/>
      <c r="BM12" s="348"/>
      <c r="BN12" s="348">
        <v>4</v>
      </c>
      <c r="BO12" s="348"/>
      <c r="BP12" s="348">
        <v>4</v>
      </c>
      <c r="BQ12" s="348" t="s">
        <v>419</v>
      </c>
      <c r="BR12" s="348">
        <v>17</v>
      </c>
      <c r="BS12" s="348"/>
      <c r="BT12" s="348">
        <v>2</v>
      </c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I劉子瑄</v>
      </c>
      <c r="B13" s="338" t="str">
        <f t="shared" si="4"/>
        <v/>
      </c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">
        <f t="shared" si="3"/>
        <v>228</v>
      </c>
      <c r="AI13" s="3">
        <f t="shared" si="15"/>
        <v>0</v>
      </c>
      <c r="AJ13" s="3">
        <f t="shared" si="11"/>
        <v>0</v>
      </c>
      <c r="AK13" s="3">
        <f t="shared" si="12"/>
        <v>0</v>
      </c>
      <c r="AL13" s="3">
        <f t="shared" si="13"/>
        <v>26</v>
      </c>
      <c r="AM13" s="3">
        <f t="shared" si="14"/>
        <v>5</v>
      </c>
      <c r="AN13" s="3">
        <f t="array" ref="AN13">SUMPRODUCT(($C$5:$AG$5=6)*(C13:AG13="off"))</f>
        <v>0</v>
      </c>
      <c r="AP13" s="3"/>
      <c r="AQ13" s="12"/>
      <c r="AR13" s="256">
        <f t="shared" si="5"/>
        <v>4</v>
      </c>
      <c r="AS13" s="256">
        <f t="shared" si="6"/>
        <v>4</v>
      </c>
      <c r="AT13" s="256">
        <f t="shared" si="7"/>
        <v>16</v>
      </c>
      <c r="AU13" s="256">
        <f t="shared" si="8"/>
        <v>2</v>
      </c>
      <c r="BJ13" s="348" t="s">
        <v>384</v>
      </c>
      <c r="BK13" s="348" t="str">
        <f t="shared" si="9"/>
        <v>I劉子瑄</v>
      </c>
      <c r="BL13" s="348"/>
      <c r="BM13" s="348"/>
      <c r="BN13" s="348">
        <v>4</v>
      </c>
      <c r="BO13" s="348"/>
      <c r="BP13" s="348">
        <v>4</v>
      </c>
      <c r="BQ13" s="348"/>
      <c r="BR13" s="348">
        <v>16</v>
      </c>
      <c r="BS13" s="348"/>
      <c r="BT13" s="348">
        <v>2</v>
      </c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10"/>
        <v>L陳咨希</v>
      </c>
      <c r="B14" s="338" t="str">
        <f t="shared" si="4"/>
        <v/>
      </c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">
        <f t="shared" si="3"/>
        <v>228</v>
      </c>
      <c r="AI14" s="3">
        <f t="shared" si="15"/>
        <v>0</v>
      </c>
      <c r="AJ14" s="3">
        <f t="shared" si="11"/>
        <v>0</v>
      </c>
      <c r="AK14" s="3">
        <f t="shared" si="12"/>
        <v>0</v>
      </c>
      <c r="AL14" s="3">
        <f t="shared" si="13"/>
        <v>26</v>
      </c>
      <c r="AM14" s="3">
        <f t="shared" si="14"/>
        <v>5</v>
      </c>
      <c r="AN14" s="3">
        <f t="array" ref="AN14">SUMPRODUCT(($C$5:$AG$5=6)*(C14:AG14="off"))</f>
        <v>0</v>
      </c>
      <c r="AO14" s="3"/>
      <c r="AP14" s="3"/>
      <c r="AQ14" s="12"/>
      <c r="AR14" s="256">
        <f t="shared" si="5"/>
        <v>4</v>
      </c>
      <c r="AS14" s="256">
        <f t="shared" si="6"/>
        <v>4</v>
      </c>
      <c r="AT14" s="256">
        <f t="shared" si="7"/>
        <v>16</v>
      </c>
      <c r="AU14" s="256">
        <f t="shared" si="8"/>
        <v>3</v>
      </c>
      <c r="AY14" s="335"/>
      <c r="BJ14" s="348" t="s">
        <v>451</v>
      </c>
      <c r="BK14" s="348" t="str">
        <f t="shared" si="9"/>
        <v>L陳咨希</v>
      </c>
      <c r="BL14" s="348"/>
      <c r="BM14" s="348"/>
      <c r="BN14" s="348">
        <v>4</v>
      </c>
      <c r="BO14" s="348"/>
      <c r="BP14" s="348">
        <v>4</v>
      </c>
      <c r="BQ14" s="348"/>
      <c r="BR14" s="348">
        <v>16</v>
      </c>
      <c r="BS14" s="348" t="s">
        <v>448</v>
      </c>
      <c r="BT14" s="348">
        <v>3</v>
      </c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J林瑋嫻</v>
      </c>
      <c r="B15" s="338" t="str">
        <f t="shared" si="4"/>
        <v/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">
        <f t="shared" si="3"/>
        <v>228</v>
      </c>
      <c r="AI15" s="3">
        <f t="shared" si="15"/>
        <v>0</v>
      </c>
      <c r="AJ15" s="3">
        <f t="shared" si="11"/>
        <v>0</v>
      </c>
      <c r="AK15" s="3">
        <f t="shared" si="12"/>
        <v>0</v>
      </c>
      <c r="AL15" s="3">
        <f t="shared" si="13"/>
        <v>26</v>
      </c>
      <c r="AM15" s="3">
        <f t="shared" si="14"/>
        <v>5</v>
      </c>
      <c r="AN15" s="3">
        <f t="array" ref="AN15">SUMPRODUCT(($C$5:$AG$5=6)*(C15:AG15="off"))</f>
        <v>0</v>
      </c>
      <c r="AO15" s="3"/>
      <c r="AP15" s="3"/>
      <c r="AQ15" s="12"/>
      <c r="AR15" s="256">
        <f t="shared" si="5"/>
        <v>4</v>
      </c>
      <c r="AS15" s="256">
        <f t="shared" si="6"/>
        <v>4</v>
      </c>
      <c r="AT15" s="256">
        <f t="shared" si="7"/>
        <v>16</v>
      </c>
      <c r="AU15" s="256">
        <f t="shared" si="8"/>
        <v>3</v>
      </c>
      <c r="BJ15" s="348" t="s">
        <v>451</v>
      </c>
      <c r="BK15" s="348" t="str">
        <f t="shared" si="9"/>
        <v>J林瑋嫻</v>
      </c>
      <c r="BL15" s="348"/>
      <c r="BM15" s="348"/>
      <c r="BN15" s="348">
        <v>4</v>
      </c>
      <c r="BO15" s="348" t="s">
        <v>419</v>
      </c>
      <c r="BP15" s="348">
        <v>4</v>
      </c>
      <c r="BQ15" s="348"/>
      <c r="BR15" s="348">
        <v>16</v>
      </c>
      <c r="BS15" s="348"/>
      <c r="BT15" s="348">
        <v>3</v>
      </c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tr">
        <f t="shared" si="10"/>
        <v>K馮佳祺</v>
      </c>
      <c r="B16" s="338"/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3"/>
        <v>228</v>
      </c>
      <c r="AI16" s="3">
        <f>COUNTIF(C16:AG16,"D")+COUNTIF(C16:AG16,"NurseD")</f>
        <v>0</v>
      </c>
      <c r="AJ16" s="3">
        <f t="shared" si="11"/>
        <v>0</v>
      </c>
      <c r="AK16" s="3">
        <f t="shared" si="12"/>
        <v>0</v>
      </c>
      <c r="AL16" s="3">
        <f t="shared" si="13"/>
        <v>26</v>
      </c>
      <c r="AM16" s="3">
        <f t="shared" si="14"/>
        <v>5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7"/>
        <v>0</v>
      </c>
      <c r="AU16" s="256">
        <f t="shared" si="8"/>
        <v>0</v>
      </c>
      <c r="BJ16" s="355"/>
      <c r="BK16" s="348" t="str">
        <f t="shared" si="9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228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26</v>
      </c>
      <c r="AM17" s="3">
        <f t="shared" si="14"/>
        <v>5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6</v>
      </c>
      <c r="D18" s="172">
        <f t="shared" si="16"/>
        <v>4</v>
      </c>
      <c r="E18" s="172">
        <f t="shared" si="16"/>
        <v>6</v>
      </c>
      <c r="F18" s="172">
        <f t="shared" si="16"/>
        <v>4</v>
      </c>
      <c r="G18" s="172">
        <f t="shared" si="16"/>
        <v>4</v>
      </c>
      <c r="H18" s="172">
        <f t="shared" si="16"/>
        <v>4</v>
      </c>
      <c r="I18" s="172">
        <f t="shared" si="16"/>
        <v>4</v>
      </c>
      <c r="J18" s="172">
        <f t="shared" si="16"/>
        <v>4</v>
      </c>
      <c r="K18" s="172">
        <f t="shared" si="16"/>
        <v>4</v>
      </c>
      <c r="L18" s="172">
        <f t="shared" si="16"/>
        <v>6</v>
      </c>
      <c r="M18" s="172">
        <f t="shared" si="16"/>
        <v>4</v>
      </c>
      <c r="N18" s="172">
        <f t="shared" si="16"/>
        <v>4</v>
      </c>
      <c r="O18" s="172">
        <f t="shared" si="16"/>
        <v>4</v>
      </c>
      <c r="P18" s="172">
        <f t="shared" si="16"/>
        <v>4</v>
      </c>
      <c r="Q18" s="172">
        <f t="shared" si="16"/>
        <v>4</v>
      </c>
      <c r="R18" s="172">
        <f t="shared" si="16"/>
        <v>4</v>
      </c>
      <c r="S18" s="172">
        <f t="shared" si="16"/>
        <v>6</v>
      </c>
      <c r="T18" s="172">
        <f t="shared" si="16"/>
        <v>4</v>
      </c>
      <c r="U18" s="172">
        <f t="shared" si="16"/>
        <v>4</v>
      </c>
      <c r="V18" s="172">
        <f t="shared" si="16"/>
        <v>4</v>
      </c>
      <c r="W18" s="172">
        <f t="shared" si="16"/>
        <v>4</v>
      </c>
      <c r="X18" s="172">
        <f t="shared" si="16"/>
        <v>4</v>
      </c>
      <c r="Y18" s="172">
        <f t="shared" si="16"/>
        <v>4</v>
      </c>
      <c r="Z18" s="172">
        <f t="shared" si="16"/>
        <v>6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4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4</v>
      </c>
      <c r="AC18" s="172">
        <f t="shared" si="17"/>
        <v>4</v>
      </c>
      <c r="AD18" s="172">
        <f t="shared" si="17"/>
        <v>4</v>
      </c>
      <c r="AE18" s="172">
        <f t="shared" si="17"/>
        <v>4</v>
      </c>
      <c r="AF18" s="172">
        <f t="shared" si="17"/>
        <v>4</v>
      </c>
      <c r="AG18" s="172">
        <f t="shared" si="17"/>
        <v>6</v>
      </c>
      <c r="AH18" s="3" t="s">
        <v>391</v>
      </c>
      <c r="AI18" s="3">
        <f>COUNTIF(C18:AG18,"D")+COUNTIF(C18:AG18,"NurseD")</f>
        <v>0</v>
      </c>
      <c r="AJ18" s="3">
        <f>SUM(AJ6:AJ15)</f>
        <v>0</v>
      </c>
      <c r="AK18" s="3">
        <f>SUM(AK6:AK15)</f>
        <v>0</v>
      </c>
      <c r="AL18" s="3">
        <f>SUM(AL6:AL15)</f>
        <v>260</v>
      </c>
      <c r="AM18" s="3">
        <f>SUM(AM6:AM15)-SUM(AM10:AM11)-SUM(AM16:AM17)</f>
        <v>30</v>
      </c>
      <c r="AN18" s="3">
        <f>SUM(AN6:AN15)</f>
        <v>0</v>
      </c>
      <c r="AO18" s="3"/>
      <c r="AP18" s="3"/>
      <c r="AQ18" s="12"/>
      <c r="AR18" s="55">
        <f>SUBTOTAL(109,AR5:AR17)</f>
        <v>31</v>
      </c>
      <c r="AS18" s="55">
        <f>SUBTOTAL(109,AS5:AS17)</f>
        <v>31</v>
      </c>
      <c r="AT18" s="55">
        <f>SUM(AT6:AT17)</f>
        <v>131</v>
      </c>
      <c r="AU18" s="55">
        <f>SUBTOTAL(109,AU5:AU17)</f>
        <v>20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>國</v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/>
      </c>
      <c r="Q19" s="173" t="str">
        <f t="shared" si="18"/>
        <v/>
      </c>
      <c r="R19" s="173" t="str">
        <f t="shared" si="18"/>
        <v/>
      </c>
      <c r="S19" s="173" t="str">
        <f t="shared" si="18"/>
        <v/>
      </c>
      <c r="T19" s="173" t="str">
        <f t="shared" si="18"/>
        <v/>
      </c>
      <c r="U19" s="173" t="str">
        <f t="shared" si="18"/>
        <v/>
      </c>
      <c r="V19" s="173" t="str">
        <f t="shared" si="18"/>
        <v/>
      </c>
      <c r="W19" s="173" t="str">
        <f t="shared" si="18"/>
        <v/>
      </c>
      <c r="X19" s="173" t="str">
        <f t="shared" si="18"/>
        <v/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/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0</v>
      </c>
      <c r="D20" s="360">
        <f t="shared" ref="D20:AG20" si="19">COUNTIF(D6:D15,"off")</f>
        <v>0</v>
      </c>
      <c r="E20" s="360">
        <f t="shared" si="19"/>
        <v>0</v>
      </c>
      <c r="F20" s="360">
        <f t="shared" si="19"/>
        <v>0</v>
      </c>
      <c r="G20" s="360">
        <f t="shared" si="19"/>
        <v>0</v>
      </c>
      <c r="H20" s="360">
        <f t="shared" si="19"/>
        <v>0</v>
      </c>
      <c r="I20" s="360">
        <f t="shared" si="19"/>
        <v>0</v>
      </c>
      <c r="J20" s="360">
        <f t="shared" si="19"/>
        <v>0</v>
      </c>
      <c r="K20" s="360">
        <f t="shared" si="19"/>
        <v>0</v>
      </c>
      <c r="L20" s="360">
        <f t="shared" si="19"/>
        <v>0</v>
      </c>
      <c r="M20" s="360">
        <f t="shared" si="19"/>
        <v>0</v>
      </c>
      <c r="N20" s="360">
        <f t="shared" si="19"/>
        <v>0</v>
      </c>
      <c r="O20" s="360">
        <f t="shared" si="19"/>
        <v>0</v>
      </c>
      <c r="P20" s="360">
        <f t="shared" si="19"/>
        <v>0</v>
      </c>
      <c r="Q20" s="360">
        <f t="shared" si="19"/>
        <v>0</v>
      </c>
      <c r="R20" s="360">
        <f t="shared" si="19"/>
        <v>0</v>
      </c>
      <c r="S20" s="360">
        <f t="shared" si="19"/>
        <v>0</v>
      </c>
      <c r="T20" s="360">
        <f t="shared" si="19"/>
        <v>0</v>
      </c>
      <c r="U20" s="360">
        <f t="shared" si="19"/>
        <v>0</v>
      </c>
      <c r="V20" s="360">
        <f t="shared" si="19"/>
        <v>0</v>
      </c>
      <c r="W20" s="360">
        <f t="shared" si="19"/>
        <v>0</v>
      </c>
      <c r="X20" s="360">
        <f t="shared" si="19"/>
        <v>0</v>
      </c>
      <c r="Y20" s="360">
        <f t="shared" si="19"/>
        <v>0</v>
      </c>
      <c r="Z20" s="360">
        <f t="shared" si="19"/>
        <v>0</v>
      </c>
      <c r="AA20" s="360">
        <f t="shared" si="19"/>
        <v>0</v>
      </c>
      <c r="AB20" s="360">
        <f t="shared" si="19"/>
        <v>0</v>
      </c>
      <c r="AC20" s="360">
        <f t="shared" si="19"/>
        <v>0</v>
      </c>
      <c r="AD20" s="360">
        <f t="shared" si="19"/>
        <v>0</v>
      </c>
      <c r="AE20" s="360">
        <f t="shared" si="19"/>
        <v>0</v>
      </c>
      <c r="AF20" s="360">
        <f>COUNTIF(AF6:AF15,"off")</f>
        <v>0</v>
      </c>
      <c r="AG20" s="360">
        <f t="shared" si="19"/>
        <v>0</v>
      </c>
      <c r="AH20" s="12">
        <f>SUM(C20:AG20)</f>
        <v>0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0</v>
      </c>
      <c r="D21" s="360">
        <f t="shared" ref="D21:AG21" si="20">COUNTIF(D6:D15,"D")+COUNTIF(D6:D15,"NrsD")</f>
        <v>0</v>
      </c>
      <c r="E21" s="360">
        <f t="shared" si="20"/>
        <v>0</v>
      </c>
      <c r="F21" s="360">
        <f t="shared" si="20"/>
        <v>0</v>
      </c>
      <c r="G21" s="360">
        <f t="shared" si="20"/>
        <v>0</v>
      </c>
      <c r="H21" s="360">
        <f t="shared" si="20"/>
        <v>0</v>
      </c>
      <c r="I21" s="360">
        <f t="shared" si="20"/>
        <v>0</v>
      </c>
      <c r="J21" s="360">
        <f t="shared" si="20"/>
        <v>0</v>
      </c>
      <c r="K21" s="360">
        <f t="shared" si="20"/>
        <v>0</v>
      </c>
      <c r="L21" s="360">
        <f t="shared" si="20"/>
        <v>0</v>
      </c>
      <c r="M21" s="360">
        <f t="shared" si="20"/>
        <v>0</v>
      </c>
      <c r="N21" s="360">
        <f t="shared" si="20"/>
        <v>0</v>
      </c>
      <c r="O21" s="360">
        <f t="shared" si="20"/>
        <v>0</v>
      </c>
      <c r="P21" s="360">
        <f t="shared" si="20"/>
        <v>0</v>
      </c>
      <c r="Q21" s="360">
        <f t="shared" si="20"/>
        <v>0</v>
      </c>
      <c r="R21" s="360">
        <f t="shared" si="20"/>
        <v>0</v>
      </c>
      <c r="S21" s="360">
        <f t="shared" si="20"/>
        <v>0</v>
      </c>
      <c r="T21" s="360">
        <f t="shared" si="20"/>
        <v>0</v>
      </c>
      <c r="U21" s="360">
        <f t="shared" si="20"/>
        <v>0</v>
      </c>
      <c r="V21" s="360">
        <f t="shared" si="20"/>
        <v>0</v>
      </c>
      <c r="W21" s="360">
        <f t="shared" si="20"/>
        <v>0</v>
      </c>
      <c r="X21" s="360">
        <f t="shared" si="20"/>
        <v>0</v>
      </c>
      <c r="Y21" s="360">
        <f t="shared" si="20"/>
        <v>0</v>
      </c>
      <c r="Z21" s="360">
        <f t="shared" si="20"/>
        <v>0</v>
      </c>
      <c r="AA21" s="360">
        <f t="shared" si="20"/>
        <v>0</v>
      </c>
      <c r="AB21" s="360">
        <f t="shared" si="20"/>
        <v>0</v>
      </c>
      <c r="AC21" s="360">
        <f t="shared" si="20"/>
        <v>0</v>
      </c>
      <c r="AD21" s="360">
        <f t="shared" si="20"/>
        <v>0</v>
      </c>
      <c r="AE21" s="360">
        <f t="shared" si="20"/>
        <v>0</v>
      </c>
      <c r="AF21" s="360">
        <f t="shared" si="20"/>
        <v>0</v>
      </c>
      <c r="AG21" s="360">
        <f t="shared" si="20"/>
        <v>0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0</v>
      </c>
      <c r="D22" s="360">
        <f t="shared" ref="D22:AG22" si="21">COUNTIF(D6:D15,"N")</f>
        <v>0</v>
      </c>
      <c r="E22" s="360">
        <f t="shared" si="21"/>
        <v>0</v>
      </c>
      <c r="F22" s="360">
        <f t="shared" si="21"/>
        <v>0</v>
      </c>
      <c r="G22" s="360">
        <f t="shared" si="21"/>
        <v>0</v>
      </c>
      <c r="H22" s="360">
        <f t="shared" si="21"/>
        <v>0</v>
      </c>
      <c r="I22" s="360">
        <f t="shared" si="21"/>
        <v>0</v>
      </c>
      <c r="J22" s="360">
        <f t="shared" si="21"/>
        <v>0</v>
      </c>
      <c r="K22" s="360">
        <f t="shared" si="21"/>
        <v>0</v>
      </c>
      <c r="L22" s="360">
        <f t="shared" si="21"/>
        <v>0</v>
      </c>
      <c r="M22" s="360">
        <f t="shared" si="21"/>
        <v>0</v>
      </c>
      <c r="N22" s="360">
        <f t="shared" si="21"/>
        <v>0</v>
      </c>
      <c r="O22" s="360">
        <f t="shared" si="21"/>
        <v>0</v>
      </c>
      <c r="P22" s="360">
        <f t="shared" si="21"/>
        <v>0</v>
      </c>
      <c r="Q22" s="360">
        <f t="shared" si="21"/>
        <v>0</v>
      </c>
      <c r="R22" s="360">
        <f t="shared" si="21"/>
        <v>0</v>
      </c>
      <c r="S22" s="360">
        <f t="shared" si="21"/>
        <v>0</v>
      </c>
      <c r="T22" s="360">
        <f t="shared" si="21"/>
        <v>0</v>
      </c>
      <c r="U22" s="360">
        <f t="shared" si="21"/>
        <v>0</v>
      </c>
      <c r="V22" s="360">
        <f t="shared" si="21"/>
        <v>0</v>
      </c>
      <c r="W22" s="360">
        <f t="shared" si="21"/>
        <v>0</v>
      </c>
      <c r="X22" s="360">
        <f t="shared" si="21"/>
        <v>0</v>
      </c>
      <c r="Y22" s="360">
        <f t="shared" si="21"/>
        <v>0</v>
      </c>
      <c r="Z22" s="360">
        <f t="shared" si="21"/>
        <v>0</v>
      </c>
      <c r="AA22" s="360">
        <f t="shared" si="21"/>
        <v>0</v>
      </c>
      <c r="AB22" s="360">
        <f t="shared" si="21"/>
        <v>0</v>
      </c>
      <c r="AC22" s="360">
        <f t="shared" si="21"/>
        <v>0</v>
      </c>
      <c r="AD22" s="360">
        <f t="shared" si="21"/>
        <v>0</v>
      </c>
      <c r="AE22" s="360">
        <f t="shared" si="21"/>
        <v>0</v>
      </c>
      <c r="AF22" s="360">
        <f t="shared" si="21"/>
        <v>0</v>
      </c>
      <c r="AG22" s="360">
        <f t="shared" si="21"/>
        <v>0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459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378" t="s">
        <v>492</v>
      </c>
      <c r="B26" s="379"/>
      <c r="C26" s="379"/>
      <c r="D26" s="379"/>
      <c r="E26" s="379"/>
      <c r="F26" s="379"/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 t="s">
        <v>477</v>
      </c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63"/>
      <c r="Q28" s="363"/>
      <c r="R28" s="363"/>
      <c r="S28" s="363"/>
      <c r="T28" s="363"/>
      <c r="U28" s="363"/>
      <c r="V28" s="363"/>
      <c r="W28" s="363"/>
      <c r="X28" s="363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46143</v>
      </c>
      <c r="D29" s="30">
        <f t="shared" ref="D29:AC29" si="22">C29+1</f>
        <v>46144</v>
      </c>
      <c r="E29" s="30">
        <f t="shared" si="22"/>
        <v>46145</v>
      </c>
      <c r="F29" s="30">
        <f t="shared" si="22"/>
        <v>46146</v>
      </c>
      <c r="G29" s="30">
        <f t="shared" si="22"/>
        <v>46147</v>
      </c>
      <c r="H29" s="30">
        <f t="shared" si="22"/>
        <v>46148</v>
      </c>
      <c r="I29" s="30">
        <f t="shared" si="22"/>
        <v>46149</v>
      </c>
      <c r="J29" s="30">
        <f t="shared" si="22"/>
        <v>46150</v>
      </c>
      <c r="K29" s="30">
        <f t="shared" si="22"/>
        <v>46151</v>
      </c>
      <c r="L29" s="30">
        <f t="shared" si="22"/>
        <v>46152</v>
      </c>
      <c r="M29" s="30">
        <f t="shared" si="22"/>
        <v>46153</v>
      </c>
      <c r="N29" s="30">
        <f t="shared" si="22"/>
        <v>46154</v>
      </c>
      <c r="O29" s="30">
        <f t="shared" si="22"/>
        <v>46155</v>
      </c>
      <c r="P29" s="30">
        <f t="shared" si="22"/>
        <v>46156</v>
      </c>
      <c r="Q29" s="30">
        <f t="shared" si="22"/>
        <v>46157</v>
      </c>
      <c r="R29" s="30">
        <f t="shared" si="22"/>
        <v>46158</v>
      </c>
      <c r="S29" s="30">
        <f t="shared" si="22"/>
        <v>46159</v>
      </c>
      <c r="T29" s="30">
        <f t="shared" si="22"/>
        <v>46160</v>
      </c>
      <c r="U29" s="30">
        <f t="shared" si="22"/>
        <v>46161</v>
      </c>
      <c r="V29" s="30">
        <f t="shared" si="22"/>
        <v>46162</v>
      </c>
      <c r="W29" s="30">
        <f t="shared" si="22"/>
        <v>46163</v>
      </c>
      <c r="X29" s="30">
        <f t="shared" si="22"/>
        <v>46164</v>
      </c>
      <c r="Y29" s="30">
        <f t="shared" si="22"/>
        <v>46165</v>
      </c>
      <c r="Z29" s="30">
        <f t="shared" si="22"/>
        <v>46166</v>
      </c>
      <c r="AA29" s="30">
        <f t="shared" si="22"/>
        <v>46167</v>
      </c>
      <c r="AB29" s="30">
        <f t="shared" si="22"/>
        <v>46168</v>
      </c>
      <c r="AC29" s="30">
        <f t="shared" si="22"/>
        <v>46169</v>
      </c>
      <c r="AD29" s="30">
        <f>IFERROR(IF(MONTH(AC29+1)=$J$2,AC29+1,""),"")</f>
        <v>46170</v>
      </c>
      <c r="AE29" s="30">
        <f>IFERROR(IF(MONTH(AD29+1)=$J$2,AD29+1,""),"")</f>
        <v>46171</v>
      </c>
      <c r="AF29" s="30">
        <f>IFERROR(IF(MONTH(AE29+1)=$J$2,AE29+1,""),"")</f>
        <v>46172</v>
      </c>
      <c r="AG29" s="30">
        <f>IFERROR(IF(MONTH(AF29+1)=$J$2,AF29+1,""),"")</f>
        <v>46173</v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5</v>
      </c>
      <c r="D30" s="31">
        <f>IFERROR(IF(WEEKDAY(D29,2)=7,"日",WEEKDAY(D29,2)),"")</f>
        <v>6</v>
      </c>
      <c r="E30" s="31" t="str">
        <f t="shared" ref="E30:AG30" si="23">IFERROR(IF(WEEKDAY(E29,2)=7,"日",WEEKDAY(E29,2)),"")</f>
        <v>日</v>
      </c>
      <c r="F30" s="31">
        <f t="shared" si="23"/>
        <v>1</v>
      </c>
      <c r="G30" s="31">
        <f t="shared" si="23"/>
        <v>2</v>
      </c>
      <c r="H30" s="31">
        <f t="shared" si="23"/>
        <v>3</v>
      </c>
      <c r="I30" s="31">
        <f t="shared" si="23"/>
        <v>4</v>
      </c>
      <c r="J30" s="31">
        <f t="shared" si="23"/>
        <v>5</v>
      </c>
      <c r="K30" s="31">
        <f t="shared" si="23"/>
        <v>6</v>
      </c>
      <c r="L30" s="31" t="str">
        <f t="shared" si="23"/>
        <v>日</v>
      </c>
      <c r="M30" s="31">
        <f t="shared" si="23"/>
        <v>1</v>
      </c>
      <c r="N30" s="31">
        <f t="shared" si="23"/>
        <v>2</v>
      </c>
      <c r="O30" s="31">
        <f t="shared" si="23"/>
        <v>3</v>
      </c>
      <c r="P30" s="31">
        <f t="shared" si="23"/>
        <v>4</v>
      </c>
      <c r="Q30" s="31">
        <f t="shared" si="23"/>
        <v>5</v>
      </c>
      <c r="R30" s="31">
        <f t="shared" si="23"/>
        <v>6</v>
      </c>
      <c r="S30" s="31" t="str">
        <f t="shared" si="23"/>
        <v>日</v>
      </c>
      <c r="T30" s="31">
        <f t="shared" si="23"/>
        <v>1</v>
      </c>
      <c r="U30" s="31">
        <f t="shared" si="23"/>
        <v>2</v>
      </c>
      <c r="V30" s="31">
        <f t="shared" si="23"/>
        <v>3</v>
      </c>
      <c r="W30" s="31">
        <f t="shared" si="23"/>
        <v>4</v>
      </c>
      <c r="X30" s="31">
        <f t="shared" si="23"/>
        <v>5</v>
      </c>
      <c r="Y30" s="31">
        <f t="shared" si="23"/>
        <v>6</v>
      </c>
      <c r="Z30" s="31" t="str">
        <f t="shared" si="23"/>
        <v>日</v>
      </c>
      <c r="AA30" s="31">
        <f t="shared" si="23"/>
        <v>1</v>
      </c>
      <c r="AB30" s="31">
        <f t="shared" si="23"/>
        <v>2</v>
      </c>
      <c r="AC30" s="31">
        <f t="shared" si="23"/>
        <v>3</v>
      </c>
      <c r="AD30" s="31">
        <f t="shared" si="23"/>
        <v>4</v>
      </c>
      <c r="AE30" s="31">
        <f t="shared" si="23"/>
        <v>5</v>
      </c>
      <c r="AF30" s="31">
        <f t="shared" si="23"/>
        <v>6</v>
      </c>
      <c r="AG30" s="31" t="str">
        <f t="shared" si="23"/>
        <v>日</v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">
        <f>(AI31*12)+(AJ31*12)+(AL31*8)+(AM31*4)</f>
        <v>228</v>
      </c>
      <c r="AI31" s="3">
        <f t="shared" ref="AI31:AI40" si="24">COUNTIF(C31:AG31,"D")</f>
        <v>0</v>
      </c>
      <c r="AJ31" s="3">
        <f t="shared" ref="AJ31:AJ40" si="25">COUNTIF(C31:AG31,"N")</f>
        <v>0</v>
      </c>
      <c r="AK31" s="3">
        <f t="shared" ref="AK31:AK40" si="26">COUNTIF(C31:AG31,"OFF")+COUNTIF(C31:AG31,"上課")</f>
        <v>0</v>
      </c>
      <c r="AL31" s="3">
        <f t="shared" ref="AL31:AL40" si="27">COUNTIF(C31:AG31,"")-AM31+COUNTIF(C31:AG31,"h3")</f>
        <v>26</v>
      </c>
      <c r="AM31" s="3">
        <f t="shared" ref="AM31:AM40" si="28">COUNTIFS($C$5:$AG$5,"6",C31:AG31,"")+COUNTIF(C31:AG31,"h3")</f>
        <v>5</v>
      </c>
      <c r="AN31" s="3">
        <f t="array" ref="AN31">SUMPRODUCT(($C$5:$AG$5=6)*(C31:AG31="off"))</f>
        <v>0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">
        <f>(AI32*12)+(AJ32*12)+(AL32*8)+(AM32*4)</f>
        <v>228</v>
      </c>
      <c r="AI32" s="3">
        <f t="shared" si="24"/>
        <v>0</v>
      </c>
      <c r="AJ32" s="3">
        <f t="shared" si="25"/>
        <v>0</v>
      </c>
      <c r="AK32" s="3">
        <f t="shared" si="26"/>
        <v>0</v>
      </c>
      <c r="AL32" s="3">
        <f t="shared" si="27"/>
        <v>26</v>
      </c>
      <c r="AM32" s="3">
        <f t="shared" si="28"/>
        <v>5</v>
      </c>
      <c r="AN32" s="3">
        <f t="array" ref="AN32">SUMPRODUCT(($C$5:$AG$5=6)*(C32:AG32="off"))</f>
        <v>0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 t="s">
        <v>2</v>
      </c>
      <c r="D33" s="33" t="s">
        <v>2</v>
      </c>
      <c r="E33" s="33" t="s">
        <v>2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">
        <f>(AI33*12)+(AJ33*12)+(AL33*8)+(AM33*4)</f>
        <v>208</v>
      </c>
      <c r="AI33" s="3">
        <f t="shared" si="24"/>
        <v>0</v>
      </c>
      <c r="AJ33" s="3">
        <f t="shared" si="25"/>
        <v>0</v>
      </c>
      <c r="AK33" s="3">
        <f t="shared" si="26"/>
        <v>3</v>
      </c>
      <c r="AL33" s="3">
        <f t="shared" si="27"/>
        <v>24</v>
      </c>
      <c r="AM33" s="3">
        <f t="shared" si="28"/>
        <v>4</v>
      </c>
      <c r="AN33" s="3">
        <f t="array" ref="AN33">SUMPRODUCT(($C$5:$AG$5=6)*(C33:AG33="off"))</f>
        <v>1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228</v>
      </c>
      <c r="AI34" s="3">
        <f t="shared" si="24"/>
        <v>0</v>
      </c>
      <c r="AJ34" s="3">
        <f t="shared" si="25"/>
        <v>0</v>
      </c>
      <c r="AK34" s="3">
        <f t="shared" si="26"/>
        <v>0</v>
      </c>
      <c r="AL34" s="3">
        <f t="shared" si="27"/>
        <v>26</v>
      </c>
      <c r="AM34" s="3">
        <f t="shared" si="28"/>
        <v>5</v>
      </c>
      <c r="AN34" s="3">
        <f t="array" ref="AN34">SUMPRODUCT(($C$5:$AG$5=6)*(C34:AG34="off"))</f>
        <v>0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228</v>
      </c>
      <c r="AI35" s="3">
        <f t="shared" si="24"/>
        <v>0</v>
      </c>
      <c r="AJ35" s="3">
        <f t="shared" si="25"/>
        <v>0</v>
      </c>
      <c r="AK35" s="3">
        <f t="shared" si="26"/>
        <v>0</v>
      </c>
      <c r="AL35" s="3">
        <f t="shared" si="27"/>
        <v>26</v>
      </c>
      <c r="AM35" s="3">
        <f t="shared" si="28"/>
        <v>5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228</v>
      </c>
      <c r="AI36" s="3">
        <f t="shared" si="24"/>
        <v>0</v>
      </c>
      <c r="AJ36" s="3">
        <f t="shared" si="25"/>
        <v>0</v>
      </c>
      <c r="AK36" s="3">
        <f t="shared" si="26"/>
        <v>0</v>
      </c>
      <c r="AL36" s="3">
        <f t="shared" si="27"/>
        <v>26</v>
      </c>
      <c r="AM36" s="3">
        <f t="shared" si="28"/>
        <v>5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">
        <f t="shared" si="29"/>
        <v>228</v>
      </c>
      <c r="AI37" s="3">
        <f t="shared" si="24"/>
        <v>0</v>
      </c>
      <c r="AJ37" s="3">
        <f t="shared" si="25"/>
        <v>0</v>
      </c>
      <c r="AK37" s="3">
        <f t="shared" si="26"/>
        <v>0</v>
      </c>
      <c r="AL37" s="3">
        <f t="shared" si="27"/>
        <v>26</v>
      </c>
      <c r="AM37" s="3">
        <f t="shared" si="28"/>
        <v>5</v>
      </c>
      <c r="AN37" s="3">
        <f t="array" ref="AN37">SUMPRODUCT(($C$5:$AG$5=6)*(C37:AG37="off"))</f>
        <v>0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 t="s">
        <v>2</v>
      </c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">
        <f t="shared" si="29"/>
        <v>220</v>
      </c>
      <c r="AI38" s="3">
        <f t="shared" si="24"/>
        <v>0</v>
      </c>
      <c r="AJ38" s="3">
        <f t="shared" si="25"/>
        <v>0</v>
      </c>
      <c r="AK38" s="3">
        <f t="shared" si="26"/>
        <v>1</v>
      </c>
      <c r="AL38" s="3">
        <f t="shared" si="27"/>
        <v>25</v>
      </c>
      <c r="AM38" s="3">
        <f t="shared" si="28"/>
        <v>5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/>
      <c r="D39" s="33" t="s">
        <v>2</v>
      </c>
      <c r="E39" s="33"/>
      <c r="F39" s="33" t="s">
        <v>2</v>
      </c>
      <c r="G39" s="33" t="s">
        <v>2</v>
      </c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">
        <f t="shared" si="29"/>
        <v>208</v>
      </c>
      <c r="AI39" s="3">
        <f t="shared" si="24"/>
        <v>0</v>
      </c>
      <c r="AJ39" s="3">
        <f t="shared" si="25"/>
        <v>0</v>
      </c>
      <c r="AK39" s="3">
        <f t="shared" si="26"/>
        <v>3</v>
      </c>
      <c r="AL39" s="3">
        <f t="shared" si="27"/>
        <v>24</v>
      </c>
      <c r="AM39" s="3">
        <f t="shared" si="28"/>
        <v>4</v>
      </c>
      <c r="AN39" s="3">
        <f t="array" ref="AN39">SUMPRODUCT(($C$5:$AG$5=6)*(C39:AG39="off"))</f>
        <v>1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">
        <f t="shared" si="29"/>
        <v>228</v>
      </c>
      <c r="AI40" s="3">
        <f t="shared" si="24"/>
        <v>0</v>
      </c>
      <c r="AJ40" s="3">
        <f t="shared" si="25"/>
        <v>0</v>
      </c>
      <c r="AK40" s="3">
        <f t="shared" si="26"/>
        <v>0</v>
      </c>
      <c r="AL40" s="3">
        <f t="shared" si="27"/>
        <v>26</v>
      </c>
      <c r="AM40" s="3">
        <f t="shared" si="28"/>
        <v>5</v>
      </c>
      <c r="AN40" s="3">
        <f t="array" ref="AN40">SUMPRODUCT(($C$5:$AG$5=6)*(C40:AG40="off"))</f>
        <v>0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440</v>
      </c>
      <c r="B41" s="6"/>
      <c r="C41" s="33"/>
      <c r="D41" s="88"/>
      <c r="E41" s="88"/>
      <c r="F41" s="88"/>
      <c r="G41" s="88"/>
      <c r="H41" s="33"/>
      <c r="I41" s="33"/>
      <c r="J41" s="33"/>
      <c r="K41" s="33"/>
      <c r="L41" s="33"/>
      <c r="M41" s="33"/>
      <c r="N41" s="33"/>
      <c r="O41" s="33"/>
      <c r="P41" s="88"/>
      <c r="Q41" s="33"/>
      <c r="R41" s="88"/>
      <c r="S41" s="88"/>
      <c r="T41" s="88"/>
      <c r="U41" s="88"/>
      <c r="V41" s="88"/>
      <c r="W41" s="88"/>
      <c r="X41" s="83"/>
      <c r="Y41" s="33"/>
      <c r="Z41" s="88"/>
      <c r="AA41" s="88"/>
      <c r="AB41" s="33"/>
      <c r="AC41" s="33"/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6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6</v>
      </c>
      <c r="F43" s="172">
        <f t="shared" si="30"/>
        <v>4</v>
      </c>
      <c r="G43" s="172">
        <f t="shared" si="30"/>
        <v>4</v>
      </c>
      <c r="H43" s="172">
        <f t="shared" si="30"/>
        <v>4</v>
      </c>
      <c r="I43" s="172">
        <f t="shared" si="30"/>
        <v>4</v>
      </c>
      <c r="J43" s="172">
        <f t="shared" si="30"/>
        <v>4</v>
      </c>
      <c r="K43" s="172">
        <f t="shared" si="30"/>
        <v>4</v>
      </c>
      <c r="L43" s="172">
        <f t="shared" si="30"/>
        <v>6</v>
      </c>
      <c r="M43" s="172">
        <f t="shared" si="30"/>
        <v>4</v>
      </c>
      <c r="N43" s="172">
        <f t="shared" si="30"/>
        <v>4</v>
      </c>
      <c r="O43" s="172">
        <f t="shared" si="30"/>
        <v>4</v>
      </c>
      <c r="P43" s="172">
        <f t="shared" si="30"/>
        <v>4</v>
      </c>
      <c r="Q43" s="172">
        <f t="shared" si="30"/>
        <v>4</v>
      </c>
      <c r="R43" s="172">
        <f t="shared" si="30"/>
        <v>4</v>
      </c>
      <c r="S43" s="172">
        <f t="shared" si="30"/>
        <v>6</v>
      </c>
      <c r="T43" s="172">
        <f t="shared" si="30"/>
        <v>4</v>
      </c>
      <c r="U43" s="172">
        <f t="shared" si="30"/>
        <v>4</v>
      </c>
      <c r="V43" s="172">
        <f t="shared" si="30"/>
        <v>4</v>
      </c>
      <c r="W43" s="172">
        <f t="shared" si="30"/>
        <v>4</v>
      </c>
      <c r="X43" s="172">
        <f t="shared" si="30"/>
        <v>4</v>
      </c>
      <c r="Y43" s="172">
        <f t="shared" si="30"/>
        <v>4</v>
      </c>
      <c r="Z43" s="172">
        <f t="shared" si="30"/>
        <v>6</v>
      </c>
      <c r="AA43" s="172">
        <f t="shared" si="30"/>
        <v>4</v>
      </c>
      <c r="AB43" s="172">
        <f t="shared" si="30"/>
        <v>4</v>
      </c>
      <c r="AC43" s="172">
        <f t="shared" si="30"/>
        <v>4</v>
      </c>
      <c r="AD43" s="172">
        <f t="shared" si="30"/>
        <v>4</v>
      </c>
      <c r="AE43" s="172">
        <f t="shared" si="30"/>
        <v>4</v>
      </c>
      <c r="AF43" s="172">
        <f t="shared" si="30"/>
        <v>4</v>
      </c>
      <c r="AG43" s="172">
        <f t="shared" si="30"/>
        <v>6</v>
      </c>
      <c r="AH43" s="3" t="s">
        <v>391</v>
      </c>
      <c r="AI43" s="3">
        <f>SUM(AI31:AI40)</f>
        <v>0</v>
      </c>
      <c r="AJ43" s="3">
        <f>SUM(AJ31:AJ40)</f>
        <v>0</v>
      </c>
      <c r="AK43" s="3">
        <f>SUM(AK31:AK40)</f>
        <v>7</v>
      </c>
      <c r="AL43" s="3">
        <f>SUM(AL31:AL40)</f>
        <v>255</v>
      </c>
      <c r="AM43" s="3">
        <f>SUM(AM31:AM40)-SUM(AM35:AM36)-SUM(AM41:AM42)</f>
        <v>38</v>
      </c>
      <c r="AN43" s="3">
        <f>SUM(AN31:AN40)</f>
        <v>2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 t="s">
        <v>476</v>
      </c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1</v>
      </c>
      <c r="D45" s="360">
        <f>COUNTIF(D31:D40,"off")</f>
        <v>2</v>
      </c>
      <c r="E45" s="360">
        <f t="shared" ref="E45:AG45" si="31">COUNTIF(E31:E40,"off")</f>
        <v>1</v>
      </c>
      <c r="F45" s="360">
        <f t="shared" si="31"/>
        <v>1</v>
      </c>
      <c r="G45" s="360">
        <f t="shared" si="31"/>
        <v>1</v>
      </c>
      <c r="H45" s="360">
        <f t="shared" si="31"/>
        <v>0</v>
      </c>
      <c r="I45" s="360">
        <f t="shared" si="31"/>
        <v>0</v>
      </c>
      <c r="J45" s="360">
        <f t="shared" si="31"/>
        <v>0</v>
      </c>
      <c r="K45" s="360">
        <f t="shared" si="31"/>
        <v>0</v>
      </c>
      <c r="L45" s="360">
        <f t="shared" si="31"/>
        <v>0</v>
      </c>
      <c r="M45" s="360">
        <f t="shared" si="31"/>
        <v>0</v>
      </c>
      <c r="N45" s="360">
        <f t="shared" si="31"/>
        <v>0</v>
      </c>
      <c r="O45" s="360">
        <f t="shared" si="31"/>
        <v>0</v>
      </c>
      <c r="P45" s="360">
        <f t="shared" si="31"/>
        <v>0</v>
      </c>
      <c r="Q45" s="360">
        <f t="shared" si="31"/>
        <v>0</v>
      </c>
      <c r="R45" s="360">
        <f t="shared" si="31"/>
        <v>0</v>
      </c>
      <c r="S45" s="360">
        <f t="shared" si="31"/>
        <v>0</v>
      </c>
      <c r="T45" s="360">
        <f t="shared" si="31"/>
        <v>0</v>
      </c>
      <c r="U45" s="360">
        <f t="shared" si="31"/>
        <v>1</v>
      </c>
      <c r="V45" s="360">
        <f t="shared" si="31"/>
        <v>0</v>
      </c>
      <c r="W45" s="360">
        <f t="shared" si="31"/>
        <v>0</v>
      </c>
      <c r="X45" s="360">
        <f t="shared" si="31"/>
        <v>0</v>
      </c>
      <c r="Y45" s="360">
        <f t="shared" si="31"/>
        <v>0</v>
      </c>
      <c r="Z45" s="360">
        <f t="shared" si="31"/>
        <v>0</v>
      </c>
      <c r="AA45" s="360">
        <f t="shared" si="31"/>
        <v>0</v>
      </c>
      <c r="AB45" s="360">
        <f t="shared" si="31"/>
        <v>0</v>
      </c>
      <c r="AC45" s="360">
        <f t="shared" si="31"/>
        <v>0</v>
      </c>
      <c r="AD45" s="360">
        <f t="shared" si="31"/>
        <v>0</v>
      </c>
      <c r="AE45" s="360">
        <f t="shared" si="31"/>
        <v>0</v>
      </c>
      <c r="AF45" s="360">
        <f t="shared" si="31"/>
        <v>0</v>
      </c>
      <c r="AG45" s="360">
        <f t="shared" si="31"/>
        <v>0</v>
      </c>
    </row>
  </sheetData>
  <protectedRanges>
    <protectedRange password="CC6F" sqref="C4:AG5 D1:P2 A29:AG30 AH31:AN43 AR6:AU6 BB4:BC4 BB2:BH2 AR7:AR16 AS7:AU17 C18:AG18 C43:AG43 AH6:AN18" name="範圍1_24_24_24_24_24"/>
  </protectedRanges>
  <mergeCells count="17">
    <mergeCell ref="AH5:AM5"/>
    <mergeCell ref="A26:T26"/>
    <mergeCell ref="A1:C2"/>
    <mergeCell ref="D1:E1"/>
    <mergeCell ref="G1:H1"/>
    <mergeCell ref="J1:K1"/>
    <mergeCell ref="T1:W2"/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</mergeCells>
  <phoneticPr fontId="11" type="noConversion"/>
  <conditionalFormatting sqref="AH4">
    <cfRule type="expression" dxfId="279" priority="12" stopIfTrue="1">
      <formula>WEEKDAY(AH$4)=7</formula>
    </cfRule>
    <cfRule type="expression" dxfId="278" priority="13" stopIfTrue="1">
      <formula>WEEKDAY(AH$4)=1</formula>
    </cfRule>
    <cfRule type="expression" dxfId="277" priority="14" stopIfTrue="1">
      <formula>WEEKDAY(AH$4)=7</formula>
    </cfRule>
    <cfRule type="expression" dxfId="276" priority="15" stopIfTrue="1">
      <formula>WEEKDAY(AH$4)=1</formula>
    </cfRule>
  </conditionalFormatting>
  <conditionalFormatting sqref="C43:AG43">
    <cfRule type="expression" dxfId="275" priority="16" stopIfTrue="1">
      <formula>(COUNTIF(C$31:C$42,"off")+COUNTIF(C$31:C$42,"護"))&lt;&gt;C$43</formula>
    </cfRule>
  </conditionalFormatting>
  <conditionalFormatting sqref="C4:AG6 C7:AF7 C8:AG17">
    <cfRule type="expression" dxfId="274" priority="10" stopIfTrue="1">
      <formula>WEEKDAY(C$4,2)=6</formula>
    </cfRule>
    <cfRule type="expression" dxfId="273" priority="11" stopIfTrue="1">
      <formula>WEEKDAY(C$4,2)=7</formula>
    </cfRule>
  </conditionalFormatting>
  <conditionalFormatting sqref="CD5">
    <cfRule type="expression" dxfId="272" priority="8" stopIfTrue="1">
      <formula>COUNTIF(#REF!,"D")&lt;&gt;$BV4</formula>
    </cfRule>
  </conditionalFormatting>
  <conditionalFormatting sqref="CF5">
    <cfRule type="expression" dxfId="271" priority="9" stopIfTrue="1">
      <formula>COUNTIF(#REF!,"N")&lt;&gt;#REF!</formula>
    </cfRule>
  </conditionalFormatting>
  <conditionalFormatting sqref="CF14">
    <cfRule type="expression" dxfId="270" priority="17" stopIfTrue="1">
      <formula>COUNTIF($C9:$AH9,"N")&lt;&gt;#REF!</formula>
    </cfRule>
  </conditionalFormatting>
  <conditionalFormatting sqref="CF15">
    <cfRule type="expression" dxfId="269" priority="18" stopIfTrue="1">
      <formula>COUNTIF($C9:$AH9,"N")&lt;&gt;#REF!</formula>
    </cfRule>
  </conditionalFormatting>
  <conditionalFormatting sqref="CD6:CD9">
    <cfRule type="expression" dxfId="268" priority="19" stopIfTrue="1">
      <formula>COUNTIF($C2:$AG2,"D")&lt;&gt;$BV5</formula>
    </cfRule>
  </conditionalFormatting>
  <conditionalFormatting sqref="CF12:CF15">
    <cfRule type="expression" dxfId="267" priority="20" stopIfTrue="1">
      <formula>COUNTIF($C8:$AH8,"N")&lt;&gt;#REF!</formula>
    </cfRule>
  </conditionalFormatting>
  <conditionalFormatting sqref="CD12:CD15">
    <cfRule type="expression" dxfId="266" priority="21" stopIfTrue="1">
      <formula>COUNTIF($C8:$AH8,"D")&lt;&gt;$BV11</formula>
    </cfRule>
  </conditionalFormatting>
  <conditionalFormatting sqref="CF6:CF9">
    <cfRule type="expression" dxfId="265" priority="22" stopIfTrue="1">
      <formula>COUNTIF($C2:$AG2,"N")&lt;&gt;#REF!</formula>
    </cfRule>
  </conditionalFormatting>
  <conditionalFormatting sqref="CF11">
    <cfRule type="expression" dxfId="264" priority="23" stopIfTrue="1">
      <formula>COUNTIF($D7:$AH7,"N")&lt;&gt;#REF!</formula>
    </cfRule>
  </conditionalFormatting>
  <conditionalFormatting sqref="CD11">
    <cfRule type="expression" dxfId="263" priority="24" stopIfTrue="1">
      <formula>COUNTIF($D7:$AH7,"D")&lt;&gt;$BV10</formula>
    </cfRule>
  </conditionalFormatting>
  <conditionalFormatting sqref="AH29">
    <cfRule type="expression" dxfId="262" priority="4" stopIfTrue="1">
      <formula>WEEKDAY(AH$4)=7</formula>
    </cfRule>
    <cfRule type="expression" dxfId="261" priority="5" stopIfTrue="1">
      <formula>WEEKDAY(AH$4)=1</formula>
    </cfRule>
    <cfRule type="expression" dxfId="260" priority="6" stopIfTrue="1">
      <formula>WEEKDAY(AH$4)=7</formula>
    </cfRule>
    <cfRule type="expression" dxfId="259" priority="7" stopIfTrue="1">
      <formula>WEEKDAY(AH$4)=1</formula>
    </cfRule>
  </conditionalFormatting>
  <conditionalFormatting sqref="C29:AG42">
    <cfRule type="expression" dxfId="258" priority="2" stopIfTrue="1">
      <formula>WEEKDAY(C$4,2)=6</formula>
    </cfRule>
    <cfRule type="expression" dxfId="257" priority="3" stopIfTrue="1">
      <formula>WEEKDAY(C$4,2)=7</formula>
    </cfRule>
  </conditionalFormatting>
  <conditionalFormatting sqref="C18:AG18">
    <cfRule type="expression" dxfId="256" priority="1" stopIfTrue="1">
      <formula>(COUNTIF(C$6:C$17,"off")+COUNTIF(C$6:C$17,"護"))&lt;&gt;C$18</formula>
    </cfRule>
  </conditionalFormatting>
  <conditionalFormatting sqref="AG7">
    <cfRule type="expression" dxfId="255" priority="25" stopIfTrue="1">
      <formula>WEEKDAY(AF$4,2)=6</formula>
    </cfRule>
    <cfRule type="expression" dxfId="254" priority="26" stopIfTrue="1">
      <formula>WEEKDAY(AF$4,2)=7</formula>
    </cfRule>
  </conditionalFormatting>
  <dataValidations count="6">
    <dataValidation type="list" allowBlank="1" sqref="C6:AG15" xr:uid="{BEAB732E-9054-42F7-9714-B617BB037241}">
      <formula1>$AI$3:$AM$3</formula1>
    </dataValidation>
    <dataValidation type="list" allowBlank="1" sqref="C16:AG16" xr:uid="{6B46BEDD-7E0E-4755-836A-4778D71CEC33}">
      <formula1>$AI$4:$AK$4</formula1>
    </dataValidation>
    <dataValidation type="list" allowBlank="1" showInputMessage="1" sqref="C17:AG17 C42:AG42" xr:uid="{0C2B8B58-A8A0-4852-BD46-9E14B270F50F}">
      <formula1>$AI$19:$AI$31</formula1>
    </dataValidation>
    <dataValidation type="list" allowBlank="1" showInputMessage="1" sqref="A43:A44 A18:A19" xr:uid="{0520CE4D-1BE4-4CCF-899F-73BC632AAC97}">
      <formula1>$CM$11:$CN$11</formula1>
    </dataValidation>
    <dataValidation type="list" allowBlank="1" sqref="A31:A42 A6:A17" xr:uid="{02A3A366-A732-4FCF-AFC0-31D78854FAEA}">
      <formula1>姓名清單</formula1>
    </dataValidation>
    <dataValidation type="list" allowBlank="1" showInputMessage="1" showErrorMessage="1" sqref="B31:AG41" xr:uid="{0026D581-502E-46B7-86C6-97297025EDC8}">
      <formula1>$AI$29:$AK$29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1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2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3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6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7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8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9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175BD-0AD9-4C45-B82C-4179CCEFA7AF}">
  <sheetPr codeName="工作表28">
    <pageSetUpPr fitToPage="1"/>
  </sheetPr>
  <dimension ref="A1:CP45"/>
  <sheetViews>
    <sheetView topLeftCell="Y1" zoomScale="50" zoomScaleNormal="50" workbookViewId="0">
      <selection activeCell="BG3" sqref="BG3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3 ... 6</v>
      </c>
      <c r="G1" s="381" t="s">
        <v>410</v>
      </c>
      <c r="H1" s="381"/>
      <c r="I1" s="358" t="str">
        <f>BB4</f>
        <v>3 ... 6</v>
      </c>
      <c r="J1" s="381" t="s">
        <v>437</v>
      </c>
      <c r="K1" s="381"/>
      <c r="L1" s="358" t="str">
        <f>BG4</f>
        <v>15 ... 6</v>
      </c>
      <c r="M1" s="99" t="s">
        <v>438</v>
      </c>
      <c r="N1" s="358">
        <f>COUNTIF(C5:AG5,6)</f>
        <v>4</v>
      </c>
      <c r="O1" s="99" t="s">
        <v>439</v>
      </c>
      <c r="P1" s="358">
        <f>COUNTIF(C5:AG5,"日")</f>
        <v>4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6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30</v>
      </c>
      <c r="BC2" s="350">
        <f>DAY(EOMONTH(C4,0))</f>
        <v>30</v>
      </c>
      <c r="BD2" s="350">
        <f>IF(ISBLANK(AY2), (COUNTIF(C5:AG5,"6")-COUNTIFS(C5:AG5,"6",C19:AG19,"國"))*(COUNTA(BJ6:BJ17)-AX5-COUNTA(BL6:BL17))+COUNTIFS(C5:AG5,"6",C44:AG44,"國")*(COUNTA(BJ6:BJ17)-AX3-AX4-COUNTA(BL6:BL17)), "手動計算填入下方")</f>
        <v>16</v>
      </c>
      <c r="BE2" s="350">
        <f>COUNTIF(C5:AG5,"日")*((COUNTA(BJ6:BJ17))-AX4-AX3-COUNTA(AX14BE4:BL6:BL17))</f>
        <v>20</v>
      </c>
      <c r="BF2" s="350">
        <f t="array" ref="BF2">IF(ISBLANK(AY2),(SUMPRODUCT(--(C4:AG4&lt;&gt;""))-COUNTIF(C5:AG5,"日")-COUNTIF(C5:AG5,"6")-BH2)*((COUNTA(BJ6:BJ17))-AX5-COUNTA(BL6:BL17)),"手動計算填入下方")</f>
        <v>84</v>
      </c>
      <c r="BG2" s="350" cm="1">
        <f t="array" ref="BG2">IF(ISBLANK(AY2),(COUNTIF(C5:AG5,"6")-COUNTIFS(C5:AG5,"6",C44:AG44,"國"))*(COUNTA(BJ6:BJ17)-AX5-COUNTA(BL6:BL17))+COUNTIFS(C5:AG5,"6",C44:AG44,"國")*(COUNTA(BJ6:BJ17)-AX3-AX4-COUNTA(BL6:BL17)),BD3)+BE2+BH2*((COUNTA(BJ6:BJ17))-AX2-COUNTA(BL6:BL17))+IF(ISBLANK(AY2),((SUMPRODUCT(--(C4:AG4&lt;&gt;""))-COUNTIF(C5:AG5,"日")-COUNTIF(C5:AG5,"6")-BH2)*((COUNTA(BJ6:BJ17))-AX5-COUNTA(BL6:BL17))),BF3)+BG5</f>
        <v>126</v>
      </c>
      <c r="BH2" s="350">
        <f>COUNTIF(C19:AG19,"*國*")</f>
        <v>1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/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/>
      <c r="BH3" s="350"/>
      <c r="BW3" s="13"/>
    </row>
    <row r="4" spans="1:94" ht="20.25" customHeight="1">
      <c r="A4" s="19" t="s">
        <v>1</v>
      </c>
      <c r="B4" s="19"/>
      <c r="C4" s="30">
        <f>DATE($G$2,$J$2,1)</f>
        <v>46174</v>
      </c>
      <c r="D4" s="30">
        <f>C4+1</f>
        <v>46175</v>
      </c>
      <c r="E4" s="30">
        <f t="shared" ref="E4:AC4" si="1">D4+1</f>
        <v>46176</v>
      </c>
      <c r="F4" s="30">
        <f t="shared" si="1"/>
        <v>46177</v>
      </c>
      <c r="G4" s="30">
        <f t="shared" si="1"/>
        <v>46178</v>
      </c>
      <c r="H4" s="30">
        <f t="shared" si="1"/>
        <v>46179</v>
      </c>
      <c r="I4" s="30">
        <f t="shared" si="1"/>
        <v>46180</v>
      </c>
      <c r="J4" s="30">
        <f t="shared" si="1"/>
        <v>46181</v>
      </c>
      <c r="K4" s="30">
        <f t="shared" si="1"/>
        <v>46182</v>
      </c>
      <c r="L4" s="30">
        <f t="shared" si="1"/>
        <v>46183</v>
      </c>
      <c r="M4" s="30">
        <f t="shared" si="1"/>
        <v>46184</v>
      </c>
      <c r="N4" s="30">
        <f t="shared" si="1"/>
        <v>46185</v>
      </c>
      <c r="O4" s="30">
        <f t="shared" si="1"/>
        <v>46186</v>
      </c>
      <c r="P4" s="30">
        <f t="shared" si="1"/>
        <v>46187</v>
      </c>
      <c r="Q4" s="30">
        <f t="shared" si="1"/>
        <v>46188</v>
      </c>
      <c r="R4" s="30">
        <f t="shared" si="1"/>
        <v>46189</v>
      </c>
      <c r="S4" s="30">
        <f t="shared" si="1"/>
        <v>46190</v>
      </c>
      <c r="T4" s="30">
        <f t="shared" si="1"/>
        <v>46191</v>
      </c>
      <c r="U4" s="30">
        <f t="shared" si="1"/>
        <v>46192</v>
      </c>
      <c r="V4" s="30">
        <f t="shared" si="1"/>
        <v>46193</v>
      </c>
      <c r="W4" s="30">
        <f t="shared" si="1"/>
        <v>46194</v>
      </c>
      <c r="X4" s="30">
        <f t="shared" si="1"/>
        <v>46195</v>
      </c>
      <c r="Y4" s="30">
        <f t="shared" si="1"/>
        <v>46196</v>
      </c>
      <c r="Z4" s="30">
        <f t="shared" si="1"/>
        <v>46197</v>
      </c>
      <c r="AA4" s="30">
        <f t="shared" si="1"/>
        <v>46198</v>
      </c>
      <c r="AB4" s="30">
        <f t="shared" si="1"/>
        <v>46199</v>
      </c>
      <c r="AC4" s="30">
        <f t="shared" si="1"/>
        <v>46200</v>
      </c>
      <c r="AD4" s="30">
        <f>IFERROR(IF(MONTH(AC4+1)=$J$2,AC4+1,""),"")</f>
        <v>46201</v>
      </c>
      <c r="AE4" s="30">
        <f>IFERROR(IF(MONTH(AD4+1)=$J$2,AD4+1,""),"")</f>
        <v>46202</v>
      </c>
      <c r="AF4" s="30">
        <f>IFERROR(IF(MONTH(AE4+1)=$J$2,AE4+1,""),"")</f>
        <v>46203</v>
      </c>
      <c r="AG4" s="30" t="str">
        <f>IFERROR(IF(MONTH(AF4+1)=$J$2,AF4+1,""),"")</f>
        <v/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3 ... 6</v>
      </c>
      <c r="BC4" s="350" t="str">
        <f>QUOTIENT((COUNTA(C4:AG4)-COUNTIF(AE4:AG4,"")),COUNTA(BJ6:BJ15)-COUNTA(BL6:BL17))&amp;" ... "&amp;MOD((COUNTA(C4:AG4)-COUNTIF(AE4:AG4,"")),COUNTA(BJ6:BJ15)-COUNTA(BL6:BL17))</f>
        <v>3 ... 6</v>
      </c>
      <c r="BD4" s="350"/>
      <c r="BE4" s="350"/>
      <c r="BF4" s="350"/>
      <c r="BG4" s="350" t="str">
        <f>QUOTIENT(BG2,COUNTA(BJ6:BJ17)-COUNTA(BL6:BL17))&amp;" ... "&amp;MOD(BG2,COUNTA(BJ6:BJ17)-COUNTA(BL6:BL17))</f>
        <v>15 ... 6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2">IFERROR(IF(WEEKDAY(C4,2)=7,"日",WEEKDAY(C4,2)),"")</f>
        <v>1</v>
      </c>
      <c r="D5" s="31">
        <f>IFERROR(IF(WEEKDAY(D4,2)=7,"日",WEEKDAY(D4,2)),"")</f>
        <v>2</v>
      </c>
      <c r="E5" s="31">
        <f t="shared" si="2"/>
        <v>3</v>
      </c>
      <c r="F5" s="31">
        <f t="shared" si="2"/>
        <v>4</v>
      </c>
      <c r="G5" s="31">
        <f t="shared" si="2"/>
        <v>5</v>
      </c>
      <c r="H5" s="31">
        <f t="shared" si="2"/>
        <v>6</v>
      </c>
      <c r="I5" s="31" t="str">
        <f t="shared" si="2"/>
        <v>日</v>
      </c>
      <c r="J5" s="31">
        <f t="shared" si="2"/>
        <v>1</v>
      </c>
      <c r="K5" s="31">
        <f t="shared" si="2"/>
        <v>2</v>
      </c>
      <c r="L5" s="31">
        <f t="shared" si="2"/>
        <v>3</v>
      </c>
      <c r="M5" s="31">
        <f t="shared" si="2"/>
        <v>4</v>
      </c>
      <c r="N5" s="31">
        <f t="shared" si="2"/>
        <v>5</v>
      </c>
      <c r="O5" s="31">
        <f t="shared" si="2"/>
        <v>6</v>
      </c>
      <c r="P5" s="31" t="str">
        <f t="shared" si="2"/>
        <v>日</v>
      </c>
      <c r="Q5" s="31">
        <f t="shared" si="2"/>
        <v>1</v>
      </c>
      <c r="R5" s="31">
        <f t="shared" si="2"/>
        <v>2</v>
      </c>
      <c r="S5" s="31">
        <f t="shared" si="2"/>
        <v>3</v>
      </c>
      <c r="T5" s="31">
        <f t="shared" si="2"/>
        <v>4</v>
      </c>
      <c r="U5" s="31">
        <f t="shared" si="2"/>
        <v>5</v>
      </c>
      <c r="V5" s="31">
        <f t="shared" si="2"/>
        <v>6</v>
      </c>
      <c r="W5" s="31" t="str">
        <f t="shared" si="2"/>
        <v>日</v>
      </c>
      <c r="X5" s="31">
        <f t="shared" si="2"/>
        <v>1</v>
      </c>
      <c r="Y5" s="31">
        <f t="shared" si="2"/>
        <v>2</v>
      </c>
      <c r="Z5" s="31">
        <f t="shared" si="2"/>
        <v>3</v>
      </c>
      <c r="AA5" s="31">
        <f t="shared" si="2"/>
        <v>4</v>
      </c>
      <c r="AB5" s="31">
        <f t="shared" si="2"/>
        <v>5</v>
      </c>
      <c r="AC5" s="31">
        <f t="shared" si="2"/>
        <v>6</v>
      </c>
      <c r="AD5" s="31" t="str">
        <f t="shared" si="2"/>
        <v>日</v>
      </c>
      <c r="AE5" s="31">
        <f t="shared" si="2"/>
        <v>1</v>
      </c>
      <c r="AF5" s="31">
        <f t="shared" si="2"/>
        <v>2</v>
      </c>
      <c r="AG5" s="31" t="str">
        <f t="shared" si="2"/>
        <v/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">
        <f t="shared" ref="AH6:AH17" si="3">(AI6*12)+(AJ6*12)+(AL6*8)+(AM6*4)</f>
        <v>232</v>
      </c>
      <c r="AI6" s="3">
        <f>COUNTIF(C6:AG6,"D")+COUNTIF(C6:AG6,"NrsD")</f>
        <v>0</v>
      </c>
      <c r="AJ6" s="3">
        <f>COUNTIF(C6:AG6,"N")</f>
        <v>0</v>
      </c>
      <c r="AK6" s="3">
        <f>COUNTIF(C6:AG6,"OFF")+COUNTIF(C6:AG6,"上課")</f>
        <v>0</v>
      </c>
      <c r="AL6" s="3">
        <f>COUNTIF(C6:AG6,"")-AM6+COUNTIF(C6:AG6,"h3")</f>
        <v>27</v>
      </c>
      <c r="AM6" s="3">
        <f>COUNTIFS($C$5:$AG$5,"6",C6:AG6,"")+COUNTIF(C6:AG6,"h3")</f>
        <v>4</v>
      </c>
      <c r="AN6" s="3">
        <f t="array" ref="AN6">SUMPRODUCT(($C$5:$AG$5=6)*(C6:AG6="off"))</f>
        <v>0</v>
      </c>
      <c r="AO6" s="3" t="s">
        <v>404</v>
      </c>
      <c r="AP6" s="3" t="s">
        <v>56</v>
      </c>
      <c r="AQ6" s="12"/>
      <c r="AR6" s="256">
        <f>BN6</f>
        <v>0</v>
      </c>
      <c r="AS6" s="256">
        <f>BP6</f>
        <v>0</v>
      </c>
      <c r="AT6" s="256">
        <f>BR6</f>
        <v>0</v>
      </c>
      <c r="AU6" s="256">
        <f>BT6</f>
        <v>0</v>
      </c>
      <c r="AV6" s="91"/>
      <c r="BJ6" s="348" t="s">
        <v>384</v>
      </c>
      <c r="BK6" s="348" t="str">
        <f>A31</f>
        <v>B黃郁芳</v>
      </c>
      <c r="BL6" s="348"/>
      <c r="BM6" s="348"/>
      <c r="BN6" s="348"/>
      <c r="BO6" s="348"/>
      <c r="BP6" s="348"/>
      <c r="BQ6" s="348"/>
      <c r="BR6" s="348"/>
      <c r="BS6" s="348"/>
      <c r="BT6" s="348"/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52"/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">
        <f t="shared" si="3"/>
        <v>232</v>
      </c>
      <c r="AI7" s="3">
        <f>COUNTIF(C7:AG7,"D")+COUNTIF(C7:AG7,"NrsD")</f>
        <v>0</v>
      </c>
      <c r="AJ7" s="3">
        <f>COUNTIF(C7:AG7,"N")</f>
        <v>0</v>
      </c>
      <c r="AK7" s="3">
        <f>COUNTIF(C7:AG7,"OFF")+COUNTIF(C7:AG7,"上課")</f>
        <v>0</v>
      </c>
      <c r="AL7" s="3">
        <f>COUNTIF(C7:AG7,"")-AM7+COUNTIF(C7:AG7,"h3")</f>
        <v>27</v>
      </c>
      <c r="AM7" s="3">
        <f>COUNTIFS($C$5:$AG$5,"6",C7:AG7,"")+COUNTIF(C7:AG7,"h3")</f>
        <v>4</v>
      </c>
      <c r="AN7" s="3">
        <f t="array" ref="AN7">SUMPRODUCT(($C$5:$AG$5=6)*(C7:AG7="off"))</f>
        <v>0</v>
      </c>
      <c r="AO7" s="3" t="s">
        <v>406</v>
      </c>
      <c r="AP7" s="3" t="s">
        <v>84</v>
      </c>
      <c r="AQ7" s="12"/>
      <c r="AR7" s="256">
        <f t="shared" ref="AR7:AR17" si="5">BN7</f>
        <v>0</v>
      </c>
      <c r="AS7" s="256">
        <f t="shared" ref="AS7:AS17" si="6">BP7</f>
        <v>0</v>
      </c>
      <c r="AT7" s="256">
        <f t="shared" ref="AT7:AT17" si="7">BR7</f>
        <v>0</v>
      </c>
      <c r="AU7" s="256">
        <f t="shared" ref="AU7:AU17" si="8">BT7</f>
        <v>0</v>
      </c>
      <c r="BJ7" s="348" t="s">
        <v>384</v>
      </c>
      <c r="BK7" s="348" t="str">
        <f t="shared" ref="BK7:BK17" si="9">A32</f>
        <v>C詹絲庭</v>
      </c>
      <c r="BL7" s="348"/>
      <c r="BM7" s="348"/>
      <c r="BN7" s="348"/>
      <c r="BO7" s="348" t="s">
        <v>448</v>
      </c>
      <c r="BP7" s="348"/>
      <c r="BQ7" s="348"/>
      <c r="BR7" s="348"/>
      <c r="BS7" s="348"/>
      <c r="BT7" s="348"/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">
        <f t="shared" si="3"/>
        <v>232</v>
      </c>
      <c r="AI8" s="3">
        <f>COUNTIF(C8:AG8,"D")+COUNTIF(C8:AG8,"NrsD")</f>
        <v>0</v>
      </c>
      <c r="AJ8" s="3">
        <f t="shared" ref="AJ8:AJ17" si="11">COUNTIF(C8:AG8,"N")</f>
        <v>0</v>
      </c>
      <c r="AK8" s="3">
        <f t="shared" ref="AK8:AK17" si="12">COUNTIF(C8:AG8,"OFF")+COUNTIF(C8:AG8,"上課")</f>
        <v>0</v>
      </c>
      <c r="AL8" s="3">
        <f t="shared" ref="AL8:AL17" si="13">COUNTIF(C8:AG8,"")-AM8+COUNTIF(C8:AG8,"h3")</f>
        <v>27</v>
      </c>
      <c r="AM8" s="3">
        <f t="shared" ref="AM8:AM17" si="14">COUNTIFS($C$5:$AG$5,"6",C8:AG8,"")+COUNTIF(C8:AG8,"h3")</f>
        <v>4</v>
      </c>
      <c r="AN8" s="3">
        <f t="array" ref="AN8">SUMPRODUCT(($C$5:$AG$5=6)*(C8:AG8="off"))</f>
        <v>0</v>
      </c>
      <c r="AO8" s="3" t="s">
        <v>407</v>
      </c>
      <c r="AP8" s="3" t="s">
        <v>90</v>
      </c>
      <c r="AQ8" s="12"/>
      <c r="AR8" s="256">
        <f t="shared" si="5"/>
        <v>0</v>
      </c>
      <c r="AS8" s="256">
        <f t="shared" si="6"/>
        <v>0</v>
      </c>
      <c r="AT8" s="256">
        <f t="shared" si="7"/>
        <v>0</v>
      </c>
      <c r="AU8" s="256">
        <f t="shared" si="8"/>
        <v>0</v>
      </c>
      <c r="BJ8" s="348" t="s">
        <v>384</v>
      </c>
      <c r="BK8" s="348" t="str">
        <f t="shared" si="9"/>
        <v>D王子建</v>
      </c>
      <c r="BL8" s="348"/>
      <c r="BM8" s="348"/>
      <c r="BN8" s="348"/>
      <c r="BO8" s="348"/>
      <c r="BP8" s="348"/>
      <c r="BQ8" s="348" t="s">
        <v>448</v>
      </c>
      <c r="BR8" s="348"/>
      <c r="BS8" s="348"/>
      <c r="BT8" s="348"/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">
        <f t="shared" si="3"/>
        <v>232</v>
      </c>
      <c r="AI9" s="3">
        <f t="shared" ref="AI9:AI15" si="15">COUNTIF(C9:AG9,"D")+COUNTIF(C9:AG9,"NrsD")</f>
        <v>0</v>
      </c>
      <c r="AJ9" s="3">
        <f t="shared" si="11"/>
        <v>0</v>
      </c>
      <c r="AK9" s="3">
        <f t="shared" si="12"/>
        <v>0</v>
      </c>
      <c r="AL9" s="3">
        <f t="shared" si="13"/>
        <v>27</v>
      </c>
      <c r="AM9" s="3">
        <f t="shared" si="14"/>
        <v>4</v>
      </c>
      <c r="AN9" s="3">
        <f t="array" ref="AN9">SUMPRODUCT(($C$5:$AG$5=6)*(C9:AG9="off"))</f>
        <v>0</v>
      </c>
      <c r="AO9" s="3" t="s">
        <v>405</v>
      </c>
      <c r="AP9" s="3" t="s">
        <v>72</v>
      </c>
      <c r="AQ9" s="12"/>
      <c r="AR9" s="256">
        <f t="shared" si="5"/>
        <v>0</v>
      </c>
      <c r="AS9" s="256">
        <f t="shared" si="6"/>
        <v>0</v>
      </c>
      <c r="AT9" s="256">
        <f t="shared" si="7"/>
        <v>0</v>
      </c>
      <c r="AU9" s="256">
        <f t="shared" si="8"/>
        <v>0</v>
      </c>
      <c r="BJ9" s="348" t="s">
        <v>384</v>
      </c>
      <c r="BK9" s="348" t="str">
        <f t="shared" si="9"/>
        <v>E詹雅慈</v>
      </c>
      <c r="BL9" s="348"/>
      <c r="BM9" s="348" t="s">
        <v>448</v>
      </c>
      <c r="BN9" s="348"/>
      <c r="BO9" s="348"/>
      <c r="BP9" s="348"/>
      <c r="BQ9" s="348"/>
      <c r="BR9" s="348"/>
      <c r="BS9" s="348"/>
      <c r="BT9" s="348"/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10"/>
        <v>F丁韋綸</v>
      </c>
      <c r="B10" s="338" t="str">
        <f t="shared" si="4"/>
        <v>X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">
        <f t="shared" si="3"/>
        <v>232</v>
      </c>
      <c r="AI10" s="3">
        <f t="shared" si="15"/>
        <v>0</v>
      </c>
      <c r="AJ10" s="3">
        <f t="shared" si="11"/>
        <v>0</v>
      </c>
      <c r="AK10" s="3">
        <f t="shared" si="12"/>
        <v>0</v>
      </c>
      <c r="AL10" s="3">
        <f t="shared" si="13"/>
        <v>27</v>
      </c>
      <c r="AM10" s="3">
        <f t="shared" si="14"/>
        <v>4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10"/>
        <v>G陳盈潔</v>
      </c>
      <c r="B11" s="338" t="str">
        <f t="shared" si="4"/>
        <v>X</v>
      </c>
      <c r="C11" s="352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">
        <f t="shared" si="3"/>
        <v>232</v>
      </c>
      <c r="AI11" s="3">
        <f t="shared" si="15"/>
        <v>0</v>
      </c>
      <c r="AJ11" s="3">
        <f t="shared" si="11"/>
        <v>0</v>
      </c>
      <c r="AK11" s="3">
        <f t="shared" si="12"/>
        <v>0</v>
      </c>
      <c r="AL11" s="3">
        <f t="shared" si="13"/>
        <v>27</v>
      </c>
      <c r="AM11" s="3">
        <f t="shared" si="14"/>
        <v>4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10"/>
        <v>H張心柔</v>
      </c>
      <c r="B12" s="338" t="str">
        <f t="shared" si="4"/>
        <v/>
      </c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">
        <f t="shared" si="3"/>
        <v>232</v>
      </c>
      <c r="AI12" s="3">
        <f t="shared" si="15"/>
        <v>0</v>
      </c>
      <c r="AJ12" s="3">
        <f t="shared" si="11"/>
        <v>0</v>
      </c>
      <c r="AK12" s="3">
        <f t="shared" si="12"/>
        <v>0</v>
      </c>
      <c r="AL12" s="3">
        <f t="shared" si="13"/>
        <v>27</v>
      </c>
      <c r="AM12" s="3">
        <f t="shared" si="14"/>
        <v>4</v>
      </c>
      <c r="AN12" s="3">
        <f t="array" ref="AN12">SUMPRODUCT(($C$5:$AG$5=6)*(C12:AG12="off"))</f>
        <v>0</v>
      </c>
      <c r="AO12" s="3" t="s">
        <v>408</v>
      </c>
      <c r="AP12" s="3" t="s">
        <v>95</v>
      </c>
      <c r="AQ12" s="12"/>
      <c r="AR12" s="256">
        <f t="shared" si="5"/>
        <v>0</v>
      </c>
      <c r="AS12" s="256">
        <f t="shared" si="6"/>
        <v>0</v>
      </c>
      <c r="AT12" s="256">
        <f t="shared" si="7"/>
        <v>0</v>
      </c>
      <c r="AU12" s="256">
        <f t="shared" si="8"/>
        <v>0</v>
      </c>
      <c r="BJ12" s="348" t="s">
        <v>384</v>
      </c>
      <c r="BK12" s="348" t="str">
        <f t="shared" si="9"/>
        <v>H張心柔</v>
      </c>
      <c r="BL12" s="348"/>
      <c r="BM12" s="348"/>
      <c r="BN12" s="348"/>
      <c r="BO12" s="348"/>
      <c r="BP12" s="348"/>
      <c r="BQ12" s="348"/>
      <c r="BR12" s="348"/>
      <c r="BS12" s="348"/>
      <c r="BT12" s="348"/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I劉子瑄</v>
      </c>
      <c r="B13" s="338" t="str">
        <f t="shared" si="4"/>
        <v/>
      </c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">
        <f t="shared" si="3"/>
        <v>232</v>
      </c>
      <c r="AI13" s="3">
        <f t="shared" si="15"/>
        <v>0</v>
      </c>
      <c r="AJ13" s="3">
        <f t="shared" si="11"/>
        <v>0</v>
      </c>
      <c r="AK13" s="3">
        <f t="shared" si="12"/>
        <v>0</v>
      </c>
      <c r="AL13" s="3">
        <f t="shared" si="13"/>
        <v>27</v>
      </c>
      <c r="AM13" s="3">
        <f t="shared" si="14"/>
        <v>4</v>
      </c>
      <c r="AN13" s="3">
        <f t="array" ref="AN13">SUMPRODUCT(($C$5:$AG$5=6)*(C13:AG13="off"))</f>
        <v>0</v>
      </c>
      <c r="AP13" s="3"/>
      <c r="AQ13" s="12"/>
      <c r="AR13" s="256">
        <f t="shared" si="5"/>
        <v>0</v>
      </c>
      <c r="AS13" s="256">
        <f t="shared" si="6"/>
        <v>0</v>
      </c>
      <c r="AT13" s="256">
        <f t="shared" si="7"/>
        <v>0</v>
      </c>
      <c r="AU13" s="256">
        <f t="shared" si="8"/>
        <v>0</v>
      </c>
      <c r="BJ13" s="348" t="s">
        <v>384</v>
      </c>
      <c r="BK13" s="348" t="str">
        <f t="shared" si="9"/>
        <v>I劉子瑄</v>
      </c>
      <c r="BL13" s="348"/>
      <c r="BM13" s="348"/>
      <c r="BN13" s="348"/>
      <c r="BO13" s="348"/>
      <c r="BP13" s="348"/>
      <c r="BQ13" s="348"/>
      <c r="BR13" s="348"/>
      <c r="BS13" s="348"/>
      <c r="BT13" s="348"/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10"/>
        <v>L陳咨希</v>
      </c>
      <c r="B14" s="338" t="str">
        <f t="shared" si="4"/>
        <v/>
      </c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">
        <f t="shared" si="3"/>
        <v>232</v>
      </c>
      <c r="AI14" s="3">
        <f t="shared" si="15"/>
        <v>0</v>
      </c>
      <c r="AJ14" s="3">
        <f t="shared" si="11"/>
        <v>0</v>
      </c>
      <c r="AK14" s="3">
        <f t="shared" si="12"/>
        <v>0</v>
      </c>
      <c r="AL14" s="3">
        <f t="shared" si="13"/>
        <v>27</v>
      </c>
      <c r="AM14" s="3">
        <f t="shared" si="14"/>
        <v>4</v>
      </c>
      <c r="AN14" s="3">
        <f t="array" ref="AN14">SUMPRODUCT(($C$5:$AG$5=6)*(C14:AG14="off"))</f>
        <v>0</v>
      </c>
      <c r="AO14" s="3"/>
      <c r="AP14" s="3"/>
      <c r="AQ14" s="12"/>
      <c r="AR14" s="256">
        <f t="shared" si="5"/>
        <v>0</v>
      </c>
      <c r="AS14" s="256">
        <f t="shared" si="6"/>
        <v>0</v>
      </c>
      <c r="AT14" s="256">
        <f t="shared" si="7"/>
        <v>0</v>
      </c>
      <c r="AU14" s="256">
        <f t="shared" si="8"/>
        <v>0</v>
      </c>
      <c r="AY14" s="335"/>
      <c r="BJ14" s="348" t="s">
        <v>451</v>
      </c>
      <c r="BK14" s="348" t="str">
        <f t="shared" si="9"/>
        <v>L陳咨希</v>
      </c>
      <c r="BL14" s="348"/>
      <c r="BM14" s="348"/>
      <c r="BN14" s="348"/>
      <c r="BO14" s="348"/>
      <c r="BP14" s="348"/>
      <c r="BQ14" s="348"/>
      <c r="BR14" s="348"/>
      <c r="BS14" s="348" t="s">
        <v>448</v>
      </c>
      <c r="BT14" s="348"/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J林瑋嫻</v>
      </c>
      <c r="B15" s="338" t="str">
        <f t="shared" si="4"/>
        <v/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">
        <f t="shared" si="3"/>
        <v>232</v>
      </c>
      <c r="AI15" s="3">
        <f t="shared" si="15"/>
        <v>0</v>
      </c>
      <c r="AJ15" s="3">
        <f t="shared" si="11"/>
        <v>0</v>
      </c>
      <c r="AK15" s="3">
        <f t="shared" si="12"/>
        <v>0</v>
      </c>
      <c r="AL15" s="3">
        <f t="shared" si="13"/>
        <v>27</v>
      </c>
      <c r="AM15" s="3">
        <f t="shared" si="14"/>
        <v>4</v>
      </c>
      <c r="AN15" s="3">
        <f t="array" ref="AN15">SUMPRODUCT(($C$5:$AG$5=6)*(C15:AG15="off"))</f>
        <v>0</v>
      </c>
      <c r="AO15" s="3"/>
      <c r="AP15" s="3"/>
      <c r="AQ15" s="12"/>
      <c r="AR15" s="256">
        <f t="shared" si="5"/>
        <v>0</v>
      </c>
      <c r="AS15" s="256">
        <f t="shared" si="6"/>
        <v>0</v>
      </c>
      <c r="AT15" s="256">
        <f t="shared" si="7"/>
        <v>0</v>
      </c>
      <c r="AU15" s="256">
        <f t="shared" si="8"/>
        <v>0</v>
      </c>
      <c r="BJ15" s="348" t="s">
        <v>451</v>
      </c>
      <c r="BK15" s="348" t="str">
        <f t="shared" si="9"/>
        <v>J林瑋嫻</v>
      </c>
      <c r="BL15" s="348"/>
      <c r="BM15" s="348"/>
      <c r="BN15" s="348"/>
      <c r="BO15" s="348"/>
      <c r="BP15" s="348"/>
      <c r="BQ15" s="348"/>
      <c r="BR15" s="348"/>
      <c r="BS15" s="348"/>
      <c r="BT15" s="348"/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hidden="1" customHeight="1">
      <c r="A16" s="6" t="str">
        <f t="shared" si="10"/>
        <v>K馮佳祺</v>
      </c>
      <c r="B16" s="338" t="str">
        <f t="shared" si="4"/>
        <v>x</v>
      </c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3"/>
        <v>232</v>
      </c>
      <c r="AI16" s="3">
        <f>COUNTIF(C16:AG16,"D")+COUNTIF(C16:AG16,"NurseD")</f>
        <v>0</v>
      </c>
      <c r="AJ16" s="3">
        <f t="shared" si="11"/>
        <v>0</v>
      </c>
      <c r="AK16" s="3">
        <f t="shared" si="12"/>
        <v>0</v>
      </c>
      <c r="AL16" s="3">
        <f t="shared" si="13"/>
        <v>27</v>
      </c>
      <c r="AM16" s="3">
        <f t="shared" si="14"/>
        <v>4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7"/>
        <v>0</v>
      </c>
      <c r="AU16" s="256">
        <f t="shared" si="8"/>
        <v>0</v>
      </c>
      <c r="BJ16" s="355"/>
      <c r="BK16" s="348" t="str">
        <f t="shared" si="9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232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27</v>
      </c>
      <c r="AM17" s="3">
        <f t="shared" si="14"/>
        <v>4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4</v>
      </c>
      <c r="D18" s="172">
        <f t="shared" si="16"/>
        <v>4</v>
      </c>
      <c r="E18" s="172">
        <f t="shared" si="16"/>
        <v>4</v>
      </c>
      <c r="F18" s="172">
        <f t="shared" si="16"/>
        <v>4</v>
      </c>
      <c r="G18" s="172">
        <f t="shared" si="16"/>
        <v>4</v>
      </c>
      <c r="H18" s="172">
        <f t="shared" si="16"/>
        <v>4</v>
      </c>
      <c r="I18" s="172">
        <f t="shared" si="16"/>
        <v>6</v>
      </c>
      <c r="J18" s="172">
        <f t="shared" si="16"/>
        <v>4</v>
      </c>
      <c r="K18" s="172">
        <f t="shared" si="16"/>
        <v>4</v>
      </c>
      <c r="L18" s="172">
        <f t="shared" si="16"/>
        <v>4</v>
      </c>
      <c r="M18" s="172">
        <f t="shared" si="16"/>
        <v>4</v>
      </c>
      <c r="N18" s="172">
        <f t="shared" si="16"/>
        <v>4</v>
      </c>
      <c r="O18" s="172">
        <f t="shared" si="16"/>
        <v>4</v>
      </c>
      <c r="P18" s="172">
        <f t="shared" si="16"/>
        <v>6</v>
      </c>
      <c r="Q18" s="172">
        <f t="shared" si="16"/>
        <v>4</v>
      </c>
      <c r="R18" s="172">
        <f t="shared" si="16"/>
        <v>4</v>
      </c>
      <c r="S18" s="172">
        <f t="shared" si="16"/>
        <v>4</v>
      </c>
      <c r="T18" s="172">
        <f t="shared" si="16"/>
        <v>4</v>
      </c>
      <c r="U18" s="172">
        <f t="shared" si="16"/>
        <v>6</v>
      </c>
      <c r="V18" s="172">
        <f t="shared" si="16"/>
        <v>4</v>
      </c>
      <c r="W18" s="172">
        <f t="shared" si="16"/>
        <v>6</v>
      </c>
      <c r="X18" s="172">
        <f t="shared" si="16"/>
        <v>4</v>
      </c>
      <c r="Y18" s="172">
        <f t="shared" si="16"/>
        <v>4</v>
      </c>
      <c r="Z18" s="172">
        <f t="shared" si="16"/>
        <v>4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4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4</v>
      </c>
      <c r="AC18" s="172">
        <f t="shared" si="17"/>
        <v>4</v>
      </c>
      <c r="AD18" s="172">
        <f t="shared" si="17"/>
        <v>6</v>
      </c>
      <c r="AE18" s="172">
        <f t="shared" si="17"/>
        <v>4</v>
      </c>
      <c r="AF18" s="172">
        <f t="shared" si="17"/>
        <v>4</v>
      </c>
      <c r="AG18" s="172" t="str">
        <f t="shared" si="17"/>
        <v/>
      </c>
      <c r="AH18" s="3" t="s">
        <v>391</v>
      </c>
      <c r="AI18" s="3">
        <f>COUNTIF(C18:AG18,"D")+COUNTIF(C18:AG18,"NurseD")</f>
        <v>0</v>
      </c>
      <c r="AJ18" s="3">
        <f>SUM(AJ6:AJ15)</f>
        <v>0</v>
      </c>
      <c r="AK18" s="3">
        <f>SUM(AK6:AK15)</f>
        <v>0</v>
      </c>
      <c r="AL18" s="3">
        <f>SUM(AL6:AL15)</f>
        <v>270</v>
      </c>
      <c r="AM18" s="3">
        <f>SUM(AM6:AM15)-SUM(AM10:AM11)-SUM(AM16:AM17)</f>
        <v>24</v>
      </c>
      <c r="AN18" s="3">
        <f>SUM(AN6:AN15)</f>
        <v>0</v>
      </c>
      <c r="AO18" s="3"/>
      <c r="AP18" s="3"/>
      <c r="AQ18" s="12"/>
      <c r="AR18" s="55">
        <f>SUBTOTAL(109,AR5:AR17)</f>
        <v>0</v>
      </c>
      <c r="AS18" s="55">
        <f>SUBTOTAL(109,AS5:AS17)</f>
        <v>0</v>
      </c>
      <c r="AT18" s="55">
        <f>SUM(AT6:AT17)</f>
        <v>0</v>
      </c>
      <c r="AU18" s="55">
        <f>SUBTOTAL(109,AU5:AU17)</f>
        <v>0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/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/>
      </c>
      <c r="Q19" s="173" t="str">
        <f t="shared" si="18"/>
        <v/>
      </c>
      <c r="R19" s="173" t="str">
        <f t="shared" si="18"/>
        <v/>
      </c>
      <c r="S19" s="173" t="str">
        <f t="shared" si="18"/>
        <v/>
      </c>
      <c r="T19" s="173" t="str">
        <f t="shared" si="18"/>
        <v/>
      </c>
      <c r="U19" s="173" t="str">
        <f t="shared" si="18"/>
        <v>國</v>
      </c>
      <c r="V19" s="173" t="str">
        <f t="shared" si="18"/>
        <v/>
      </c>
      <c r="W19" s="173" t="str">
        <f t="shared" si="18"/>
        <v/>
      </c>
      <c r="X19" s="173" t="str">
        <f t="shared" si="18"/>
        <v/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/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0</v>
      </c>
      <c r="D20" s="360">
        <f t="shared" ref="D20:AG20" si="19">COUNTIF(D6:D15,"off")</f>
        <v>0</v>
      </c>
      <c r="E20" s="360">
        <f t="shared" si="19"/>
        <v>0</v>
      </c>
      <c r="F20" s="360">
        <f t="shared" si="19"/>
        <v>0</v>
      </c>
      <c r="G20" s="360">
        <f t="shared" si="19"/>
        <v>0</v>
      </c>
      <c r="H20" s="360">
        <f t="shared" si="19"/>
        <v>0</v>
      </c>
      <c r="I20" s="360">
        <f t="shared" si="19"/>
        <v>0</v>
      </c>
      <c r="J20" s="360">
        <f t="shared" si="19"/>
        <v>0</v>
      </c>
      <c r="K20" s="360">
        <f t="shared" si="19"/>
        <v>0</v>
      </c>
      <c r="L20" s="360">
        <f t="shared" si="19"/>
        <v>0</v>
      </c>
      <c r="M20" s="360">
        <f t="shared" si="19"/>
        <v>0</v>
      </c>
      <c r="N20" s="360">
        <f t="shared" si="19"/>
        <v>0</v>
      </c>
      <c r="O20" s="360">
        <f t="shared" si="19"/>
        <v>0</v>
      </c>
      <c r="P20" s="360">
        <f t="shared" si="19"/>
        <v>0</v>
      </c>
      <c r="Q20" s="360">
        <f t="shared" si="19"/>
        <v>0</v>
      </c>
      <c r="R20" s="360">
        <f t="shared" si="19"/>
        <v>0</v>
      </c>
      <c r="S20" s="360">
        <f t="shared" si="19"/>
        <v>0</v>
      </c>
      <c r="T20" s="360">
        <f t="shared" si="19"/>
        <v>0</v>
      </c>
      <c r="U20" s="360">
        <f t="shared" si="19"/>
        <v>0</v>
      </c>
      <c r="V20" s="360">
        <f t="shared" si="19"/>
        <v>0</v>
      </c>
      <c r="W20" s="360">
        <f t="shared" si="19"/>
        <v>0</v>
      </c>
      <c r="X20" s="360">
        <f t="shared" si="19"/>
        <v>0</v>
      </c>
      <c r="Y20" s="360">
        <f t="shared" si="19"/>
        <v>0</v>
      </c>
      <c r="Z20" s="360">
        <f t="shared" si="19"/>
        <v>0</v>
      </c>
      <c r="AA20" s="360">
        <f t="shared" si="19"/>
        <v>0</v>
      </c>
      <c r="AB20" s="360">
        <f t="shared" si="19"/>
        <v>0</v>
      </c>
      <c r="AC20" s="360">
        <f t="shared" si="19"/>
        <v>0</v>
      </c>
      <c r="AD20" s="360">
        <f t="shared" si="19"/>
        <v>0</v>
      </c>
      <c r="AE20" s="360">
        <f t="shared" si="19"/>
        <v>0</v>
      </c>
      <c r="AF20" s="360">
        <f>COUNTIF(AF6:AF15,"off")</f>
        <v>0</v>
      </c>
      <c r="AG20" s="360">
        <f t="shared" si="19"/>
        <v>0</v>
      </c>
      <c r="AH20" s="12">
        <f>SUM(C20:AG20)</f>
        <v>0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0</v>
      </c>
      <c r="D21" s="360">
        <f t="shared" ref="D21:AG21" si="20">COUNTIF(D6:D15,"D")+COUNTIF(D6:D15,"NrsD")</f>
        <v>0</v>
      </c>
      <c r="E21" s="360">
        <f t="shared" si="20"/>
        <v>0</v>
      </c>
      <c r="F21" s="360">
        <f t="shared" si="20"/>
        <v>0</v>
      </c>
      <c r="G21" s="360">
        <f t="shared" si="20"/>
        <v>0</v>
      </c>
      <c r="H21" s="360">
        <f t="shared" si="20"/>
        <v>0</v>
      </c>
      <c r="I21" s="360">
        <f t="shared" si="20"/>
        <v>0</v>
      </c>
      <c r="J21" s="360">
        <f t="shared" si="20"/>
        <v>0</v>
      </c>
      <c r="K21" s="360">
        <f t="shared" si="20"/>
        <v>0</v>
      </c>
      <c r="L21" s="360">
        <f t="shared" si="20"/>
        <v>0</v>
      </c>
      <c r="M21" s="360">
        <f t="shared" si="20"/>
        <v>0</v>
      </c>
      <c r="N21" s="360">
        <f t="shared" si="20"/>
        <v>0</v>
      </c>
      <c r="O21" s="360">
        <f t="shared" si="20"/>
        <v>0</v>
      </c>
      <c r="P21" s="360">
        <f t="shared" si="20"/>
        <v>0</v>
      </c>
      <c r="Q21" s="360">
        <f t="shared" si="20"/>
        <v>0</v>
      </c>
      <c r="R21" s="360">
        <f t="shared" si="20"/>
        <v>0</v>
      </c>
      <c r="S21" s="360">
        <f t="shared" si="20"/>
        <v>0</v>
      </c>
      <c r="T21" s="360">
        <f t="shared" si="20"/>
        <v>0</v>
      </c>
      <c r="U21" s="360">
        <f t="shared" si="20"/>
        <v>0</v>
      </c>
      <c r="V21" s="360">
        <f t="shared" si="20"/>
        <v>0</v>
      </c>
      <c r="W21" s="360">
        <f t="shared" si="20"/>
        <v>0</v>
      </c>
      <c r="X21" s="360">
        <f t="shared" si="20"/>
        <v>0</v>
      </c>
      <c r="Y21" s="360">
        <f t="shared" si="20"/>
        <v>0</v>
      </c>
      <c r="Z21" s="360">
        <f t="shared" si="20"/>
        <v>0</v>
      </c>
      <c r="AA21" s="360">
        <f t="shared" si="20"/>
        <v>0</v>
      </c>
      <c r="AB21" s="360">
        <f t="shared" si="20"/>
        <v>0</v>
      </c>
      <c r="AC21" s="360">
        <f t="shared" si="20"/>
        <v>0</v>
      </c>
      <c r="AD21" s="360">
        <f t="shared" si="20"/>
        <v>0</v>
      </c>
      <c r="AE21" s="360">
        <f t="shared" si="20"/>
        <v>0</v>
      </c>
      <c r="AF21" s="360">
        <f t="shared" si="20"/>
        <v>0</v>
      </c>
      <c r="AG21" s="360">
        <f t="shared" si="20"/>
        <v>0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0</v>
      </c>
      <c r="D22" s="360">
        <f t="shared" ref="D22:AG22" si="21">COUNTIF(D6:D15,"N")</f>
        <v>0</v>
      </c>
      <c r="E22" s="360">
        <f t="shared" si="21"/>
        <v>0</v>
      </c>
      <c r="F22" s="360">
        <f t="shared" si="21"/>
        <v>0</v>
      </c>
      <c r="G22" s="360">
        <f t="shared" si="21"/>
        <v>0</v>
      </c>
      <c r="H22" s="360">
        <f t="shared" si="21"/>
        <v>0</v>
      </c>
      <c r="I22" s="360">
        <f t="shared" si="21"/>
        <v>0</v>
      </c>
      <c r="J22" s="360">
        <f t="shared" si="21"/>
        <v>0</v>
      </c>
      <c r="K22" s="360">
        <f t="shared" si="21"/>
        <v>0</v>
      </c>
      <c r="L22" s="360">
        <f t="shared" si="21"/>
        <v>0</v>
      </c>
      <c r="M22" s="360">
        <f t="shared" si="21"/>
        <v>0</v>
      </c>
      <c r="N22" s="360">
        <f t="shared" si="21"/>
        <v>0</v>
      </c>
      <c r="O22" s="360">
        <f t="shared" si="21"/>
        <v>0</v>
      </c>
      <c r="P22" s="360">
        <f t="shared" si="21"/>
        <v>0</v>
      </c>
      <c r="Q22" s="360">
        <f t="shared" si="21"/>
        <v>0</v>
      </c>
      <c r="R22" s="360">
        <f t="shared" si="21"/>
        <v>0</v>
      </c>
      <c r="S22" s="360">
        <f t="shared" si="21"/>
        <v>0</v>
      </c>
      <c r="T22" s="360">
        <f t="shared" si="21"/>
        <v>0</v>
      </c>
      <c r="U22" s="360">
        <f t="shared" si="21"/>
        <v>0</v>
      </c>
      <c r="V22" s="360">
        <f t="shared" si="21"/>
        <v>0</v>
      </c>
      <c r="W22" s="360">
        <f t="shared" si="21"/>
        <v>0</v>
      </c>
      <c r="X22" s="360">
        <f t="shared" si="21"/>
        <v>0</v>
      </c>
      <c r="Y22" s="360">
        <f t="shared" si="21"/>
        <v>0</v>
      </c>
      <c r="Z22" s="360">
        <f t="shared" si="21"/>
        <v>0</v>
      </c>
      <c r="AA22" s="360">
        <f t="shared" si="21"/>
        <v>0</v>
      </c>
      <c r="AB22" s="360">
        <f t="shared" si="21"/>
        <v>0</v>
      </c>
      <c r="AC22" s="360">
        <f t="shared" si="21"/>
        <v>0</v>
      </c>
      <c r="AD22" s="360">
        <f t="shared" si="21"/>
        <v>0</v>
      </c>
      <c r="AE22" s="360">
        <f t="shared" si="21"/>
        <v>0</v>
      </c>
      <c r="AF22" s="360">
        <f t="shared" si="21"/>
        <v>0</v>
      </c>
      <c r="AG22" s="360">
        <f t="shared" si="21"/>
        <v>0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459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378" t="s">
        <v>492</v>
      </c>
      <c r="B26" s="379"/>
      <c r="C26" s="379"/>
      <c r="D26" s="379"/>
      <c r="E26" s="379"/>
      <c r="F26" s="379"/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63"/>
      <c r="Q28" s="363"/>
      <c r="R28" s="363"/>
      <c r="S28" s="363"/>
      <c r="T28" s="363"/>
      <c r="U28" s="363"/>
      <c r="V28" s="363"/>
      <c r="W28" s="363"/>
      <c r="X28" s="363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46174</v>
      </c>
      <c r="D29" s="30">
        <f t="shared" ref="D29:AC29" si="22">C29+1</f>
        <v>46175</v>
      </c>
      <c r="E29" s="30">
        <f t="shared" si="22"/>
        <v>46176</v>
      </c>
      <c r="F29" s="30">
        <f t="shared" si="22"/>
        <v>46177</v>
      </c>
      <c r="G29" s="30">
        <f t="shared" si="22"/>
        <v>46178</v>
      </c>
      <c r="H29" s="30">
        <f t="shared" si="22"/>
        <v>46179</v>
      </c>
      <c r="I29" s="30">
        <f t="shared" si="22"/>
        <v>46180</v>
      </c>
      <c r="J29" s="30">
        <f t="shared" si="22"/>
        <v>46181</v>
      </c>
      <c r="K29" s="30">
        <f t="shared" si="22"/>
        <v>46182</v>
      </c>
      <c r="L29" s="30">
        <f t="shared" si="22"/>
        <v>46183</v>
      </c>
      <c r="M29" s="30">
        <f t="shared" si="22"/>
        <v>46184</v>
      </c>
      <c r="N29" s="30">
        <f t="shared" si="22"/>
        <v>46185</v>
      </c>
      <c r="O29" s="30">
        <f t="shared" si="22"/>
        <v>46186</v>
      </c>
      <c r="P29" s="30">
        <f t="shared" si="22"/>
        <v>46187</v>
      </c>
      <c r="Q29" s="30">
        <f t="shared" si="22"/>
        <v>46188</v>
      </c>
      <c r="R29" s="30">
        <f t="shared" si="22"/>
        <v>46189</v>
      </c>
      <c r="S29" s="30">
        <f t="shared" si="22"/>
        <v>46190</v>
      </c>
      <c r="T29" s="30">
        <f t="shared" si="22"/>
        <v>46191</v>
      </c>
      <c r="U29" s="30">
        <f t="shared" si="22"/>
        <v>46192</v>
      </c>
      <c r="V29" s="30">
        <f t="shared" si="22"/>
        <v>46193</v>
      </c>
      <c r="W29" s="30">
        <f t="shared" si="22"/>
        <v>46194</v>
      </c>
      <c r="X29" s="30">
        <f t="shared" si="22"/>
        <v>46195</v>
      </c>
      <c r="Y29" s="30">
        <f t="shared" si="22"/>
        <v>46196</v>
      </c>
      <c r="Z29" s="30">
        <f t="shared" si="22"/>
        <v>46197</v>
      </c>
      <c r="AA29" s="30">
        <f t="shared" si="22"/>
        <v>46198</v>
      </c>
      <c r="AB29" s="30">
        <f t="shared" si="22"/>
        <v>46199</v>
      </c>
      <c r="AC29" s="30">
        <f t="shared" si="22"/>
        <v>46200</v>
      </c>
      <c r="AD29" s="30">
        <f>IFERROR(IF(MONTH(AC29+1)=$J$2,AC29+1,""),"")</f>
        <v>46201</v>
      </c>
      <c r="AE29" s="30">
        <f>IFERROR(IF(MONTH(AD29+1)=$J$2,AD29+1,""),"")</f>
        <v>46202</v>
      </c>
      <c r="AF29" s="30">
        <f>IFERROR(IF(MONTH(AE29+1)=$J$2,AE29+1,""),"")</f>
        <v>46203</v>
      </c>
      <c r="AG29" s="30" t="str">
        <f>IFERROR(IF(MONTH(AF29+1)=$J$2,AF29+1,""),"")</f>
        <v/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1</v>
      </c>
      <c r="D30" s="31">
        <f>IFERROR(IF(WEEKDAY(D29,2)=7,"日",WEEKDAY(D29,2)),"")</f>
        <v>2</v>
      </c>
      <c r="E30" s="31">
        <f t="shared" ref="E30:AG30" si="23">IFERROR(IF(WEEKDAY(E29,2)=7,"日",WEEKDAY(E29,2)),"")</f>
        <v>3</v>
      </c>
      <c r="F30" s="31">
        <f t="shared" si="23"/>
        <v>4</v>
      </c>
      <c r="G30" s="31">
        <f t="shared" si="23"/>
        <v>5</v>
      </c>
      <c r="H30" s="31">
        <f t="shared" si="23"/>
        <v>6</v>
      </c>
      <c r="I30" s="31" t="str">
        <f t="shared" si="23"/>
        <v>日</v>
      </c>
      <c r="J30" s="31">
        <f t="shared" si="23"/>
        <v>1</v>
      </c>
      <c r="K30" s="31">
        <f t="shared" si="23"/>
        <v>2</v>
      </c>
      <c r="L30" s="31">
        <f t="shared" si="23"/>
        <v>3</v>
      </c>
      <c r="M30" s="31">
        <f t="shared" si="23"/>
        <v>4</v>
      </c>
      <c r="N30" s="31">
        <f t="shared" si="23"/>
        <v>5</v>
      </c>
      <c r="O30" s="31">
        <f t="shared" si="23"/>
        <v>6</v>
      </c>
      <c r="P30" s="31" t="str">
        <f t="shared" si="23"/>
        <v>日</v>
      </c>
      <c r="Q30" s="31">
        <f t="shared" si="23"/>
        <v>1</v>
      </c>
      <c r="R30" s="31">
        <f t="shared" si="23"/>
        <v>2</v>
      </c>
      <c r="S30" s="31">
        <f t="shared" si="23"/>
        <v>3</v>
      </c>
      <c r="T30" s="31">
        <f t="shared" si="23"/>
        <v>4</v>
      </c>
      <c r="U30" s="31">
        <f t="shared" si="23"/>
        <v>5</v>
      </c>
      <c r="V30" s="31">
        <f t="shared" si="23"/>
        <v>6</v>
      </c>
      <c r="W30" s="31" t="str">
        <f t="shared" si="23"/>
        <v>日</v>
      </c>
      <c r="X30" s="31">
        <f t="shared" si="23"/>
        <v>1</v>
      </c>
      <c r="Y30" s="31">
        <f t="shared" si="23"/>
        <v>2</v>
      </c>
      <c r="Z30" s="31">
        <f t="shared" si="23"/>
        <v>3</v>
      </c>
      <c r="AA30" s="31">
        <f t="shared" si="23"/>
        <v>4</v>
      </c>
      <c r="AB30" s="31">
        <f t="shared" si="23"/>
        <v>5</v>
      </c>
      <c r="AC30" s="31">
        <f t="shared" si="23"/>
        <v>6</v>
      </c>
      <c r="AD30" s="31" t="str">
        <f t="shared" si="23"/>
        <v>日</v>
      </c>
      <c r="AE30" s="31">
        <f t="shared" si="23"/>
        <v>1</v>
      </c>
      <c r="AF30" s="31">
        <f t="shared" si="23"/>
        <v>2</v>
      </c>
      <c r="AG30" s="31" t="str">
        <f t="shared" si="23"/>
        <v/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">
        <f>(AI31*12)+(AJ31*12)+(AL31*8)+(AM31*4)</f>
        <v>232</v>
      </c>
      <c r="AI31" s="3">
        <f t="shared" ref="AI31:AI40" si="24">COUNTIF(C31:AG31,"D")</f>
        <v>0</v>
      </c>
      <c r="AJ31" s="3">
        <f t="shared" ref="AJ31:AJ40" si="25">COUNTIF(C31:AG31,"N")</f>
        <v>0</v>
      </c>
      <c r="AK31" s="3">
        <f t="shared" ref="AK31:AK40" si="26">COUNTIF(C31:AG31,"OFF")+COUNTIF(C31:AG31,"上課")</f>
        <v>0</v>
      </c>
      <c r="AL31" s="3">
        <f t="shared" ref="AL31:AL40" si="27">COUNTIF(C31:AG31,"")-AM31+COUNTIF(C31:AG31,"h3")</f>
        <v>27</v>
      </c>
      <c r="AM31" s="3">
        <f t="shared" ref="AM31:AM40" si="28">COUNTIFS($C$5:$AG$5,"6",C31:AG31,"")+COUNTIF(C31:AG31,"h3")</f>
        <v>4</v>
      </c>
      <c r="AN31" s="3">
        <f t="array" ref="AN31">SUMPRODUCT(($C$5:$AG$5=6)*(C31:AG31="off"))</f>
        <v>0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 t="s">
        <v>4</v>
      </c>
      <c r="U32" s="33" t="s">
        <v>4</v>
      </c>
      <c r="V32" s="33" t="s">
        <v>4</v>
      </c>
      <c r="W32" s="33" t="s">
        <v>4</v>
      </c>
      <c r="X32" s="33" t="s">
        <v>4</v>
      </c>
      <c r="Y32" s="33" t="s">
        <v>4</v>
      </c>
      <c r="Z32" s="33" t="s">
        <v>4</v>
      </c>
      <c r="AA32" s="33"/>
      <c r="AB32" s="33"/>
      <c r="AC32" s="33"/>
      <c r="AD32" s="33"/>
      <c r="AE32" s="33"/>
      <c r="AF32" s="33"/>
      <c r="AG32" s="33"/>
      <c r="AH32" s="3">
        <f>(AI32*12)+(AJ32*12)+(AL32*8)+(AM32*4)</f>
        <v>180</v>
      </c>
      <c r="AI32" s="3">
        <f t="shared" si="24"/>
        <v>0</v>
      </c>
      <c r="AJ32" s="3">
        <f t="shared" si="25"/>
        <v>0</v>
      </c>
      <c r="AK32" s="3">
        <f t="shared" si="26"/>
        <v>7</v>
      </c>
      <c r="AL32" s="3">
        <f t="shared" si="27"/>
        <v>21</v>
      </c>
      <c r="AM32" s="3">
        <f t="shared" si="28"/>
        <v>3</v>
      </c>
      <c r="AN32" s="3">
        <f t="array" ref="AN32">SUMPRODUCT(($C$5:$AG$5=6)*(C32:AG32="off"))</f>
        <v>1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">
        <f>(AI33*12)+(AJ33*12)+(AL33*8)+(AM33*4)</f>
        <v>232</v>
      </c>
      <c r="AI33" s="3">
        <f t="shared" si="24"/>
        <v>0</v>
      </c>
      <c r="AJ33" s="3">
        <f t="shared" si="25"/>
        <v>0</v>
      </c>
      <c r="AK33" s="3">
        <f t="shared" si="26"/>
        <v>0</v>
      </c>
      <c r="AL33" s="3">
        <f t="shared" si="27"/>
        <v>27</v>
      </c>
      <c r="AM33" s="3">
        <f t="shared" si="28"/>
        <v>4</v>
      </c>
      <c r="AN33" s="3">
        <f t="array" ref="AN33">SUMPRODUCT(($C$5:$AG$5=6)*(C33:AG33="off"))</f>
        <v>0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232</v>
      </c>
      <c r="AI34" s="3">
        <f t="shared" si="24"/>
        <v>0</v>
      </c>
      <c r="AJ34" s="3">
        <f t="shared" si="25"/>
        <v>0</v>
      </c>
      <c r="AK34" s="3">
        <f t="shared" si="26"/>
        <v>0</v>
      </c>
      <c r="AL34" s="3">
        <f t="shared" si="27"/>
        <v>27</v>
      </c>
      <c r="AM34" s="3">
        <f t="shared" si="28"/>
        <v>4</v>
      </c>
      <c r="AN34" s="3">
        <f t="array" ref="AN34">SUMPRODUCT(($C$5:$AG$5=6)*(C34:AG34="off"))</f>
        <v>0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232</v>
      </c>
      <c r="AI35" s="3">
        <f t="shared" si="24"/>
        <v>0</v>
      </c>
      <c r="AJ35" s="3">
        <f t="shared" si="25"/>
        <v>0</v>
      </c>
      <c r="AK35" s="3">
        <f t="shared" si="26"/>
        <v>0</v>
      </c>
      <c r="AL35" s="3">
        <f t="shared" si="27"/>
        <v>27</v>
      </c>
      <c r="AM35" s="3">
        <f t="shared" si="28"/>
        <v>4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232</v>
      </c>
      <c r="AI36" s="3">
        <f t="shared" si="24"/>
        <v>0</v>
      </c>
      <c r="AJ36" s="3">
        <f t="shared" si="25"/>
        <v>0</v>
      </c>
      <c r="AK36" s="3">
        <f t="shared" si="26"/>
        <v>0</v>
      </c>
      <c r="AL36" s="3">
        <f t="shared" si="27"/>
        <v>27</v>
      </c>
      <c r="AM36" s="3">
        <f t="shared" si="28"/>
        <v>4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 t="s">
        <v>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">
        <f t="shared" si="29"/>
        <v>224</v>
      </c>
      <c r="AI37" s="3">
        <f t="shared" si="24"/>
        <v>0</v>
      </c>
      <c r="AJ37" s="3">
        <f t="shared" si="25"/>
        <v>0</v>
      </c>
      <c r="AK37" s="3">
        <f t="shared" si="26"/>
        <v>1</v>
      </c>
      <c r="AL37" s="3">
        <f t="shared" si="27"/>
        <v>26</v>
      </c>
      <c r="AM37" s="3">
        <f t="shared" si="28"/>
        <v>4</v>
      </c>
      <c r="AN37" s="3">
        <f t="array" ref="AN37">SUMPRODUCT(($C$5:$AG$5=6)*(C37:AG37="off"))</f>
        <v>0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">
        <f t="shared" si="29"/>
        <v>232</v>
      </c>
      <c r="AI38" s="3">
        <f t="shared" si="24"/>
        <v>0</v>
      </c>
      <c r="AJ38" s="3">
        <f t="shared" si="25"/>
        <v>0</v>
      </c>
      <c r="AK38" s="3">
        <f t="shared" si="26"/>
        <v>0</v>
      </c>
      <c r="AL38" s="3">
        <f t="shared" si="27"/>
        <v>27</v>
      </c>
      <c r="AM38" s="3">
        <f t="shared" si="28"/>
        <v>4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">
        <f t="shared" si="29"/>
        <v>232</v>
      </c>
      <c r="AI39" s="3">
        <f t="shared" si="24"/>
        <v>0</v>
      </c>
      <c r="AJ39" s="3">
        <f t="shared" si="25"/>
        <v>0</v>
      </c>
      <c r="AK39" s="3">
        <f t="shared" si="26"/>
        <v>0</v>
      </c>
      <c r="AL39" s="3">
        <f t="shared" si="27"/>
        <v>27</v>
      </c>
      <c r="AM39" s="3">
        <f t="shared" si="28"/>
        <v>4</v>
      </c>
      <c r="AN39" s="3">
        <f t="array" ref="AN39">SUMPRODUCT(($C$5:$AG$5=6)*(C39:AG39="off"))</f>
        <v>0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">
        <f t="shared" si="29"/>
        <v>232</v>
      </c>
      <c r="AI40" s="3">
        <f t="shared" si="24"/>
        <v>0</v>
      </c>
      <c r="AJ40" s="3">
        <f t="shared" si="25"/>
        <v>0</v>
      </c>
      <c r="AK40" s="3">
        <f t="shared" si="26"/>
        <v>0</v>
      </c>
      <c r="AL40" s="3">
        <f t="shared" si="27"/>
        <v>27</v>
      </c>
      <c r="AM40" s="3">
        <f t="shared" si="28"/>
        <v>4</v>
      </c>
      <c r="AN40" s="3">
        <f t="array" ref="AN40">SUMPRODUCT(($C$5:$AG$5=6)*(C40:AG40="off"))</f>
        <v>0</v>
      </c>
      <c r="AO40" s="3"/>
      <c r="AP40" s="3"/>
      <c r="AQ40" s="12"/>
      <c r="AR40" s="12"/>
      <c r="AS40" s="12"/>
      <c r="AT40" s="12"/>
      <c r="AU40" s="12"/>
    </row>
    <row r="41" spans="1:47" ht="20.25" hidden="1" customHeight="1">
      <c r="A41" s="6" t="s">
        <v>440</v>
      </c>
      <c r="B41" s="6" t="s">
        <v>449</v>
      </c>
      <c r="C41" s="88"/>
      <c r="D41" s="88"/>
      <c r="E41" s="88"/>
      <c r="F41" s="88"/>
      <c r="G41" s="88"/>
      <c r="H41" s="33"/>
      <c r="I41" s="33"/>
      <c r="J41" s="33"/>
      <c r="K41" s="33"/>
      <c r="L41" s="33"/>
      <c r="M41" s="33"/>
      <c r="N41" s="33"/>
      <c r="O41" s="33"/>
      <c r="P41" s="88"/>
      <c r="Q41" s="33"/>
      <c r="R41" s="88"/>
      <c r="S41" s="88"/>
      <c r="T41" s="88"/>
      <c r="U41" s="88"/>
      <c r="V41" s="88"/>
      <c r="W41" s="88"/>
      <c r="X41" s="83"/>
      <c r="Y41" s="33"/>
      <c r="Z41" s="88"/>
      <c r="AA41" s="88"/>
      <c r="AB41" s="33"/>
      <c r="AC41" s="33"/>
      <c r="AD41" s="33"/>
      <c r="AE41" s="33"/>
      <c r="AF41" s="33"/>
      <c r="AG41" s="88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4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4</v>
      </c>
      <c r="F43" s="172">
        <f t="shared" si="30"/>
        <v>4</v>
      </c>
      <c r="G43" s="172">
        <f t="shared" si="30"/>
        <v>4</v>
      </c>
      <c r="H43" s="172">
        <f t="shared" si="30"/>
        <v>4</v>
      </c>
      <c r="I43" s="172">
        <f t="shared" si="30"/>
        <v>6</v>
      </c>
      <c r="J43" s="172">
        <f t="shared" si="30"/>
        <v>4</v>
      </c>
      <c r="K43" s="172">
        <f t="shared" si="30"/>
        <v>4</v>
      </c>
      <c r="L43" s="172">
        <f t="shared" si="30"/>
        <v>4</v>
      </c>
      <c r="M43" s="172">
        <f t="shared" si="30"/>
        <v>4</v>
      </c>
      <c r="N43" s="172">
        <f t="shared" si="30"/>
        <v>4</v>
      </c>
      <c r="O43" s="172">
        <f t="shared" si="30"/>
        <v>4</v>
      </c>
      <c r="P43" s="172">
        <f t="shared" si="30"/>
        <v>6</v>
      </c>
      <c r="Q43" s="172">
        <f t="shared" si="30"/>
        <v>4</v>
      </c>
      <c r="R43" s="172">
        <f t="shared" si="30"/>
        <v>4</v>
      </c>
      <c r="S43" s="172">
        <f t="shared" si="30"/>
        <v>4</v>
      </c>
      <c r="T43" s="172">
        <f t="shared" si="30"/>
        <v>4</v>
      </c>
      <c r="U43" s="172">
        <f t="shared" si="30"/>
        <v>6</v>
      </c>
      <c r="V43" s="172">
        <f t="shared" si="30"/>
        <v>4</v>
      </c>
      <c r="W43" s="172">
        <f t="shared" si="30"/>
        <v>6</v>
      </c>
      <c r="X43" s="172">
        <f t="shared" si="30"/>
        <v>4</v>
      </c>
      <c r="Y43" s="172">
        <f t="shared" si="30"/>
        <v>4</v>
      </c>
      <c r="Z43" s="172">
        <f t="shared" si="30"/>
        <v>4</v>
      </c>
      <c r="AA43" s="172">
        <f t="shared" si="30"/>
        <v>4</v>
      </c>
      <c r="AB43" s="172">
        <f t="shared" si="30"/>
        <v>4</v>
      </c>
      <c r="AC43" s="172">
        <f t="shared" si="30"/>
        <v>4</v>
      </c>
      <c r="AD43" s="172">
        <f t="shared" si="30"/>
        <v>6</v>
      </c>
      <c r="AE43" s="172">
        <f t="shared" si="30"/>
        <v>4</v>
      </c>
      <c r="AF43" s="172">
        <f t="shared" si="30"/>
        <v>4</v>
      </c>
      <c r="AG43" s="172" t="str">
        <f t="shared" si="30"/>
        <v/>
      </c>
      <c r="AH43" s="3" t="s">
        <v>391</v>
      </c>
      <c r="AI43" s="3">
        <f>SUM(AI31:AI40)</f>
        <v>0</v>
      </c>
      <c r="AJ43" s="3">
        <f>SUM(AJ31:AJ40)</f>
        <v>0</v>
      </c>
      <c r="AK43" s="3">
        <f>SUM(AK31:AK40)</f>
        <v>8</v>
      </c>
      <c r="AL43" s="3">
        <f>SUM(AL31:AL40)</f>
        <v>263</v>
      </c>
      <c r="AM43" s="3">
        <f>SUM(AM31:AM40)-SUM(AM35:AM36)-SUM(AM41:AM42)</f>
        <v>31</v>
      </c>
      <c r="AN43" s="3">
        <f>SUM(AN31:AN40)</f>
        <v>1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 t="s">
        <v>478</v>
      </c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0</v>
      </c>
      <c r="D45" s="360">
        <f>COUNTIF(D31:D40,"off")</f>
        <v>0</v>
      </c>
      <c r="E45" s="360">
        <f t="shared" ref="E45:AG45" si="31">COUNTIF(E31:E40,"off")</f>
        <v>0</v>
      </c>
      <c r="F45" s="360">
        <f t="shared" si="31"/>
        <v>0</v>
      </c>
      <c r="G45" s="360">
        <f t="shared" si="31"/>
        <v>0</v>
      </c>
      <c r="H45" s="360">
        <f t="shared" si="31"/>
        <v>0</v>
      </c>
      <c r="I45" s="360">
        <f t="shared" si="31"/>
        <v>0</v>
      </c>
      <c r="J45" s="360">
        <f t="shared" si="31"/>
        <v>0</v>
      </c>
      <c r="K45" s="360">
        <f t="shared" si="31"/>
        <v>0</v>
      </c>
      <c r="L45" s="360">
        <f t="shared" si="31"/>
        <v>0</v>
      </c>
      <c r="M45" s="360">
        <f t="shared" si="31"/>
        <v>0</v>
      </c>
      <c r="N45" s="360">
        <f t="shared" si="31"/>
        <v>0</v>
      </c>
      <c r="O45" s="360">
        <f t="shared" si="31"/>
        <v>0</v>
      </c>
      <c r="P45" s="360">
        <f t="shared" si="31"/>
        <v>0</v>
      </c>
      <c r="Q45" s="360">
        <f t="shared" si="31"/>
        <v>0</v>
      </c>
      <c r="R45" s="360">
        <f t="shared" si="31"/>
        <v>1</v>
      </c>
      <c r="S45" s="360">
        <f t="shared" si="31"/>
        <v>0</v>
      </c>
      <c r="T45" s="360">
        <f t="shared" si="31"/>
        <v>1</v>
      </c>
      <c r="U45" s="360">
        <f t="shared" si="31"/>
        <v>1</v>
      </c>
      <c r="V45" s="360">
        <f t="shared" si="31"/>
        <v>1</v>
      </c>
      <c r="W45" s="360">
        <f t="shared" si="31"/>
        <v>1</v>
      </c>
      <c r="X45" s="360">
        <f t="shared" si="31"/>
        <v>1</v>
      </c>
      <c r="Y45" s="360">
        <f t="shared" si="31"/>
        <v>1</v>
      </c>
      <c r="Z45" s="360">
        <f t="shared" si="31"/>
        <v>1</v>
      </c>
      <c r="AA45" s="360">
        <f t="shared" si="31"/>
        <v>0</v>
      </c>
      <c r="AB45" s="360">
        <f t="shared" si="31"/>
        <v>0</v>
      </c>
      <c r="AC45" s="360">
        <f t="shared" si="31"/>
        <v>0</v>
      </c>
      <c r="AD45" s="360">
        <f t="shared" si="31"/>
        <v>0</v>
      </c>
      <c r="AE45" s="360">
        <f t="shared" si="31"/>
        <v>0</v>
      </c>
      <c r="AF45" s="360">
        <f t="shared" si="31"/>
        <v>0</v>
      </c>
      <c r="AG45" s="360">
        <f t="shared" si="31"/>
        <v>0</v>
      </c>
    </row>
  </sheetData>
  <protectedRanges>
    <protectedRange password="CC6F" sqref="C4:AG5 D1:P2 A29:AG30 AH31:AN43 AR6:AU6 BB4:BC4 BB2:BH2 AR7:AR16 AS7:AU17 C18:AG18 C43:AG43 AH6:AN18" name="範圍1_24_24_24_24_24_24"/>
  </protectedRanges>
  <mergeCells count="17">
    <mergeCell ref="AH5:AM5"/>
    <mergeCell ref="A26:T26"/>
    <mergeCell ref="A1:C2"/>
    <mergeCell ref="D1:E1"/>
    <mergeCell ref="G1:H1"/>
    <mergeCell ref="J1:K1"/>
    <mergeCell ref="T1:W2"/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</mergeCells>
  <phoneticPr fontId="11" type="noConversion"/>
  <conditionalFormatting sqref="AH4">
    <cfRule type="expression" dxfId="209" priority="12" stopIfTrue="1">
      <formula>WEEKDAY(AH$4)=7</formula>
    </cfRule>
    <cfRule type="expression" dxfId="208" priority="13" stopIfTrue="1">
      <formula>WEEKDAY(AH$4)=1</formula>
    </cfRule>
    <cfRule type="expression" dxfId="207" priority="14" stopIfTrue="1">
      <formula>WEEKDAY(AH$4)=7</formula>
    </cfRule>
    <cfRule type="expression" dxfId="206" priority="15" stopIfTrue="1">
      <formula>WEEKDAY(AH$4)=1</formula>
    </cfRule>
  </conditionalFormatting>
  <conditionalFormatting sqref="C43:AG43">
    <cfRule type="expression" dxfId="205" priority="16" stopIfTrue="1">
      <formula>(COUNTIF(C$31:C$42,"off")+COUNTIF(C$31:C$42,"護"))&lt;&gt;C$43</formula>
    </cfRule>
  </conditionalFormatting>
  <conditionalFormatting sqref="C4:AG6 C7:AF7 C8:AG17">
    <cfRule type="expression" dxfId="204" priority="10" stopIfTrue="1">
      <formula>WEEKDAY(C$4,2)=6</formula>
    </cfRule>
    <cfRule type="expression" dxfId="203" priority="11" stopIfTrue="1">
      <formula>WEEKDAY(C$4,2)=7</formula>
    </cfRule>
  </conditionalFormatting>
  <conditionalFormatting sqref="CD5">
    <cfRule type="expression" dxfId="202" priority="8" stopIfTrue="1">
      <formula>COUNTIF(#REF!,"D")&lt;&gt;$BV4</formula>
    </cfRule>
  </conditionalFormatting>
  <conditionalFormatting sqref="CF5">
    <cfRule type="expression" dxfId="201" priority="9" stopIfTrue="1">
      <formula>COUNTIF(#REF!,"N")&lt;&gt;#REF!</formula>
    </cfRule>
  </conditionalFormatting>
  <conditionalFormatting sqref="CF14">
    <cfRule type="expression" dxfId="200" priority="17" stopIfTrue="1">
      <formula>COUNTIF($C9:$AH9,"N")&lt;&gt;#REF!</formula>
    </cfRule>
  </conditionalFormatting>
  <conditionalFormatting sqref="CF15">
    <cfRule type="expression" dxfId="199" priority="18" stopIfTrue="1">
      <formula>COUNTIF($C9:$AH9,"N")&lt;&gt;#REF!</formula>
    </cfRule>
  </conditionalFormatting>
  <conditionalFormatting sqref="CD6:CD9">
    <cfRule type="expression" dxfId="198" priority="19" stopIfTrue="1">
      <formula>COUNTIF($C2:$AG2,"D")&lt;&gt;$BV5</formula>
    </cfRule>
  </conditionalFormatting>
  <conditionalFormatting sqref="CF12:CF15">
    <cfRule type="expression" dxfId="197" priority="20" stopIfTrue="1">
      <formula>COUNTIF($C8:$AH8,"N")&lt;&gt;#REF!</formula>
    </cfRule>
  </conditionalFormatting>
  <conditionalFormatting sqref="CD12:CD15">
    <cfRule type="expression" dxfId="196" priority="21" stopIfTrue="1">
      <formula>COUNTIF($C8:$AH8,"D")&lt;&gt;$BV11</formula>
    </cfRule>
  </conditionalFormatting>
  <conditionalFormatting sqref="CF6:CF9">
    <cfRule type="expression" dxfId="195" priority="22" stopIfTrue="1">
      <formula>COUNTIF($C2:$AG2,"N")&lt;&gt;#REF!</formula>
    </cfRule>
  </conditionalFormatting>
  <conditionalFormatting sqref="CF11">
    <cfRule type="expression" dxfId="194" priority="23" stopIfTrue="1">
      <formula>COUNTIF($D7:$AH7,"N")&lt;&gt;#REF!</formula>
    </cfRule>
  </conditionalFormatting>
  <conditionalFormatting sqref="CD11">
    <cfRule type="expression" dxfId="193" priority="24" stopIfTrue="1">
      <formula>COUNTIF($D7:$AH7,"D")&lt;&gt;$BV10</formula>
    </cfRule>
  </conditionalFormatting>
  <conditionalFormatting sqref="AH29">
    <cfRule type="expression" dxfId="192" priority="4" stopIfTrue="1">
      <formula>WEEKDAY(AH$4)=7</formula>
    </cfRule>
    <cfRule type="expression" dxfId="191" priority="5" stopIfTrue="1">
      <formula>WEEKDAY(AH$4)=1</formula>
    </cfRule>
    <cfRule type="expression" dxfId="190" priority="6" stopIfTrue="1">
      <formula>WEEKDAY(AH$4)=7</formula>
    </cfRule>
    <cfRule type="expression" dxfId="189" priority="7" stopIfTrue="1">
      <formula>WEEKDAY(AH$4)=1</formula>
    </cfRule>
  </conditionalFormatting>
  <conditionalFormatting sqref="C29:AG42">
    <cfRule type="expression" dxfId="188" priority="2" stopIfTrue="1">
      <formula>WEEKDAY(C$4,2)=6</formula>
    </cfRule>
    <cfRule type="expression" dxfId="187" priority="3" stopIfTrue="1">
      <formula>WEEKDAY(C$4,2)=7</formula>
    </cfRule>
  </conditionalFormatting>
  <conditionalFormatting sqref="C18:AG18">
    <cfRule type="expression" dxfId="186" priority="1" stopIfTrue="1">
      <formula>(COUNTIF(C$6:C$17,"off")+COUNTIF(C$6:C$17,"護"))&lt;&gt;C$18</formula>
    </cfRule>
  </conditionalFormatting>
  <conditionalFormatting sqref="AG7">
    <cfRule type="expression" dxfId="185" priority="25" stopIfTrue="1">
      <formula>WEEKDAY(AF$4,2)=6</formula>
    </cfRule>
    <cfRule type="expression" dxfId="184" priority="26" stopIfTrue="1">
      <formula>WEEKDAY(AF$4,2)=7</formula>
    </cfRule>
  </conditionalFormatting>
  <dataValidations count="6">
    <dataValidation type="list" allowBlank="1" sqref="A31:A42 A6:A17" xr:uid="{3FD2BAA8-8935-4821-ACCE-A0A34F256669}">
      <formula1>姓名清單</formula1>
    </dataValidation>
    <dataValidation type="list" allowBlank="1" showInputMessage="1" sqref="A43:A44 A18:A19" xr:uid="{54EDF205-CF4D-4F6B-A18D-2C33CB0106E2}">
      <formula1>$CM$11:$CN$11</formula1>
    </dataValidation>
    <dataValidation type="list" allowBlank="1" showInputMessage="1" sqref="C17:AG17 C41:AG42" xr:uid="{C4210F36-513A-4750-86CF-AF0C4E9523A0}">
      <formula1>$AI$19:$AI$31</formula1>
    </dataValidation>
    <dataValidation type="list" allowBlank="1" sqref="C16:AG16" xr:uid="{8BDB94C3-5FA2-470F-8B60-EC0A6BCFF5B6}">
      <formula1>$AI$4:$AK$4</formula1>
    </dataValidation>
    <dataValidation type="list" allowBlank="1" sqref="C31:AG40" xr:uid="{A93D05DD-80EB-4FE3-92F1-9A208D0047F0}">
      <formula1>$AI$3:$AL$3</formula1>
    </dataValidation>
    <dataValidation type="list" allowBlank="1" sqref="C6:AG15" xr:uid="{026F9AD3-F78E-49F1-8213-88114E4381C6}">
      <formula1>$AI$3:$AM$3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8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9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1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2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3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2E776-FABA-46FE-B9D4-33170E9FDB49}">
  <sheetPr codeName="工作表29">
    <pageSetUpPr fitToPage="1"/>
  </sheetPr>
  <dimension ref="A1:CP45"/>
  <sheetViews>
    <sheetView topLeftCell="O1" zoomScale="50" zoomScaleNormal="50" workbookViewId="0">
      <selection activeCell="BG3" sqref="BG3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3 ... 7</v>
      </c>
      <c r="G1" s="381" t="s">
        <v>410</v>
      </c>
      <c r="H1" s="381"/>
      <c r="I1" s="358" t="str">
        <f>BB4</f>
        <v>3 ... 7</v>
      </c>
      <c r="J1" s="381" t="s">
        <v>437</v>
      </c>
      <c r="K1" s="381"/>
      <c r="L1" s="358" t="str">
        <f>BG4</f>
        <v>16 ... 2</v>
      </c>
      <c r="M1" s="99" t="s">
        <v>438</v>
      </c>
      <c r="N1" s="358">
        <f>COUNTIF(C5:AG5,6)</f>
        <v>4</v>
      </c>
      <c r="O1" s="99" t="s">
        <v>439</v>
      </c>
      <c r="P1" s="358">
        <f>COUNTIF(C5:AG5,"日")</f>
        <v>4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7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31</v>
      </c>
      <c r="BC2" s="350">
        <f>DAY(EOMONTH(C4,0))</f>
        <v>31</v>
      </c>
      <c r="BD2" s="350">
        <f>IF(ISBLANK(AY2), (COUNTIF(C5:AG5,"6")-COUNTIFS(C5:AG5,"6",C19:AG19,"國"))*(COUNTA(BJ6:BJ17)-AX5-COUNTA(BL6:BL17))+COUNTIFS(C5:AG5,"6",C44:AG44,"國")*(COUNTA(BJ6:BJ17)-AX3-AX4-COUNTA(BL6:BL17)), "手動計算填入下方")</f>
        <v>16</v>
      </c>
      <c r="BE2" s="350">
        <f>COUNTIF(C5:AG5,"日")*((COUNTA(BJ6:BJ17))-AX4-AX3-COUNTA(AX14BE4:BL6:BL17))</f>
        <v>20</v>
      </c>
      <c r="BF2" s="350">
        <f t="array" ref="BF2">IF(ISBLANK(AY2),(SUMPRODUCT(--(C4:AG4&lt;&gt;""))-COUNTIF(C5:AG5,"日")-COUNTIF(C5:AG5,"6")-BH2)*((COUNTA(BJ6:BJ17))-AX5-COUNTA(BL6:BL17)),"手動計算填入下方")</f>
        <v>88</v>
      </c>
      <c r="BG2" s="350" cm="1">
        <f t="array" ref="BG2">IF(ISBLANK(AY2),(COUNTIF(C5:AG5,"6")-COUNTIFS(C5:AG5,"6",C44:AG44,"國"))*(COUNTA(BJ6:BJ17)-AX5-COUNTA(BL6:BL17))+COUNTIFS(C5:AG5,"6",C44:AG44,"國")*(COUNTA(BJ6:BJ17)-AX3-AX4-COUNTA(BL6:BL17)),BD3)+BE2+BH2*((COUNTA(BJ6:BJ17))-AX2-COUNTA(BL6:BL17))+IF(ISBLANK(AY2),((SUMPRODUCT(--(C4:AG4&lt;&gt;""))-COUNTIF(C5:AG5,"日")-COUNTIF(C5:AG5,"6")-BH2)*((COUNTA(BJ6:BJ17))-AX5-COUNTA(BL6:BL17))),BF3)+BG5</f>
        <v>130</v>
      </c>
      <c r="BH2" s="350">
        <f>COUNTIF(C19:AG19,"*國*")</f>
        <v>1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/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/>
      <c r="BH3" s="350"/>
      <c r="BW3" s="13"/>
    </row>
    <row r="4" spans="1:94" ht="20.25" customHeight="1">
      <c r="A4" s="19" t="s">
        <v>1</v>
      </c>
      <c r="B4" s="19"/>
      <c r="C4" s="30">
        <f>DATE($G$2,$J$2,1)</f>
        <v>46204</v>
      </c>
      <c r="D4" s="30">
        <f>C4+1</f>
        <v>46205</v>
      </c>
      <c r="E4" s="30">
        <f t="shared" ref="E4:AC4" si="1">D4+1</f>
        <v>46206</v>
      </c>
      <c r="F4" s="30">
        <f t="shared" si="1"/>
        <v>46207</v>
      </c>
      <c r="G4" s="30">
        <f t="shared" si="1"/>
        <v>46208</v>
      </c>
      <c r="H4" s="30">
        <f t="shared" si="1"/>
        <v>46209</v>
      </c>
      <c r="I4" s="30">
        <f t="shared" si="1"/>
        <v>46210</v>
      </c>
      <c r="J4" s="30">
        <f t="shared" si="1"/>
        <v>46211</v>
      </c>
      <c r="K4" s="30">
        <f t="shared" si="1"/>
        <v>46212</v>
      </c>
      <c r="L4" s="30">
        <f t="shared" si="1"/>
        <v>46213</v>
      </c>
      <c r="M4" s="30">
        <f t="shared" si="1"/>
        <v>46214</v>
      </c>
      <c r="N4" s="30">
        <f t="shared" si="1"/>
        <v>46215</v>
      </c>
      <c r="O4" s="30">
        <f t="shared" si="1"/>
        <v>46216</v>
      </c>
      <c r="P4" s="30">
        <f t="shared" si="1"/>
        <v>46217</v>
      </c>
      <c r="Q4" s="30">
        <f t="shared" si="1"/>
        <v>46218</v>
      </c>
      <c r="R4" s="30">
        <f t="shared" si="1"/>
        <v>46219</v>
      </c>
      <c r="S4" s="30">
        <f t="shared" si="1"/>
        <v>46220</v>
      </c>
      <c r="T4" s="30">
        <f t="shared" si="1"/>
        <v>46221</v>
      </c>
      <c r="U4" s="30">
        <f t="shared" si="1"/>
        <v>46222</v>
      </c>
      <c r="V4" s="30">
        <f t="shared" si="1"/>
        <v>46223</v>
      </c>
      <c r="W4" s="30">
        <f t="shared" si="1"/>
        <v>46224</v>
      </c>
      <c r="X4" s="30">
        <f t="shared" si="1"/>
        <v>46225</v>
      </c>
      <c r="Y4" s="30">
        <f t="shared" si="1"/>
        <v>46226</v>
      </c>
      <c r="Z4" s="30">
        <f t="shared" si="1"/>
        <v>46227</v>
      </c>
      <c r="AA4" s="30">
        <f t="shared" si="1"/>
        <v>46228</v>
      </c>
      <c r="AB4" s="30">
        <f t="shared" si="1"/>
        <v>46229</v>
      </c>
      <c r="AC4" s="30">
        <f t="shared" si="1"/>
        <v>46230</v>
      </c>
      <c r="AD4" s="30">
        <f>IFERROR(IF(MONTH(AC4+1)=$J$2,AC4+1,""),"")</f>
        <v>46231</v>
      </c>
      <c r="AE4" s="30">
        <f>IFERROR(IF(MONTH(AD4+1)=$J$2,AD4+1,""),"")</f>
        <v>46232</v>
      </c>
      <c r="AF4" s="30">
        <f>IFERROR(IF(MONTH(AE4+1)=$J$2,AE4+1,""),"")</f>
        <v>46233</v>
      </c>
      <c r="AG4" s="30">
        <f>IFERROR(IF(MONTH(AF4+1)=$J$2,AF4+1,""),"")</f>
        <v>46234</v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3 ... 7</v>
      </c>
      <c r="BC4" s="350" t="str">
        <f>QUOTIENT((COUNTA(C4:AG4)-COUNTIF(AE4:AG4,"")),COUNTA(BJ6:BJ15)-COUNTA(BL6:BL17))&amp;" ... "&amp;MOD((COUNTA(C4:AG4)-COUNTIF(AE4:AG4,"")),COUNTA(BJ6:BJ15)-COUNTA(BL6:BL17))</f>
        <v>3 ... 7</v>
      </c>
      <c r="BD4" s="350"/>
      <c r="BE4" s="350"/>
      <c r="BF4" s="350"/>
      <c r="BG4" s="350" t="str">
        <f>QUOTIENT(BG2,COUNTA(BJ6:BJ17)-COUNTA(BL6:BL17))&amp;" ... "&amp;MOD(BG2,COUNTA(BJ6:BJ17)-COUNTA(BL6:BL17))</f>
        <v>16 ... 2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2">IFERROR(IF(WEEKDAY(C4,2)=7,"日",WEEKDAY(C4,2)),"")</f>
        <v>3</v>
      </c>
      <c r="D5" s="31">
        <f>IFERROR(IF(WEEKDAY(D4,2)=7,"日",WEEKDAY(D4,2)),"")</f>
        <v>4</v>
      </c>
      <c r="E5" s="31">
        <f t="shared" si="2"/>
        <v>5</v>
      </c>
      <c r="F5" s="31">
        <f t="shared" si="2"/>
        <v>6</v>
      </c>
      <c r="G5" s="31" t="str">
        <f t="shared" si="2"/>
        <v>日</v>
      </c>
      <c r="H5" s="31">
        <f t="shared" si="2"/>
        <v>1</v>
      </c>
      <c r="I5" s="31">
        <f t="shared" si="2"/>
        <v>2</v>
      </c>
      <c r="J5" s="31">
        <f t="shared" si="2"/>
        <v>3</v>
      </c>
      <c r="K5" s="31">
        <f t="shared" si="2"/>
        <v>4</v>
      </c>
      <c r="L5" s="31">
        <f t="shared" si="2"/>
        <v>5</v>
      </c>
      <c r="M5" s="31">
        <f t="shared" si="2"/>
        <v>6</v>
      </c>
      <c r="N5" s="31" t="str">
        <f t="shared" si="2"/>
        <v>日</v>
      </c>
      <c r="O5" s="31">
        <f t="shared" si="2"/>
        <v>1</v>
      </c>
      <c r="P5" s="31">
        <f t="shared" si="2"/>
        <v>2</v>
      </c>
      <c r="Q5" s="31">
        <f t="shared" si="2"/>
        <v>3</v>
      </c>
      <c r="R5" s="31">
        <f t="shared" si="2"/>
        <v>4</v>
      </c>
      <c r="S5" s="31">
        <f t="shared" si="2"/>
        <v>5</v>
      </c>
      <c r="T5" s="31">
        <f t="shared" si="2"/>
        <v>6</v>
      </c>
      <c r="U5" s="31" t="str">
        <f t="shared" si="2"/>
        <v>日</v>
      </c>
      <c r="V5" s="31">
        <f t="shared" si="2"/>
        <v>1</v>
      </c>
      <c r="W5" s="31">
        <f t="shared" si="2"/>
        <v>2</v>
      </c>
      <c r="X5" s="31">
        <f t="shared" si="2"/>
        <v>3</v>
      </c>
      <c r="Y5" s="31">
        <f t="shared" si="2"/>
        <v>4</v>
      </c>
      <c r="Z5" s="31">
        <f t="shared" si="2"/>
        <v>5</v>
      </c>
      <c r="AA5" s="31">
        <f t="shared" si="2"/>
        <v>6</v>
      </c>
      <c r="AB5" s="31" t="str">
        <f t="shared" si="2"/>
        <v>日</v>
      </c>
      <c r="AC5" s="31">
        <f t="shared" si="2"/>
        <v>1</v>
      </c>
      <c r="AD5" s="31">
        <f t="shared" si="2"/>
        <v>2</v>
      </c>
      <c r="AE5" s="31">
        <f t="shared" si="2"/>
        <v>3</v>
      </c>
      <c r="AF5" s="31">
        <f t="shared" si="2"/>
        <v>4</v>
      </c>
      <c r="AG5" s="31">
        <f t="shared" si="2"/>
        <v>5</v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">
        <f t="shared" ref="AH6:AH17" si="3">(AI6*12)+(AJ6*12)+(AL6*8)+(AM6*4)</f>
        <v>232</v>
      </c>
      <c r="AI6" s="3">
        <f>COUNTIF(C6:AG6,"D")+COUNTIF(C6:AG6,"NrsD")</f>
        <v>0</v>
      </c>
      <c r="AJ6" s="3">
        <f>COUNTIF(C6:AG6,"N")</f>
        <v>0</v>
      </c>
      <c r="AK6" s="3">
        <f>COUNTIF(C6:AG6,"OFF")+COUNTIF(C6:AG6,"上課")</f>
        <v>0</v>
      </c>
      <c r="AL6" s="3">
        <f>COUNTIF(C6:AG6,"")-AM6+COUNTIF(C6:AG6,"h3")</f>
        <v>27</v>
      </c>
      <c r="AM6" s="3">
        <f>COUNTIFS($C$5:$AG$5,"6",C6:AG6,"")+COUNTIF(C6:AG6,"h3")</f>
        <v>4</v>
      </c>
      <c r="AN6" s="3">
        <f t="array" ref="AN6">SUMPRODUCT(($C$5:$AG$5=6)*(C6:AG6="off"))</f>
        <v>0</v>
      </c>
      <c r="AO6" s="3" t="s">
        <v>404</v>
      </c>
      <c r="AP6" s="3" t="s">
        <v>56</v>
      </c>
      <c r="AQ6" s="12"/>
      <c r="AR6" s="256">
        <f>BN6</f>
        <v>0</v>
      </c>
      <c r="AS6" s="256">
        <f>BP6</f>
        <v>0</v>
      </c>
      <c r="AT6" s="256">
        <f>BR6</f>
        <v>0</v>
      </c>
      <c r="AU6" s="256">
        <f>BT6</f>
        <v>0</v>
      </c>
      <c r="AV6" s="91"/>
      <c r="BJ6" s="348" t="s">
        <v>384</v>
      </c>
      <c r="BK6" s="348" t="str">
        <f>A31</f>
        <v>B黃郁芳</v>
      </c>
      <c r="BL6" s="348"/>
      <c r="BM6" s="348"/>
      <c r="BN6" s="348"/>
      <c r="BO6" s="348"/>
      <c r="BP6" s="348"/>
      <c r="BQ6" s="348"/>
      <c r="BR6" s="348"/>
      <c r="BS6" s="348"/>
      <c r="BT6" s="348"/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52"/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">
        <f t="shared" si="3"/>
        <v>232</v>
      </c>
      <c r="AI7" s="3">
        <f>COUNTIF(C7:AG7,"D")+COUNTIF(C7:AG7,"NrsD")</f>
        <v>0</v>
      </c>
      <c r="AJ7" s="3">
        <f>COUNTIF(C7:AG7,"N")</f>
        <v>0</v>
      </c>
      <c r="AK7" s="3">
        <f>COUNTIF(C7:AG7,"OFF")+COUNTIF(C7:AG7,"上課")</f>
        <v>0</v>
      </c>
      <c r="AL7" s="3">
        <f>COUNTIF(C7:AG7,"")-AM7+COUNTIF(C7:AG7,"h3")</f>
        <v>27</v>
      </c>
      <c r="AM7" s="3">
        <f>COUNTIFS($C$5:$AG$5,"6",C7:AG7,"")+COUNTIF(C7:AG7,"h3")</f>
        <v>4</v>
      </c>
      <c r="AN7" s="3">
        <f t="array" ref="AN7">SUMPRODUCT(($C$5:$AG$5=6)*(C7:AG7="off"))</f>
        <v>0</v>
      </c>
      <c r="AO7" s="3" t="s">
        <v>406</v>
      </c>
      <c r="AP7" s="3" t="s">
        <v>84</v>
      </c>
      <c r="AQ7" s="12"/>
      <c r="AR7" s="256">
        <f t="shared" ref="AR7:AR17" si="5">BN7</f>
        <v>0</v>
      </c>
      <c r="AS7" s="256">
        <f t="shared" ref="AS7:AS17" si="6">BP7</f>
        <v>0</v>
      </c>
      <c r="AT7" s="256">
        <f t="shared" ref="AT7:AT17" si="7">BR7</f>
        <v>0</v>
      </c>
      <c r="AU7" s="256">
        <f t="shared" ref="AU7:AU17" si="8">BT7</f>
        <v>0</v>
      </c>
      <c r="BJ7" s="348" t="s">
        <v>384</v>
      </c>
      <c r="BK7" s="348" t="str">
        <f t="shared" ref="BK7:BK17" si="9">A32</f>
        <v>C詹絲庭</v>
      </c>
      <c r="BL7" s="348"/>
      <c r="BM7" s="348"/>
      <c r="BN7" s="348"/>
      <c r="BO7" s="348" t="s">
        <v>448</v>
      </c>
      <c r="BP7" s="348"/>
      <c r="BQ7" s="348"/>
      <c r="BR7" s="348"/>
      <c r="BS7" s="348"/>
      <c r="BT7" s="348"/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">
        <f t="shared" si="3"/>
        <v>232</v>
      </c>
      <c r="AI8" s="3">
        <f>COUNTIF(C8:AG8,"D")+COUNTIF(C8:AG8,"NrsD")</f>
        <v>0</v>
      </c>
      <c r="AJ8" s="3">
        <f t="shared" ref="AJ8:AJ17" si="11">COUNTIF(C8:AG8,"N")</f>
        <v>0</v>
      </c>
      <c r="AK8" s="3">
        <f t="shared" ref="AK8:AK17" si="12">COUNTIF(C8:AG8,"OFF")+COUNTIF(C8:AG8,"上課")</f>
        <v>0</v>
      </c>
      <c r="AL8" s="3">
        <f t="shared" ref="AL8:AL17" si="13">COUNTIF(C8:AG8,"")-AM8+COUNTIF(C8:AG8,"h3")</f>
        <v>27</v>
      </c>
      <c r="AM8" s="3">
        <f t="shared" ref="AM8:AM17" si="14">COUNTIFS($C$5:$AG$5,"6",C8:AG8,"")+COUNTIF(C8:AG8,"h3")</f>
        <v>4</v>
      </c>
      <c r="AN8" s="3">
        <f t="array" ref="AN8">SUMPRODUCT(($C$5:$AG$5=6)*(C8:AG8="off"))</f>
        <v>0</v>
      </c>
      <c r="AO8" s="3" t="s">
        <v>407</v>
      </c>
      <c r="AP8" s="3" t="s">
        <v>90</v>
      </c>
      <c r="AQ8" s="12"/>
      <c r="AR8" s="256">
        <f t="shared" si="5"/>
        <v>0</v>
      </c>
      <c r="AS8" s="256">
        <f t="shared" si="6"/>
        <v>0</v>
      </c>
      <c r="AT8" s="256">
        <f t="shared" si="7"/>
        <v>0</v>
      </c>
      <c r="AU8" s="256">
        <f t="shared" si="8"/>
        <v>0</v>
      </c>
      <c r="BJ8" s="348" t="s">
        <v>384</v>
      </c>
      <c r="BK8" s="348" t="str">
        <f t="shared" si="9"/>
        <v>D王子建</v>
      </c>
      <c r="BL8" s="348"/>
      <c r="BM8" s="348"/>
      <c r="BN8" s="348"/>
      <c r="BO8" s="348"/>
      <c r="BP8" s="348"/>
      <c r="BQ8" s="348" t="s">
        <v>448</v>
      </c>
      <c r="BR8" s="348"/>
      <c r="BS8" s="348"/>
      <c r="BT8" s="348"/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">
        <f t="shared" si="3"/>
        <v>232</v>
      </c>
      <c r="AI9" s="3">
        <f t="shared" ref="AI9:AI15" si="15">COUNTIF(C9:AG9,"D")+COUNTIF(C9:AG9,"NrsD")</f>
        <v>0</v>
      </c>
      <c r="AJ9" s="3">
        <f t="shared" si="11"/>
        <v>0</v>
      </c>
      <c r="AK9" s="3">
        <f t="shared" si="12"/>
        <v>0</v>
      </c>
      <c r="AL9" s="3">
        <f t="shared" si="13"/>
        <v>27</v>
      </c>
      <c r="AM9" s="3">
        <f t="shared" si="14"/>
        <v>4</v>
      </c>
      <c r="AN9" s="3">
        <f t="array" ref="AN9">SUMPRODUCT(($C$5:$AG$5=6)*(C9:AG9="off"))</f>
        <v>0</v>
      </c>
      <c r="AO9" s="3" t="s">
        <v>405</v>
      </c>
      <c r="AP9" s="3" t="s">
        <v>72</v>
      </c>
      <c r="AQ9" s="12"/>
      <c r="AR9" s="256">
        <f t="shared" si="5"/>
        <v>0</v>
      </c>
      <c r="AS9" s="256">
        <f t="shared" si="6"/>
        <v>0</v>
      </c>
      <c r="AT9" s="256">
        <f t="shared" si="7"/>
        <v>0</v>
      </c>
      <c r="AU9" s="256">
        <f t="shared" si="8"/>
        <v>0</v>
      </c>
      <c r="BJ9" s="348" t="s">
        <v>384</v>
      </c>
      <c r="BK9" s="348" t="str">
        <f t="shared" si="9"/>
        <v>E詹雅慈</v>
      </c>
      <c r="BL9" s="348"/>
      <c r="BM9" s="348" t="s">
        <v>448</v>
      </c>
      <c r="BN9" s="348"/>
      <c r="BO9" s="348"/>
      <c r="BP9" s="348"/>
      <c r="BQ9" s="348"/>
      <c r="BR9" s="348"/>
      <c r="BS9" s="348"/>
      <c r="BT9" s="348"/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hidden="1" customHeight="1">
      <c r="A10" s="6" t="str">
        <f t="shared" si="10"/>
        <v>F丁韋綸</v>
      </c>
      <c r="B10" s="338" t="str">
        <f t="shared" si="4"/>
        <v>X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">
        <f t="shared" si="3"/>
        <v>232</v>
      </c>
      <c r="AI10" s="3">
        <f t="shared" si="15"/>
        <v>0</v>
      </c>
      <c r="AJ10" s="3">
        <f t="shared" si="11"/>
        <v>0</v>
      </c>
      <c r="AK10" s="3">
        <f t="shared" si="12"/>
        <v>0</v>
      </c>
      <c r="AL10" s="3">
        <f t="shared" si="13"/>
        <v>27</v>
      </c>
      <c r="AM10" s="3">
        <f t="shared" si="14"/>
        <v>4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hidden="1" customHeight="1">
      <c r="A11" s="6" t="str">
        <f t="shared" si="10"/>
        <v>G陳盈潔</v>
      </c>
      <c r="B11" s="338" t="str">
        <f t="shared" si="4"/>
        <v>X</v>
      </c>
      <c r="C11" s="352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">
        <f t="shared" si="3"/>
        <v>232</v>
      </c>
      <c r="AI11" s="3">
        <f t="shared" si="15"/>
        <v>0</v>
      </c>
      <c r="AJ11" s="3">
        <f t="shared" si="11"/>
        <v>0</v>
      </c>
      <c r="AK11" s="3">
        <f t="shared" si="12"/>
        <v>0</v>
      </c>
      <c r="AL11" s="3">
        <f t="shared" si="13"/>
        <v>27</v>
      </c>
      <c r="AM11" s="3">
        <f t="shared" si="14"/>
        <v>4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10"/>
        <v>H張心柔</v>
      </c>
      <c r="B12" s="338" t="str">
        <f t="shared" si="4"/>
        <v/>
      </c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">
        <f t="shared" si="3"/>
        <v>232</v>
      </c>
      <c r="AI12" s="3">
        <f t="shared" si="15"/>
        <v>0</v>
      </c>
      <c r="AJ12" s="3">
        <f t="shared" si="11"/>
        <v>0</v>
      </c>
      <c r="AK12" s="3">
        <f t="shared" si="12"/>
        <v>0</v>
      </c>
      <c r="AL12" s="3">
        <f t="shared" si="13"/>
        <v>27</v>
      </c>
      <c r="AM12" s="3">
        <f t="shared" si="14"/>
        <v>4</v>
      </c>
      <c r="AN12" s="3">
        <f t="array" ref="AN12">SUMPRODUCT(($C$5:$AG$5=6)*(C12:AG12="off"))</f>
        <v>0</v>
      </c>
      <c r="AO12" s="3" t="s">
        <v>408</v>
      </c>
      <c r="AP12" s="3" t="s">
        <v>95</v>
      </c>
      <c r="AQ12" s="12"/>
      <c r="AR12" s="256">
        <f t="shared" si="5"/>
        <v>0</v>
      </c>
      <c r="AS12" s="256">
        <f t="shared" si="6"/>
        <v>0</v>
      </c>
      <c r="AT12" s="256">
        <f t="shared" si="7"/>
        <v>0</v>
      </c>
      <c r="AU12" s="256">
        <f t="shared" si="8"/>
        <v>0</v>
      </c>
      <c r="BJ12" s="348" t="s">
        <v>384</v>
      </c>
      <c r="BK12" s="348" t="str">
        <f t="shared" si="9"/>
        <v>H張心柔</v>
      </c>
      <c r="BL12" s="348"/>
      <c r="BM12" s="348"/>
      <c r="BN12" s="348"/>
      <c r="BO12" s="348"/>
      <c r="BP12" s="348"/>
      <c r="BQ12" s="348"/>
      <c r="BR12" s="348"/>
      <c r="BS12" s="348"/>
      <c r="BT12" s="348"/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I劉子瑄</v>
      </c>
      <c r="B13" s="338" t="str">
        <f t="shared" si="4"/>
        <v/>
      </c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">
        <f t="shared" si="3"/>
        <v>232</v>
      </c>
      <c r="AI13" s="3">
        <f t="shared" si="15"/>
        <v>0</v>
      </c>
      <c r="AJ13" s="3">
        <f t="shared" si="11"/>
        <v>0</v>
      </c>
      <c r="AK13" s="3">
        <f t="shared" si="12"/>
        <v>0</v>
      </c>
      <c r="AL13" s="3">
        <f t="shared" si="13"/>
        <v>27</v>
      </c>
      <c r="AM13" s="3">
        <f t="shared" si="14"/>
        <v>4</v>
      </c>
      <c r="AN13" s="3">
        <f t="array" ref="AN13">SUMPRODUCT(($C$5:$AG$5=6)*(C13:AG13="off"))</f>
        <v>0</v>
      </c>
      <c r="AP13" s="3"/>
      <c r="AQ13" s="12"/>
      <c r="AR13" s="256">
        <f t="shared" si="5"/>
        <v>0</v>
      </c>
      <c r="AS13" s="256">
        <f t="shared" si="6"/>
        <v>0</v>
      </c>
      <c r="AT13" s="256">
        <f t="shared" si="7"/>
        <v>0</v>
      </c>
      <c r="AU13" s="256">
        <f t="shared" si="8"/>
        <v>0</v>
      </c>
      <c r="BJ13" s="348" t="s">
        <v>384</v>
      </c>
      <c r="BK13" s="348" t="str">
        <f t="shared" si="9"/>
        <v>I劉子瑄</v>
      </c>
      <c r="BL13" s="348"/>
      <c r="BM13" s="348"/>
      <c r="BN13" s="348"/>
      <c r="BO13" s="348"/>
      <c r="BP13" s="348"/>
      <c r="BQ13" s="348"/>
      <c r="BR13" s="348"/>
      <c r="BS13" s="348"/>
      <c r="BT13" s="348"/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hidden="1" customHeight="1">
      <c r="A14" s="6" t="str">
        <f t="shared" si="10"/>
        <v>L陳咨希</v>
      </c>
      <c r="B14" s="338" t="str">
        <f t="shared" si="4"/>
        <v>x</v>
      </c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">
        <f t="shared" si="3"/>
        <v>232</v>
      </c>
      <c r="AI14" s="3">
        <f t="shared" si="15"/>
        <v>0</v>
      </c>
      <c r="AJ14" s="3">
        <f t="shared" si="11"/>
        <v>0</v>
      </c>
      <c r="AK14" s="3">
        <f t="shared" si="12"/>
        <v>0</v>
      </c>
      <c r="AL14" s="3">
        <f t="shared" si="13"/>
        <v>27</v>
      </c>
      <c r="AM14" s="3">
        <f t="shared" si="14"/>
        <v>4</v>
      </c>
      <c r="AN14" s="3">
        <f t="array" ref="AN14">SUMPRODUCT(($C$5:$AG$5=6)*(C14:AG14="off"))</f>
        <v>0</v>
      </c>
      <c r="AO14" s="3"/>
      <c r="AP14" s="3"/>
      <c r="AQ14" s="12"/>
      <c r="AR14" s="256">
        <f t="shared" si="5"/>
        <v>0</v>
      </c>
      <c r="AS14" s="256">
        <f t="shared" si="6"/>
        <v>0</v>
      </c>
      <c r="AT14" s="256">
        <f t="shared" si="7"/>
        <v>0</v>
      </c>
      <c r="AU14" s="256">
        <f t="shared" si="8"/>
        <v>0</v>
      </c>
      <c r="AY14" s="335"/>
      <c r="BJ14" s="348" t="s">
        <v>451</v>
      </c>
      <c r="BK14" s="348" t="str">
        <f t="shared" si="9"/>
        <v>L陳咨希</v>
      </c>
      <c r="BL14" s="348"/>
      <c r="BM14" s="348"/>
      <c r="BN14" s="348"/>
      <c r="BO14" s="348"/>
      <c r="BP14" s="348"/>
      <c r="BQ14" s="348"/>
      <c r="BR14" s="348"/>
      <c r="BS14" s="348" t="s">
        <v>448</v>
      </c>
      <c r="BT14" s="348"/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J林瑋嫻</v>
      </c>
      <c r="B15" s="338" t="str">
        <f t="shared" si="4"/>
        <v/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">
        <f t="shared" si="3"/>
        <v>232</v>
      </c>
      <c r="AI15" s="3">
        <f t="shared" si="15"/>
        <v>0</v>
      </c>
      <c r="AJ15" s="3">
        <f t="shared" si="11"/>
        <v>0</v>
      </c>
      <c r="AK15" s="3">
        <f t="shared" si="12"/>
        <v>0</v>
      </c>
      <c r="AL15" s="3">
        <f t="shared" si="13"/>
        <v>27</v>
      </c>
      <c r="AM15" s="3">
        <f t="shared" si="14"/>
        <v>4</v>
      </c>
      <c r="AN15" s="3">
        <f t="array" ref="AN15">SUMPRODUCT(($C$5:$AG$5=6)*(C15:AG15="off"))</f>
        <v>0</v>
      </c>
      <c r="AO15" s="3"/>
      <c r="AP15" s="3"/>
      <c r="AQ15" s="12"/>
      <c r="AR15" s="256">
        <f t="shared" si="5"/>
        <v>0</v>
      </c>
      <c r="AS15" s="256">
        <f t="shared" si="6"/>
        <v>0</v>
      </c>
      <c r="AT15" s="256">
        <f t="shared" si="7"/>
        <v>0</v>
      </c>
      <c r="AU15" s="256">
        <f t="shared" si="8"/>
        <v>0</v>
      </c>
      <c r="BJ15" s="348" t="s">
        <v>451</v>
      </c>
      <c r="BK15" s="348" t="str">
        <f t="shared" si="9"/>
        <v>J林瑋嫻</v>
      </c>
      <c r="BL15" s="348"/>
      <c r="BM15" s="348"/>
      <c r="BN15" s="348"/>
      <c r="BO15" s="348"/>
      <c r="BP15" s="348"/>
      <c r="BQ15" s="348"/>
      <c r="BR15" s="348"/>
      <c r="BS15" s="348"/>
      <c r="BT15" s="348"/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tr">
        <f t="shared" si="10"/>
        <v>K馮佳祺</v>
      </c>
      <c r="B16" s="338" t="str">
        <f t="shared" si="4"/>
        <v/>
      </c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3"/>
        <v>232</v>
      </c>
      <c r="AI16" s="3">
        <f>COUNTIF(C16:AG16,"D")+COUNTIF(C16:AG16,"NurseD")</f>
        <v>0</v>
      </c>
      <c r="AJ16" s="3">
        <f t="shared" si="11"/>
        <v>0</v>
      </c>
      <c r="AK16" s="3">
        <f t="shared" si="12"/>
        <v>0</v>
      </c>
      <c r="AL16" s="3">
        <f t="shared" si="13"/>
        <v>27</v>
      </c>
      <c r="AM16" s="3">
        <f t="shared" si="14"/>
        <v>4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7"/>
        <v>0</v>
      </c>
      <c r="AU16" s="256">
        <f t="shared" si="8"/>
        <v>0</v>
      </c>
      <c r="BJ16" s="355"/>
      <c r="BK16" s="348" t="str">
        <f t="shared" si="9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hidden="1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232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27</v>
      </c>
      <c r="AM17" s="3">
        <f t="shared" si="14"/>
        <v>4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4</v>
      </c>
      <c r="D18" s="172">
        <f t="shared" si="16"/>
        <v>4</v>
      </c>
      <c r="E18" s="172">
        <f t="shared" si="16"/>
        <v>4</v>
      </c>
      <c r="F18" s="172">
        <f t="shared" si="16"/>
        <v>4</v>
      </c>
      <c r="G18" s="172">
        <f t="shared" si="16"/>
        <v>6</v>
      </c>
      <c r="H18" s="172">
        <f t="shared" si="16"/>
        <v>4</v>
      </c>
      <c r="I18" s="172">
        <f t="shared" si="16"/>
        <v>4</v>
      </c>
      <c r="J18" s="172">
        <f t="shared" si="16"/>
        <v>4</v>
      </c>
      <c r="K18" s="172">
        <f t="shared" si="16"/>
        <v>4</v>
      </c>
      <c r="L18" s="172">
        <f t="shared" si="16"/>
        <v>4</v>
      </c>
      <c r="M18" s="172">
        <f t="shared" si="16"/>
        <v>4</v>
      </c>
      <c r="N18" s="172">
        <f t="shared" si="16"/>
        <v>6</v>
      </c>
      <c r="O18" s="172">
        <f t="shared" si="16"/>
        <v>4</v>
      </c>
      <c r="P18" s="172">
        <f t="shared" si="16"/>
        <v>4</v>
      </c>
      <c r="Q18" s="172">
        <f t="shared" si="16"/>
        <v>4</v>
      </c>
      <c r="R18" s="172">
        <f t="shared" si="16"/>
        <v>4</v>
      </c>
      <c r="S18" s="172">
        <f t="shared" si="16"/>
        <v>4</v>
      </c>
      <c r="T18" s="172">
        <f t="shared" si="16"/>
        <v>4</v>
      </c>
      <c r="U18" s="172">
        <f t="shared" si="16"/>
        <v>6</v>
      </c>
      <c r="V18" s="172">
        <f t="shared" si="16"/>
        <v>4</v>
      </c>
      <c r="W18" s="172">
        <f t="shared" si="16"/>
        <v>4</v>
      </c>
      <c r="X18" s="172">
        <f t="shared" si="16"/>
        <v>4</v>
      </c>
      <c r="Y18" s="172">
        <f t="shared" si="16"/>
        <v>4</v>
      </c>
      <c r="Z18" s="172">
        <f t="shared" si="16"/>
        <v>4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4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6</v>
      </c>
      <c r="AC18" s="172">
        <f t="shared" si="17"/>
        <v>4</v>
      </c>
      <c r="AD18" s="172">
        <f t="shared" si="17"/>
        <v>4</v>
      </c>
      <c r="AE18" s="172">
        <f t="shared" si="17"/>
        <v>4</v>
      </c>
      <c r="AF18" s="172">
        <f t="shared" si="17"/>
        <v>4</v>
      </c>
      <c r="AG18" s="172">
        <f t="shared" si="17"/>
        <v>4</v>
      </c>
      <c r="AH18" s="3" t="s">
        <v>391</v>
      </c>
      <c r="AI18" s="3">
        <f>COUNTIF(C18:AG18,"D")+COUNTIF(C18:AG18,"NurseD")</f>
        <v>0</v>
      </c>
      <c r="AJ18" s="3">
        <f>SUM(AJ6:AJ15)</f>
        <v>0</v>
      </c>
      <c r="AK18" s="3">
        <f>SUM(AK6:AK15)</f>
        <v>0</v>
      </c>
      <c r="AL18" s="3">
        <f>SUM(AL6:AL15)</f>
        <v>270</v>
      </c>
      <c r="AM18" s="3">
        <f>SUM(AM6:AM15)-SUM(AM10:AM11)-SUM(AM16:AM17)</f>
        <v>24</v>
      </c>
      <c r="AN18" s="3">
        <f>SUM(AN6:AN15)</f>
        <v>0</v>
      </c>
      <c r="AO18" s="3"/>
      <c r="AP18" s="3"/>
      <c r="AQ18" s="12"/>
      <c r="AR18" s="55">
        <f>SUBTOTAL(109,AR5:AR17)</f>
        <v>0</v>
      </c>
      <c r="AS18" s="55">
        <f>SUBTOTAL(109,AS5:AS17)</f>
        <v>0</v>
      </c>
      <c r="AT18" s="55">
        <f>SUM(AT6:AT17)</f>
        <v>0</v>
      </c>
      <c r="AU18" s="55">
        <f>SUBTOTAL(109,AU5:AU17)</f>
        <v>0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/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/>
      </c>
      <c r="Q19" s="173" t="str">
        <f t="shared" si="18"/>
        <v/>
      </c>
      <c r="R19" s="173" t="str">
        <f t="shared" si="18"/>
        <v/>
      </c>
      <c r="S19" s="173" t="str">
        <f t="shared" si="18"/>
        <v/>
      </c>
      <c r="T19" s="173" t="str">
        <f t="shared" si="18"/>
        <v/>
      </c>
      <c r="U19" s="173" t="str">
        <f t="shared" si="18"/>
        <v>國</v>
      </c>
      <c r="V19" s="173" t="str">
        <f t="shared" si="18"/>
        <v/>
      </c>
      <c r="W19" s="173" t="str">
        <f t="shared" si="18"/>
        <v/>
      </c>
      <c r="X19" s="173" t="str">
        <f t="shared" si="18"/>
        <v/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/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0</v>
      </c>
      <c r="D20" s="360">
        <f t="shared" ref="D20:AG20" si="19">COUNTIF(D6:D15,"off")</f>
        <v>0</v>
      </c>
      <c r="E20" s="360">
        <f t="shared" si="19"/>
        <v>0</v>
      </c>
      <c r="F20" s="360">
        <f t="shared" si="19"/>
        <v>0</v>
      </c>
      <c r="G20" s="360">
        <f t="shared" si="19"/>
        <v>0</v>
      </c>
      <c r="H20" s="360">
        <f t="shared" si="19"/>
        <v>0</v>
      </c>
      <c r="I20" s="360">
        <f t="shared" si="19"/>
        <v>0</v>
      </c>
      <c r="J20" s="360">
        <f t="shared" si="19"/>
        <v>0</v>
      </c>
      <c r="K20" s="360">
        <f t="shared" si="19"/>
        <v>0</v>
      </c>
      <c r="L20" s="360">
        <f t="shared" si="19"/>
        <v>0</v>
      </c>
      <c r="M20" s="360">
        <f t="shared" si="19"/>
        <v>0</v>
      </c>
      <c r="N20" s="360">
        <f t="shared" si="19"/>
        <v>0</v>
      </c>
      <c r="O20" s="360">
        <f t="shared" si="19"/>
        <v>0</v>
      </c>
      <c r="P20" s="360">
        <f t="shared" si="19"/>
        <v>0</v>
      </c>
      <c r="Q20" s="360">
        <f t="shared" si="19"/>
        <v>0</v>
      </c>
      <c r="R20" s="360">
        <f t="shared" si="19"/>
        <v>0</v>
      </c>
      <c r="S20" s="360">
        <f t="shared" si="19"/>
        <v>0</v>
      </c>
      <c r="T20" s="360">
        <f t="shared" si="19"/>
        <v>0</v>
      </c>
      <c r="U20" s="360">
        <f t="shared" si="19"/>
        <v>0</v>
      </c>
      <c r="V20" s="360">
        <f t="shared" si="19"/>
        <v>0</v>
      </c>
      <c r="W20" s="360">
        <f t="shared" si="19"/>
        <v>0</v>
      </c>
      <c r="X20" s="360">
        <f t="shared" si="19"/>
        <v>0</v>
      </c>
      <c r="Y20" s="360">
        <f t="shared" si="19"/>
        <v>0</v>
      </c>
      <c r="Z20" s="360">
        <f t="shared" si="19"/>
        <v>0</v>
      </c>
      <c r="AA20" s="360">
        <f t="shared" si="19"/>
        <v>0</v>
      </c>
      <c r="AB20" s="360">
        <f t="shared" si="19"/>
        <v>0</v>
      </c>
      <c r="AC20" s="360">
        <f t="shared" si="19"/>
        <v>0</v>
      </c>
      <c r="AD20" s="360">
        <f t="shared" si="19"/>
        <v>0</v>
      </c>
      <c r="AE20" s="360">
        <f t="shared" si="19"/>
        <v>0</v>
      </c>
      <c r="AF20" s="360">
        <f>COUNTIF(AF6:AF15,"off")</f>
        <v>0</v>
      </c>
      <c r="AG20" s="360">
        <f t="shared" si="19"/>
        <v>0</v>
      </c>
      <c r="AH20" s="12">
        <f>SUM(C20:AG20)</f>
        <v>0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0</v>
      </c>
      <c r="D21" s="360">
        <f t="shared" ref="D21:AG21" si="20">COUNTIF(D6:D15,"D")+COUNTIF(D6:D15,"NrsD")</f>
        <v>0</v>
      </c>
      <c r="E21" s="360">
        <f t="shared" si="20"/>
        <v>0</v>
      </c>
      <c r="F21" s="360">
        <f t="shared" si="20"/>
        <v>0</v>
      </c>
      <c r="G21" s="360">
        <f t="shared" si="20"/>
        <v>0</v>
      </c>
      <c r="H21" s="360">
        <f t="shared" si="20"/>
        <v>0</v>
      </c>
      <c r="I21" s="360">
        <f t="shared" si="20"/>
        <v>0</v>
      </c>
      <c r="J21" s="360">
        <f t="shared" si="20"/>
        <v>0</v>
      </c>
      <c r="K21" s="360">
        <f t="shared" si="20"/>
        <v>0</v>
      </c>
      <c r="L21" s="360">
        <f t="shared" si="20"/>
        <v>0</v>
      </c>
      <c r="M21" s="360">
        <f t="shared" si="20"/>
        <v>0</v>
      </c>
      <c r="N21" s="360">
        <f t="shared" si="20"/>
        <v>0</v>
      </c>
      <c r="O21" s="360">
        <f t="shared" si="20"/>
        <v>0</v>
      </c>
      <c r="P21" s="360">
        <f t="shared" si="20"/>
        <v>0</v>
      </c>
      <c r="Q21" s="360">
        <f t="shared" si="20"/>
        <v>0</v>
      </c>
      <c r="R21" s="360">
        <f t="shared" si="20"/>
        <v>0</v>
      </c>
      <c r="S21" s="360">
        <f t="shared" si="20"/>
        <v>0</v>
      </c>
      <c r="T21" s="360">
        <f t="shared" si="20"/>
        <v>0</v>
      </c>
      <c r="U21" s="360">
        <f t="shared" si="20"/>
        <v>0</v>
      </c>
      <c r="V21" s="360">
        <f t="shared" si="20"/>
        <v>0</v>
      </c>
      <c r="W21" s="360">
        <f t="shared" si="20"/>
        <v>0</v>
      </c>
      <c r="X21" s="360">
        <f t="shared" si="20"/>
        <v>0</v>
      </c>
      <c r="Y21" s="360">
        <f t="shared" si="20"/>
        <v>0</v>
      </c>
      <c r="Z21" s="360">
        <f t="shared" si="20"/>
        <v>0</v>
      </c>
      <c r="AA21" s="360">
        <f t="shared" si="20"/>
        <v>0</v>
      </c>
      <c r="AB21" s="360">
        <f t="shared" si="20"/>
        <v>0</v>
      </c>
      <c r="AC21" s="360">
        <f t="shared" si="20"/>
        <v>0</v>
      </c>
      <c r="AD21" s="360">
        <f t="shared" si="20"/>
        <v>0</v>
      </c>
      <c r="AE21" s="360">
        <f t="shared" si="20"/>
        <v>0</v>
      </c>
      <c r="AF21" s="360">
        <f t="shared" si="20"/>
        <v>0</v>
      </c>
      <c r="AG21" s="360">
        <f t="shared" si="20"/>
        <v>0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0</v>
      </c>
      <c r="D22" s="360">
        <f t="shared" ref="D22:AG22" si="21">COUNTIF(D6:D15,"N")</f>
        <v>0</v>
      </c>
      <c r="E22" s="360">
        <f t="shared" si="21"/>
        <v>0</v>
      </c>
      <c r="F22" s="360">
        <f t="shared" si="21"/>
        <v>0</v>
      </c>
      <c r="G22" s="360">
        <f t="shared" si="21"/>
        <v>0</v>
      </c>
      <c r="H22" s="360">
        <f t="shared" si="21"/>
        <v>0</v>
      </c>
      <c r="I22" s="360">
        <f t="shared" si="21"/>
        <v>0</v>
      </c>
      <c r="J22" s="360">
        <f t="shared" si="21"/>
        <v>0</v>
      </c>
      <c r="K22" s="360">
        <f t="shared" si="21"/>
        <v>0</v>
      </c>
      <c r="L22" s="360">
        <f t="shared" si="21"/>
        <v>0</v>
      </c>
      <c r="M22" s="360">
        <f t="shared" si="21"/>
        <v>0</v>
      </c>
      <c r="N22" s="360">
        <f t="shared" si="21"/>
        <v>0</v>
      </c>
      <c r="O22" s="360">
        <f t="shared" si="21"/>
        <v>0</v>
      </c>
      <c r="P22" s="360">
        <f t="shared" si="21"/>
        <v>0</v>
      </c>
      <c r="Q22" s="360">
        <f t="shared" si="21"/>
        <v>0</v>
      </c>
      <c r="R22" s="360">
        <f t="shared" si="21"/>
        <v>0</v>
      </c>
      <c r="S22" s="360">
        <f t="shared" si="21"/>
        <v>0</v>
      </c>
      <c r="T22" s="360">
        <f t="shared" si="21"/>
        <v>0</v>
      </c>
      <c r="U22" s="360">
        <f t="shared" si="21"/>
        <v>0</v>
      </c>
      <c r="V22" s="360">
        <f t="shared" si="21"/>
        <v>0</v>
      </c>
      <c r="W22" s="360">
        <f t="shared" si="21"/>
        <v>0</v>
      </c>
      <c r="X22" s="360">
        <f t="shared" si="21"/>
        <v>0</v>
      </c>
      <c r="Y22" s="360">
        <f t="shared" si="21"/>
        <v>0</v>
      </c>
      <c r="Z22" s="360">
        <f t="shared" si="21"/>
        <v>0</v>
      </c>
      <c r="AA22" s="360">
        <f t="shared" si="21"/>
        <v>0</v>
      </c>
      <c r="AB22" s="360">
        <f t="shared" si="21"/>
        <v>0</v>
      </c>
      <c r="AC22" s="360">
        <f t="shared" si="21"/>
        <v>0</v>
      </c>
      <c r="AD22" s="360">
        <f t="shared" si="21"/>
        <v>0</v>
      </c>
      <c r="AE22" s="360">
        <f t="shared" si="21"/>
        <v>0</v>
      </c>
      <c r="AF22" s="360">
        <f t="shared" si="21"/>
        <v>0</v>
      </c>
      <c r="AG22" s="360">
        <f t="shared" si="21"/>
        <v>0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459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378" t="s">
        <v>492</v>
      </c>
      <c r="B26" s="379"/>
      <c r="C26" s="379"/>
      <c r="D26" s="379"/>
      <c r="E26" s="379"/>
      <c r="F26" s="379"/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63"/>
      <c r="Q28" s="363"/>
      <c r="R28" s="363"/>
      <c r="S28" s="363"/>
      <c r="T28" s="363"/>
      <c r="U28" s="363"/>
      <c r="V28" s="363"/>
      <c r="W28" s="363"/>
      <c r="X28" s="363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46204</v>
      </c>
      <c r="D29" s="30">
        <f t="shared" ref="D29:AC29" si="22">C29+1</f>
        <v>46205</v>
      </c>
      <c r="E29" s="30">
        <f t="shared" si="22"/>
        <v>46206</v>
      </c>
      <c r="F29" s="30">
        <f t="shared" si="22"/>
        <v>46207</v>
      </c>
      <c r="G29" s="30">
        <f t="shared" si="22"/>
        <v>46208</v>
      </c>
      <c r="H29" s="30">
        <f t="shared" si="22"/>
        <v>46209</v>
      </c>
      <c r="I29" s="30">
        <f t="shared" si="22"/>
        <v>46210</v>
      </c>
      <c r="J29" s="30">
        <f t="shared" si="22"/>
        <v>46211</v>
      </c>
      <c r="K29" s="30">
        <f t="shared" si="22"/>
        <v>46212</v>
      </c>
      <c r="L29" s="30">
        <f t="shared" si="22"/>
        <v>46213</v>
      </c>
      <c r="M29" s="30">
        <f t="shared" si="22"/>
        <v>46214</v>
      </c>
      <c r="N29" s="30">
        <f t="shared" si="22"/>
        <v>46215</v>
      </c>
      <c r="O29" s="30">
        <f t="shared" si="22"/>
        <v>46216</v>
      </c>
      <c r="P29" s="30">
        <f t="shared" si="22"/>
        <v>46217</v>
      </c>
      <c r="Q29" s="30">
        <f t="shared" si="22"/>
        <v>46218</v>
      </c>
      <c r="R29" s="30">
        <f t="shared" si="22"/>
        <v>46219</v>
      </c>
      <c r="S29" s="30">
        <f t="shared" si="22"/>
        <v>46220</v>
      </c>
      <c r="T29" s="30">
        <f t="shared" si="22"/>
        <v>46221</v>
      </c>
      <c r="U29" s="30">
        <f t="shared" si="22"/>
        <v>46222</v>
      </c>
      <c r="V29" s="30">
        <f t="shared" si="22"/>
        <v>46223</v>
      </c>
      <c r="W29" s="30">
        <f t="shared" si="22"/>
        <v>46224</v>
      </c>
      <c r="X29" s="30">
        <f t="shared" si="22"/>
        <v>46225</v>
      </c>
      <c r="Y29" s="30">
        <f t="shared" si="22"/>
        <v>46226</v>
      </c>
      <c r="Z29" s="30">
        <f t="shared" si="22"/>
        <v>46227</v>
      </c>
      <c r="AA29" s="30">
        <f t="shared" si="22"/>
        <v>46228</v>
      </c>
      <c r="AB29" s="30">
        <f t="shared" si="22"/>
        <v>46229</v>
      </c>
      <c r="AC29" s="30">
        <f t="shared" si="22"/>
        <v>46230</v>
      </c>
      <c r="AD29" s="30">
        <f>IFERROR(IF(MONTH(AC29+1)=$J$2,AC29+1,""),"")</f>
        <v>46231</v>
      </c>
      <c r="AE29" s="30">
        <f>IFERROR(IF(MONTH(AD29+1)=$J$2,AD29+1,""),"")</f>
        <v>46232</v>
      </c>
      <c r="AF29" s="30">
        <f>IFERROR(IF(MONTH(AE29+1)=$J$2,AE29+1,""),"")</f>
        <v>46233</v>
      </c>
      <c r="AG29" s="30">
        <f>IFERROR(IF(MONTH(AF29+1)=$J$2,AF29+1,""),"")</f>
        <v>46234</v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3</v>
      </c>
      <c r="D30" s="31">
        <f>IFERROR(IF(WEEKDAY(D29,2)=7,"日",WEEKDAY(D29,2)),"")</f>
        <v>4</v>
      </c>
      <c r="E30" s="31">
        <f t="shared" ref="E30:AG30" si="23">IFERROR(IF(WEEKDAY(E29,2)=7,"日",WEEKDAY(E29,2)),"")</f>
        <v>5</v>
      </c>
      <c r="F30" s="31">
        <f t="shared" si="23"/>
        <v>6</v>
      </c>
      <c r="G30" s="31" t="str">
        <f t="shared" si="23"/>
        <v>日</v>
      </c>
      <c r="H30" s="31">
        <f t="shared" si="23"/>
        <v>1</v>
      </c>
      <c r="I30" s="31">
        <f t="shared" si="23"/>
        <v>2</v>
      </c>
      <c r="J30" s="31">
        <f t="shared" si="23"/>
        <v>3</v>
      </c>
      <c r="K30" s="31">
        <f t="shared" si="23"/>
        <v>4</v>
      </c>
      <c r="L30" s="31">
        <f t="shared" si="23"/>
        <v>5</v>
      </c>
      <c r="M30" s="31">
        <f t="shared" si="23"/>
        <v>6</v>
      </c>
      <c r="N30" s="31" t="str">
        <f t="shared" si="23"/>
        <v>日</v>
      </c>
      <c r="O30" s="31">
        <f t="shared" si="23"/>
        <v>1</v>
      </c>
      <c r="P30" s="31">
        <f t="shared" si="23"/>
        <v>2</v>
      </c>
      <c r="Q30" s="31">
        <f t="shared" si="23"/>
        <v>3</v>
      </c>
      <c r="R30" s="31">
        <f t="shared" si="23"/>
        <v>4</v>
      </c>
      <c r="S30" s="31">
        <f t="shared" si="23"/>
        <v>5</v>
      </c>
      <c r="T30" s="31">
        <f t="shared" si="23"/>
        <v>6</v>
      </c>
      <c r="U30" s="31" t="str">
        <f t="shared" si="23"/>
        <v>日</v>
      </c>
      <c r="V30" s="31">
        <f t="shared" si="23"/>
        <v>1</v>
      </c>
      <c r="W30" s="31">
        <f t="shared" si="23"/>
        <v>2</v>
      </c>
      <c r="X30" s="31">
        <f t="shared" si="23"/>
        <v>3</v>
      </c>
      <c r="Y30" s="31">
        <f t="shared" si="23"/>
        <v>4</v>
      </c>
      <c r="Z30" s="31">
        <f t="shared" si="23"/>
        <v>5</v>
      </c>
      <c r="AA30" s="31">
        <f t="shared" si="23"/>
        <v>6</v>
      </c>
      <c r="AB30" s="31" t="str">
        <f t="shared" si="23"/>
        <v>日</v>
      </c>
      <c r="AC30" s="31">
        <f t="shared" si="23"/>
        <v>1</v>
      </c>
      <c r="AD30" s="31">
        <f t="shared" si="23"/>
        <v>2</v>
      </c>
      <c r="AE30" s="31">
        <f t="shared" si="23"/>
        <v>3</v>
      </c>
      <c r="AF30" s="31">
        <f t="shared" si="23"/>
        <v>4</v>
      </c>
      <c r="AG30" s="31">
        <f t="shared" si="23"/>
        <v>5</v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">
        <f>(AI31*12)+(AJ31*12)+(AL31*8)+(AM31*4)</f>
        <v>232</v>
      </c>
      <c r="AI31" s="3">
        <f t="shared" ref="AI31:AI40" si="24">COUNTIF(C31:AG31,"D")</f>
        <v>0</v>
      </c>
      <c r="AJ31" s="3">
        <f t="shared" ref="AJ31:AJ40" si="25">COUNTIF(C31:AG31,"N")</f>
        <v>0</v>
      </c>
      <c r="AK31" s="3">
        <f t="shared" ref="AK31:AK40" si="26">COUNTIF(C31:AG31,"OFF")+COUNTIF(C31:AG31,"上課")</f>
        <v>0</v>
      </c>
      <c r="AL31" s="3">
        <f t="shared" ref="AL31:AL40" si="27">COUNTIF(C31:AG31,"")-AM31+COUNTIF(C31:AG31,"h3")</f>
        <v>27</v>
      </c>
      <c r="AM31" s="3">
        <f t="shared" ref="AM31:AM40" si="28">COUNTIFS($C$5:$AG$5,"6",C31:AG31,"")+COUNTIF(C31:AG31,"h3")</f>
        <v>4</v>
      </c>
      <c r="AN31" s="3">
        <f t="array" ref="AN31">SUMPRODUCT(($C$5:$AG$5=6)*(C31:AG31="off"))</f>
        <v>0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">
        <f>(AI32*12)+(AJ32*12)+(AL32*8)+(AM32*4)</f>
        <v>232</v>
      </c>
      <c r="AI32" s="3">
        <f t="shared" si="24"/>
        <v>0</v>
      </c>
      <c r="AJ32" s="3">
        <f t="shared" si="25"/>
        <v>0</v>
      </c>
      <c r="AK32" s="3">
        <f t="shared" si="26"/>
        <v>0</v>
      </c>
      <c r="AL32" s="3">
        <f t="shared" si="27"/>
        <v>27</v>
      </c>
      <c r="AM32" s="3">
        <f t="shared" si="28"/>
        <v>4</v>
      </c>
      <c r="AN32" s="3">
        <f t="array" ref="AN32">SUMPRODUCT(($C$5:$AG$5=6)*(C32:AG32="off"))</f>
        <v>0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 t="s">
        <v>2</v>
      </c>
      <c r="P33" s="33" t="s">
        <v>2</v>
      </c>
      <c r="Q33" s="33" t="s">
        <v>2</v>
      </c>
      <c r="R33" s="33" t="s">
        <v>2</v>
      </c>
      <c r="S33" s="33" t="s">
        <v>2</v>
      </c>
      <c r="T33" s="33" t="s">
        <v>2</v>
      </c>
      <c r="U33" s="33" t="s">
        <v>2</v>
      </c>
      <c r="V33" s="33" t="s">
        <v>2</v>
      </c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">
        <f>(AI33*12)+(AJ33*12)+(AL33*8)+(AM33*4)</f>
        <v>172</v>
      </c>
      <c r="AI33" s="3">
        <f t="shared" si="24"/>
        <v>0</v>
      </c>
      <c r="AJ33" s="3">
        <f t="shared" si="25"/>
        <v>0</v>
      </c>
      <c r="AK33" s="3">
        <f t="shared" si="26"/>
        <v>8</v>
      </c>
      <c r="AL33" s="3">
        <f t="shared" si="27"/>
        <v>20</v>
      </c>
      <c r="AM33" s="3">
        <f t="shared" si="28"/>
        <v>3</v>
      </c>
      <c r="AN33" s="3">
        <f t="array" ref="AN33">SUMPRODUCT(($C$5:$AG$5=6)*(C33:AG33="off"))</f>
        <v>1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232</v>
      </c>
      <c r="AI34" s="3">
        <f t="shared" si="24"/>
        <v>0</v>
      </c>
      <c r="AJ34" s="3">
        <f t="shared" si="25"/>
        <v>0</v>
      </c>
      <c r="AK34" s="3">
        <f t="shared" si="26"/>
        <v>0</v>
      </c>
      <c r="AL34" s="3">
        <f t="shared" si="27"/>
        <v>27</v>
      </c>
      <c r="AM34" s="3">
        <f t="shared" si="28"/>
        <v>4</v>
      </c>
      <c r="AN34" s="3">
        <f t="array" ref="AN34">SUMPRODUCT(($C$5:$AG$5=6)*(C34:AG34="off"))</f>
        <v>0</v>
      </c>
      <c r="AO34" s="3"/>
      <c r="AP34" s="3"/>
      <c r="AQ34" s="12"/>
      <c r="AR34" s="12"/>
      <c r="AS34" s="12"/>
      <c r="AT34" s="12"/>
      <c r="AU34" s="12"/>
    </row>
    <row r="35" spans="1:47" ht="20.25" hidden="1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232</v>
      </c>
      <c r="AI35" s="3">
        <f t="shared" si="24"/>
        <v>0</v>
      </c>
      <c r="AJ35" s="3">
        <f t="shared" si="25"/>
        <v>0</v>
      </c>
      <c r="AK35" s="3">
        <f t="shared" si="26"/>
        <v>0</v>
      </c>
      <c r="AL35" s="3">
        <f t="shared" si="27"/>
        <v>27</v>
      </c>
      <c r="AM35" s="3">
        <f t="shared" si="28"/>
        <v>4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hidden="1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232</v>
      </c>
      <c r="AI36" s="3">
        <f t="shared" si="24"/>
        <v>0</v>
      </c>
      <c r="AJ36" s="3">
        <f t="shared" si="25"/>
        <v>0</v>
      </c>
      <c r="AK36" s="3">
        <f t="shared" si="26"/>
        <v>0</v>
      </c>
      <c r="AL36" s="3">
        <f t="shared" si="27"/>
        <v>27</v>
      </c>
      <c r="AM36" s="3">
        <f t="shared" si="28"/>
        <v>4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 t="s">
        <v>2</v>
      </c>
      <c r="AD37" s="33" t="s">
        <v>2</v>
      </c>
      <c r="AE37" s="33" t="s">
        <v>2</v>
      </c>
      <c r="AF37" s="33" t="s">
        <v>2</v>
      </c>
      <c r="AG37" s="33" t="s">
        <v>2</v>
      </c>
      <c r="AH37" s="3">
        <f t="shared" si="29"/>
        <v>192</v>
      </c>
      <c r="AI37" s="3">
        <f t="shared" si="24"/>
        <v>0</v>
      </c>
      <c r="AJ37" s="3">
        <f t="shared" si="25"/>
        <v>0</v>
      </c>
      <c r="AK37" s="3">
        <f t="shared" si="26"/>
        <v>5</v>
      </c>
      <c r="AL37" s="3">
        <f t="shared" si="27"/>
        <v>22</v>
      </c>
      <c r="AM37" s="3">
        <f t="shared" si="28"/>
        <v>4</v>
      </c>
      <c r="AN37" s="3">
        <f t="array" ref="AN37">SUMPRODUCT(($C$5:$AG$5=6)*(C37:AG37="off"))</f>
        <v>0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 t="s">
        <v>2</v>
      </c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">
        <f t="shared" si="29"/>
        <v>224</v>
      </c>
      <c r="AI38" s="3">
        <f t="shared" si="24"/>
        <v>0</v>
      </c>
      <c r="AJ38" s="3">
        <f t="shared" si="25"/>
        <v>0</v>
      </c>
      <c r="AK38" s="3">
        <f t="shared" si="26"/>
        <v>1</v>
      </c>
      <c r="AL38" s="3">
        <f t="shared" si="27"/>
        <v>26</v>
      </c>
      <c r="AM38" s="3">
        <f t="shared" si="28"/>
        <v>4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hidden="1" customHeight="1">
      <c r="A39" s="6" t="s">
        <v>382</v>
      </c>
      <c r="B39" s="6" t="s">
        <v>319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">
        <f t="shared" si="29"/>
        <v>232</v>
      </c>
      <c r="AI39" s="3">
        <f t="shared" si="24"/>
        <v>0</v>
      </c>
      <c r="AJ39" s="3">
        <f t="shared" si="25"/>
        <v>0</v>
      </c>
      <c r="AK39" s="3">
        <f t="shared" si="26"/>
        <v>0</v>
      </c>
      <c r="AL39" s="3">
        <f t="shared" si="27"/>
        <v>27</v>
      </c>
      <c r="AM39" s="3">
        <f t="shared" si="28"/>
        <v>4</v>
      </c>
      <c r="AN39" s="3">
        <f t="array" ref="AN39">SUMPRODUCT(($C$5:$AG$5=6)*(C39:AG39="off"))</f>
        <v>0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 t="s">
        <v>2</v>
      </c>
      <c r="P40" s="33" t="s">
        <v>2</v>
      </c>
      <c r="Q40" s="33" t="s">
        <v>2</v>
      </c>
      <c r="R40" s="33" t="s">
        <v>2</v>
      </c>
      <c r="S40" s="33" t="s">
        <v>2</v>
      </c>
      <c r="T40" s="33" t="s">
        <v>2</v>
      </c>
      <c r="U40" s="33" t="s">
        <v>2</v>
      </c>
      <c r="V40" s="33" t="s">
        <v>2</v>
      </c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">
        <f t="shared" si="29"/>
        <v>172</v>
      </c>
      <c r="AI40" s="3">
        <f t="shared" si="24"/>
        <v>0</v>
      </c>
      <c r="AJ40" s="3">
        <f t="shared" si="25"/>
        <v>0</v>
      </c>
      <c r="AK40" s="3">
        <f t="shared" si="26"/>
        <v>8</v>
      </c>
      <c r="AL40" s="3">
        <f t="shared" si="27"/>
        <v>20</v>
      </c>
      <c r="AM40" s="3">
        <f t="shared" si="28"/>
        <v>3</v>
      </c>
      <c r="AN40" s="3">
        <f t="array" ref="AN40">SUMPRODUCT(($C$5:$AG$5=6)*(C40:AG40="off"))</f>
        <v>1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440</v>
      </c>
      <c r="B41" s="6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 t="s">
        <v>2</v>
      </c>
      <c r="AB41" s="33" t="s">
        <v>2</v>
      </c>
      <c r="AC41" s="33" t="s">
        <v>2</v>
      </c>
      <c r="AD41" s="33" t="s">
        <v>2</v>
      </c>
      <c r="AE41" s="33" t="s">
        <v>2</v>
      </c>
      <c r="AF41" s="33" t="s">
        <v>2</v>
      </c>
      <c r="AG41" s="33" t="s">
        <v>2</v>
      </c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hidden="1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4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4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4</v>
      </c>
      <c r="F43" s="172">
        <f t="shared" si="30"/>
        <v>4</v>
      </c>
      <c r="G43" s="172">
        <f t="shared" si="30"/>
        <v>6</v>
      </c>
      <c r="H43" s="172">
        <f t="shared" si="30"/>
        <v>4</v>
      </c>
      <c r="I43" s="172">
        <f t="shared" si="30"/>
        <v>4</v>
      </c>
      <c r="J43" s="172">
        <f t="shared" si="30"/>
        <v>4</v>
      </c>
      <c r="K43" s="172">
        <f t="shared" si="30"/>
        <v>4</v>
      </c>
      <c r="L43" s="172">
        <f t="shared" si="30"/>
        <v>4</v>
      </c>
      <c r="M43" s="172">
        <f t="shared" si="30"/>
        <v>4</v>
      </c>
      <c r="N43" s="172">
        <f t="shared" si="30"/>
        <v>6</v>
      </c>
      <c r="O43" s="172">
        <f t="shared" si="30"/>
        <v>4</v>
      </c>
      <c r="P43" s="172">
        <f t="shared" si="30"/>
        <v>4</v>
      </c>
      <c r="Q43" s="172">
        <f t="shared" si="30"/>
        <v>4</v>
      </c>
      <c r="R43" s="172">
        <f t="shared" si="30"/>
        <v>4</v>
      </c>
      <c r="S43" s="172">
        <f t="shared" si="30"/>
        <v>4</v>
      </c>
      <c r="T43" s="172">
        <f t="shared" si="30"/>
        <v>4</v>
      </c>
      <c r="U43" s="172">
        <f t="shared" si="30"/>
        <v>6</v>
      </c>
      <c r="V43" s="172">
        <f t="shared" si="30"/>
        <v>4</v>
      </c>
      <c r="W43" s="172">
        <f t="shared" si="30"/>
        <v>4</v>
      </c>
      <c r="X43" s="172">
        <f t="shared" si="30"/>
        <v>4</v>
      </c>
      <c r="Y43" s="172">
        <f t="shared" si="30"/>
        <v>4</v>
      </c>
      <c r="Z43" s="172">
        <f t="shared" si="30"/>
        <v>4</v>
      </c>
      <c r="AA43" s="172">
        <f t="shared" si="30"/>
        <v>4</v>
      </c>
      <c r="AB43" s="172">
        <f t="shared" si="30"/>
        <v>6</v>
      </c>
      <c r="AC43" s="172">
        <f t="shared" si="30"/>
        <v>4</v>
      </c>
      <c r="AD43" s="172">
        <f t="shared" si="30"/>
        <v>4</v>
      </c>
      <c r="AE43" s="172">
        <f t="shared" si="30"/>
        <v>4</v>
      </c>
      <c r="AF43" s="172">
        <f t="shared" si="30"/>
        <v>4</v>
      </c>
      <c r="AG43" s="172">
        <f t="shared" si="30"/>
        <v>4</v>
      </c>
      <c r="AH43" s="3" t="s">
        <v>391</v>
      </c>
      <c r="AI43" s="3">
        <f>SUM(AI31:AI40)</f>
        <v>0</v>
      </c>
      <c r="AJ43" s="3">
        <f>SUM(AJ31:AJ40)</f>
        <v>0</v>
      </c>
      <c r="AK43" s="3">
        <f>SUM(AK31:AK40)</f>
        <v>22</v>
      </c>
      <c r="AL43" s="3">
        <f>SUM(AL31:AL40)</f>
        <v>250</v>
      </c>
      <c r="AM43" s="3">
        <f>SUM(AM31:AM40)-SUM(AM35:AM36)-SUM(AM41:AM42)</f>
        <v>30</v>
      </c>
      <c r="AN43" s="3">
        <f>SUM(AN31:AN40)</f>
        <v>2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 t="s">
        <v>250</v>
      </c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0</v>
      </c>
      <c r="D45" s="360">
        <f>COUNTIF(D31:D40,"off")</f>
        <v>0</v>
      </c>
      <c r="E45" s="360">
        <f t="shared" ref="E45:AG45" si="31">COUNTIF(E31:E40,"off")</f>
        <v>0</v>
      </c>
      <c r="F45" s="360">
        <f t="shared" si="31"/>
        <v>0</v>
      </c>
      <c r="G45" s="360">
        <f t="shared" si="31"/>
        <v>0</v>
      </c>
      <c r="H45" s="360">
        <f t="shared" si="31"/>
        <v>0</v>
      </c>
      <c r="I45" s="360">
        <f t="shared" si="31"/>
        <v>0</v>
      </c>
      <c r="J45" s="360">
        <f t="shared" si="31"/>
        <v>0</v>
      </c>
      <c r="K45" s="360">
        <f t="shared" si="31"/>
        <v>0</v>
      </c>
      <c r="L45" s="360">
        <f t="shared" si="31"/>
        <v>0</v>
      </c>
      <c r="M45" s="360">
        <f t="shared" si="31"/>
        <v>0</v>
      </c>
      <c r="N45" s="360">
        <f t="shared" si="31"/>
        <v>0</v>
      </c>
      <c r="O45" s="360">
        <f t="shared" si="31"/>
        <v>2</v>
      </c>
      <c r="P45" s="360">
        <f t="shared" si="31"/>
        <v>3</v>
      </c>
      <c r="Q45" s="360">
        <f t="shared" si="31"/>
        <v>2</v>
      </c>
      <c r="R45" s="360">
        <f t="shared" si="31"/>
        <v>2</v>
      </c>
      <c r="S45" s="360">
        <f t="shared" si="31"/>
        <v>2</v>
      </c>
      <c r="T45" s="360">
        <f t="shared" si="31"/>
        <v>2</v>
      </c>
      <c r="U45" s="360">
        <f t="shared" si="31"/>
        <v>2</v>
      </c>
      <c r="V45" s="360">
        <f t="shared" si="31"/>
        <v>2</v>
      </c>
      <c r="W45" s="360">
        <f t="shared" si="31"/>
        <v>0</v>
      </c>
      <c r="X45" s="360">
        <f t="shared" si="31"/>
        <v>0</v>
      </c>
      <c r="Y45" s="360">
        <f t="shared" si="31"/>
        <v>0</v>
      </c>
      <c r="Z45" s="360">
        <f t="shared" si="31"/>
        <v>0</v>
      </c>
      <c r="AA45" s="360">
        <f t="shared" si="31"/>
        <v>0</v>
      </c>
      <c r="AB45" s="360">
        <f t="shared" si="31"/>
        <v>0</v>
      </c>
      <c r="AC45" s="360">
        <f t="shared" si="31"/>
        <v>1</v>
      </c>
      <c r="AD45" s="360">
        <f t="shared" si="31"/>
        <v>1</v>
      </c>
      <c r="AE45" s="360">
        <f t="shared" si="31"/>
        <v>1</v>
      </c>
      <c r="AF45" s="360">
        <f t="shared" si="31"/>
        <v>1</v>
      </c>
      <c r="AG45" s="360">
        <f t="shared" si="31"/>
        <v>1</v>
      </c>
    </row>
  </sheetData>
  <protectedRanges>
    <protectedRange password="CC6F" sqref="C4:AG5 D1:P2 A29:AG30 AH31:AN43 AR6:AU6 BB4:BC4 BB2:BH2 AR7:AR16 AS7:AU17 C18:AG18 C43:AG43 AH6:AN18" name="範圍1_24_24_24_24_24_24_24"/>
  </protectedRanges>
  <mergeCells count="17">
    <mergeCell ref="AH5:AM5"/>
    <mergeCell ref="A26:T26"/>
    <mergeCell ref="A1:C2"/>
    <mergeCell ref="D1:E1"/>
    <mergeCell ref="G1:H1"/>
    <mergeCell ref="J1:K1"/>
    <mergeCell ref="T1:W2"/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</mergeCells>
  <phoneticPr fontId="11" type="noConversion"/>
  <conditionalFormatting sqref="AH4">
    <cfRule type="expression" dxfId="139" priority="12" stopIfTrue="1">
      <formula>WEEKDAY(AH$4)=7</formula>
    </cfRule>
    <cfRule type="expression" dxfId="138" priority="13" stopIfTrue="1">
      <formula>WEEKDAY(AH$4)=1</formula>
    </cfRule>
    <cfRule type="expression" dxfId="137" priority="14" stopIfTrue="1">
      <formula>WEEKDAY(AH$4)=7</formula>
    </cfRule>
    <cfRule type="expression" dxfId="136" priority="15" stopIfTrue="1">
      <formula>WEEKDAY(AH$4)=1</formula>
    </cfRule>
  </conditionalFormatting>
  <conditionalFormatting sqref="C43:AG43">
    <cfRule type="expression" dxfId="135" priority="16" stopIfTrue="1">
      <formula>(COUNTIF(C$31:C$42,"off")+COUNTIF(C$31:C$42,"護"))&lt;&gt;C$43</formula>
    </cfRule>
  </conditionalFormatting>
  <conditionalFormatting sqref="C4:AG6 C7:AF7 C8:AG17">
    <cfRule type="expression" dxfId="134" priority="10" stopIfTrue="1">
      <formula>WEEKDAY(C$4,2)=6</formula>
    </cfRule>
    <cfRule type="expression" dxfId="133" priority="11" stopIfTrue="1">
      <formula>WEEKDAY(C$4,2)=7</formula>
    </cfRule>
  </conditionalFormatting>
  <conditionalFormatting sqref="CD5">
    <cfRule type="expression" dxfId="132" priority="8" stopIfTrue="1">
      <formula>COUNTIF(#REF!,"D")&lt;&gt;$BV4</formula>
    </cfRule>
  </conditionalFormatting>
  <conditionalFormatting sqref="CF5">
    <cfRule type="expression" dxfId="131" priority="9" stopIfTrue="1">
      <formula>COUNTIF(#REF!,"N")&lt;&gt;#REF!</formula>
    </cfRule>
  </conditionalFormatting>
  <conditionalFormatting sqref="CF14">
    <cfRule type="expression" dxfId="130" priority="17" stopIfTrue="1">
      <formula>COUNTIF($C9:$AH9,"N")&lt;&gt;#REF!</formula>
    </cfRule>
  </conditionalFormatting>
  <conditionalFormatting sqref="CF15">
    <cfRule type="expression" dxfId="129" priority="18" stopIfTrue="1">
      <formula>COUNTIF($C9:$AH9,"N")&lt;&gt;#REF!</formula>
    </cfRule>
  </conditionalFormatting>
  <conditionalFormatting sqref="CD6:CD9">
    <cfRule type="expression" dxfId="128" priority="19" stopIfTrue="1">
      <formula>COUNTIF($C2:$AG2,"D")&lt;&gt;$BV5</formula>
    </cfRule>
  </conditionalFormatting>
  <conditionalFormatting sqref="CF12:CF15">
    <cfRule type="expression" dxfId="127" priority="20" stopIfTrue="1">
      <formula>COUNTIF($C8:$AH8,"N")&lt;&gt;#REF!</formula>
    </cfRule>
  </conditionalFormatting>
  <conditionalFormatting sqref="CD12:CD15">
    <cfRule type="expression" dxfId="126" priority="21" stopIfTrue="1">
      <formula>COUNTIF($C8:$AH8,"D")&lt;&gt;$BV11</formula>
    </cfRule>
  </conditionalFormatting>
  <conditionalFormatting sqref="CF6:CF9">
    <cfRule type="expression" dxfId="125" priority="22" stopIfTrue="1">
      <formula>COUNTIF($C2:$AG2,"N")&lt;&gt;#REF!</formula>
    </cfRule>
  </conditionalFormatting>
  <conditionalFormatting sqref="CF11">
    <cfRule type="expression" dxfId="124" priority="23" stopIfTrue="1">
      <formula>COUNTIF($D7:$AH7,"N")&lt;&gt;#REF!</formula>
    </cfRule>
  </conditionalFormatting>
  <conditionalFormatting sqref="CD11">
    <cfRule type="expression" dxfId="123" priority="24" stopIfTrue="1">
      <formula>COUNTIF($D7:$AH7,"D")&lt;&gt;$BV10</formula>
    </cfRule>
  </conditionalFormatting>
  <conditionalFormatting sqref="AH29">
    <cfRule type="expression" dxfId="122" priority="4" stopIfTrue="1">
      <formula>WEEKDAY(AH$4)=7</formula>
    </cfRule>
    <cfRule type="expression" dxfId="121" priority="5" stopIfTrue="1">
      <formula>WEEKDAY(AH$4)=1</formula>
    </cfRule>
    <cfRule type="expression" dxfId="120" priority="6" stopIfTrue="1">
      <formula>WEEKDAY(AH$4)=7</formula>
    </cfRule>
    <cfRule type="expression" dxfId="119" priority="7" stopIfTrue="1">
      <formula>WEEKDAY(AH$4)=1</formula>
    </cfRule>
  </conditionalFormatting>
  <conditionalFormatting sqref="C29:AG42">
    <cfRule type="expression" dxfId="118" priority="2" stopIfTrue="1">
      <formula>WEEKDAY(C$4,2)=6</formula>
    </cfRule>
    <cfRule type="expression" dxfId="117" priority="3" stopIfTrue="1">
      <formula>WEEKDAY(C$4,2)=7</formula>
    </cfRule>
  </conditionalFormatting>
  <conditionalFormatting sqref="C18:AG18">
    <cfRule type="expression" dxfId="116" priority="1" stopIfTrue="1">
      <formula>(COUNTIF(C$6:C$17,"off")+COUNTIF(C$6:C$17,"護"))&lt;&gt;C$18</formula>
    </cfRule>
  </conditionalFormatting>
  <conditionalFormatting sqref="AG7">
    <cfRule type="expression" dxfId="115" priority="25" stopIfTrue="1">
      <formula>WEEKDAY(AF$4,2)=6</formula>
    </cfRule>
    <cfRule type="expression" dxfId="114" priority="26" stopIfTrue="1">
      <formula>WEEKDAY(AF$4,2)=7</formula>
    </cfRule>
  </conditionalFormatting>
  <dataValidations count="6">
    <dataValidation type="list" allowBlank="1" sqref="C6:AG15" xr:uid="{C6E2B0CF-CC62-405D-B8C8-0821F4332C02}">
      <formula1>$AI$3:$AM$3</formula1>
    </dataValidation>
    <dataValidation type="list" allowBlank="1" sqref="C16:AG16" xr:uid="{B395A08F-4CB6-453C-B892-315EE0C476CE}">
      <formula1>$AI$4:$AK$4</formula1>
    </dataValidation>
    <dataValidation type="list" allowBlank="1" showInputMessage="1" sqref="C17:AG17 C42:AG42" xr:uid="{4489D9E2-37A2-49ED-AA61-1584369ADF4B}">
      <formula1>$AI$19:$AI$31</formula1>
    </dataValidation>
    <dataValidation type="list" allowBlank="1" showInputMessage="1" sqref="A43:A44 A18:A19" xr:uid="{80F2E09C-28C3-4679-A112-A2D4232DA792}">
      <formula1>$CM$11:$CN$11</formula1>
    </dataValidation>
    <dataValidation type="list" allowBlank="1" sqref="A31:A42 A6:A17" xr:uid="{698634AC-3339-4D53-A980-CC92E648C185}">
      <formula1>姓名清單</formula1>
    </dataValidation>
    <dataValidation type="list" allowBlank="1" showInputMessage="1" showErrorMessage="1" sqref="C31:AG41" xr:uid="{8DB67AAD-E7A3-424A-A57E-F92BE0FAB8F9}">
      <formula1>$AI$29:$AK$29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2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4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5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6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7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1491-B7A2-44C3-B6C5-FC0909D24F3D}">
  <sheetPr codeName="工作表30">
    <pageSetUpPr fitToPage="1"/>
  </sheetPr>
  <dimension ref="A1:CP45"/>
  <sheetViews>
    <sheetView topLeftCell="N1" zoomScale="50" zoomScaleNormal="50" workbookViewId="0">
      <selection activeCell="AZ49" sqref="AZ49"/>
    </sheetView>
  </sheetViews>
  <sheetFormatPr defaultRowHeight="17"/>
  <cols>
    <col min="1" max="1" width="12.5" bestFit="1" customWidth="1"/>
    <col min="2" max="2" width="11.25" customWidth="1"/>
    <col min="3" max="3" width="7.75" customWidth="1"/>
    <col min="4" max="39" width="7.58203125" customWidth="1"/>
    <col min="41" max="41" width="9.58203125" bestFit="1" customWidth="1"/>
    <col min="42" max="42" width="6.08203125" bestFit="1" customWidth="1"/>
    <col min="43" max="43" width="6.08203125" customWidth="1"/>
    <col min="44" max="47" width="10.08203125" bestFit="1" customWidth="1"/>
    <col min="48" max="48" width="7.25" customWidth="1"/>
    <col min="49" max="49" width="15.08203125" bestFit="1" customWidth="1"/>
    <col min="50" max="50" width="22.58203125" bestFit="1" customWidth="1"/>
    <col min="51" max="51" width="34.33203125" bestFit="1" customWidth="1"/>
    <col min="52" max="52" width="26.08203125" bestFit="1" customWidth="1"/>
    <col min="53" max="53" width="15.58203125" bestFit="1" customWidth="1"/>
    <col min="54" max="55" width="18.83203125" bestFit="1" customWidth="1"/>
    <col min="56" max="56" width="40.25" bestFit="1" customWidth="1"/>
    <col min="57" max="57" width="31" customWidth="1"/>
    <col min="58" max="58" width="37.08203125" customWidth="1"/>
    <col min="59" max="59" width="38.08203125" customWidth="1"/>
    <col min="60" max="60" width="36" bestFit="1" customWidth="1"/>
    <col min="62" max="62" width="24.5" bestFit="1" customWidth="1"/>
    <col min="63" max="63" width="19.25" bestFit="1" customWidth="1"/>
    <col min="64" max="64" width="37.08203125" bestFit="1" customWidth="1"/>
    <col min="65" max="65" width="32.75" bestFit="1" customWidth="1"/>
    <col min="66" max="66" width="17.75" bestFit="1" customWidth="1"/>
    <col min="67" max="67" width="35" bestFit="1" customWidth="1"/>
    <col min="68" max="68" width="17.75" bestFit="1" customWidth="1"/>
    <col min="69" max="69" width="35" bestFit="1" customWidth="1"/>
    <col min="70" max="70" width="22.25" bestFit="1" customWidth="1"/>
    <col min="71" max="71" width="35" bestFit="1" customWidth="1"/>
    <col min="72" max="72" width="26.83203125" bestFit="1" customWidth="1"/>
  </cols>
  <sheetData>
    <row r="1" spans="1:94" ht="25" customHeight="1">
      <c r="A1" s="380" t="s">
        <v>0</v>
      </c>
      <c r="B1" s="380"/>
      <c r="C1" s="380"/>
      <c r="D1" s="381" t="s">
        <v>409</v>
      </c>
      <c r="E1" s="381"/>
      <c r="F1" s="358" t="str">
        <f>BC4</f>
        <v>3 ... 7</v>
      </c>
      <c r="G1" s="381" t="s">
        <v>410</v>
      </c>
      <c r="H1" s="381"/>
      <c r="I1" s="358" t="str">
        <f>BB4</f>
        <v>3 ... 7</v>
      </c>
      <c r="J1" s="381" t="s">
        <v>437</v>
      </c>
      <c r="K1" s="381"/>
      <c r="L1" s="358" t="str">
        <f>BG4</f>
        <v>16 ... 3</v>
      </c>
      <c r="M1" s="99" t="s">
        <v>438</v>
      </c>
      <c r="N1" s="358">
        <f>COUNTIF(C5:AG5,6)</f>
        <v>5</v>
      </c>
      <c r="O1" s="99" t="s">
        <v>439</v>
      </c>
      <c r="P1" s="358">
        <f>COUNTIF(C5:AG5,"日")</f>
        <v>5</v>
      </c>
      <c r="Q1" s="25"/>
      <c r="R1" s="25"/>
      <c r="S1" s="25"/>
      <c r="T1" s="382" t="s">
        <v>454</v>
      </c>
      <c r="U1" s="382"/>
      <c r="V1" s="382"/>
      <c r="W1" s="382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W1" s="256" t="s">
        <v>393</v>
      </c>
      <c r="AX1" s="256" t="s">
        <v>411</v>
      </c>
      <c r="AY1" s="256" t="s">
        <v>412</v>
      </c>
      <c r="AZ1" s="256" t="s">
        <v>436</v>
      </c>
      <c r="BA1" s="334" t="s">
        <v>392</v>
      </c>
      <c r="BB1" s="350" t="s">
        <v>397</v>
      </c>
      <c r="BC1" s="350" t="s">
        <v>398</v>
      </c>
      <c r="BD1" s="350" t="s">
        <v>399</v>
      </c>
      <c r="BE1" s="350" t="s">
        <v>434</v>
      </c>
      <c r="BF1" s="350" t="s">
        <v>416</v>
      </c>
      <c r="BG1" s="350" t="s">
        <v>435</v>
      </c>
      <c r="BH1" s="350" t="s">
        <v>402</v>
      </c>
    </row>
    <row r="2" spans="1:94" ht="25" customHeight="1">
      <c r="A2" s="380"/>
      <c r="B2" s="380"/>
      <c r="C2" s="380"/>
      <c r="D2" t="s">
        <v>445</v>
      </c>
      <c r="E2" s="359" t="s">
        <v>446</v>
      </c>
      <c r="G2" s="27">
        <v>2026</v>
      </c>
      <c r="H2" s="27" t="str">
        <f>"("&amp;YEAR(C4)-1911&amp;" 年 "&amp;")"</f>
        <v>(115 年 )</v>
      </c>
      <c r="I2" s="22"/>
      <c r="J2" s="23">
        <v>8</v>
      </c>
      <c r="K2" s="23" t="s">
        <v>33</v>
      </c>
      <c r="M2" s="29"/>
      <c r="N2" s="99"/>
      <c r="O2" s="25"/>
      <c r="P2" s="25"/>
      <c r="R2" s="25"/>
      <c r="S2" s="25"/>
      <c r="T2" s="383"/>
      <c r="U2" s="383"/>
      <c r="V2" s="383"/>
      <c r="W2" s="383"/>
      <c r="X2" s="11"/>
      <c r="Y2" s="11"/>
      <c r="Z2" s="11"/>
      <c r="AA2" s="11"/>
      <c r="AB2" s="11"/>
      <c r="AC2" s="11"/>
      <c r="AD2" s="11"/>
      <c r="AE2" s="11"/>
      <c r="AG2" s="175"/>
      <c r="AW2" s="256" t="s">
        <v>292</v>
      </c>
      <c r="AX2" s="256">
        <v>2</v>
      </c>
      <c r="AY2" s="256"/>
      <c r="AZ2" s="256"/>
      <c r="BA2" s="348" t="s">
        <v>396</v>
      </c>
      <c r="BB2" s="350">
        <f>DAY(EOMONTH(C4,0))</f>
        <v>31</v>
      </c>
      <c r="BC2" s="350">
        <f>DAY(EOMONTH(C4,0))</f>
        <v>31</v>
      </c>
      <c r="BD2" s="350">
        <f>IF(ISBLANK(AY2), (COUNTIF(C5:AG5,"6")-COUNTIFS(C5:AG5,"6",C19:AG19,"國"))*(COUNTA(BJ6:BJ17)-AX5-COUNTA(BL6:BL17))+COUNTIFS(C5:AG5,"6",C44:AG44,"國")*(COUNTA(BJ6:BJ17)-AX3-AX4-COUNTA(BL6:BL17)), "手動計算填入下方")</f>
        <v>20</v>
      </c>
      <c r="BE2" s="350">
        <f>COUNTIF(C5:AG5,"日")*((COUNTA(BJ6:BJ17))-AX4-AX3-COUNTA(AX14BE4:BL6:BL17))</f>
        <v>25</v>
      </c>
      <c r="BF2" s="350">
        <f t="array" ref="BF2">IF(ISBLANK(AY2),(SUMPRODUCT(--(C4:AG4&lt;&gt;""))-COUNTIF(C5:AG5,"日")-COUNTIF(C5:AG5,"6")-BH2)*((COUNTA(BJ6:BJ17))-AX5-COUNTA(BL6:BL17)),"手動計算填入下方")</f>
        <v>80</v>
      </c>
      <c r="BG2" s="350" cm="1">
        <f t="array" ref="BG2">IF(ISBLANK(AY2),(COUNTIF(C5:AG5,"6")-COUNTIFS(C5:AG5,"6",C44:AG44,"國"))*(COUNTA(BJ6:BJ17)-AX5-COUNTA(BL6:BL17))+COUNTIFS(C5:AG5,"6",C44:AG44,"國")*(COUNTA(BJ6:BJ17)-AX3-AX4-COUNTA(BL6:BL17)),BD3)+BE2+BH2*((COUNTA(BJ6:BJ17))-AX2-COUNTA(BL6:BL17))+IF(ISBLANK(AY2),((SUMPRODUCT(--(C4:AG4&lt;&gt;""))-COUNTIF(C5:AG5,"日")-COUNTIF(C5:AG5,"6")-BH2)*((COUNTA(BJ6:BJ17))-AX5-COUNTA(BL6:BL17))),BF3)+BG5</f>
        <v>131</v>
      </c>
      <c r="BH2" s="350">
        <f>COUNTIF(C19:AG19,"*國*")</f>
        <v>1</v>
      </c>
    </row>
    <row r="3" spans="1:94" ht="20.25" customHeight="1">
      <c r="A3" s="346" t="s">
        <v>414</v>
      </c>
      <c r="B3" s="346" t="s">
        <v>418</v>
      </c>
      <c r="C3" s="321" t="str">
        <f>IF(C28="","",C28)</f>
        <v/>
      </c>
      <c r="D3" s="321" t="str">
        <f t="shared" ref="D3:AF3" si="0">IF(D28="","",D28)</f>
        <v/>
      </c>
      <c r="E3" s="321" t="str">
        <f t="shared" si="0"/>
        <v/>
      </c>
      <c r="F3" s="321" t="str">
        <f t="shared" si="0"/>
        <v/>
      </c>
      <c r="G3" s="321" t="str">
        <f t="shared" si="0"/>
        <v/>
      </c>
      <c r="H3" s="321" t="str">
        <f t="shared" si="0"/>
        <v/>
      </c>
      <c r="I3" s="321" t="str">
        <f t="shared" si="0"/>
        <v/>
      </c>
      <c r="J3" s="321" t="str">
        <f t="shared" si="0"/>
        <v/>
      </c>
      <c r="K3" s="321" t="str">
        <f t="shared" si="0"/>
        <v/>
      </c>
      <c r="L3" s="321" t="str">
        <f t="shared" si="0"/>
        <v/>
      </c>
      <c r="M3" s="321" t="str">
        <f t="shared" si="0"/>
        <v/>
      </c>
      <c r="N3" s="321" t="str">
        <f t="shared" si="0"/>
        <v/>
      </c>
      <c r="O3" s="321" t="str">
        <f t="shared" si="0"/>
        <v/>
      </c>
      <c r="P3" s="321" t="str">
        <f t="shared" si="0"/>
        <v/>
      </c>
      <c r="Q3" s="321" t="str">
        <f t="shared" si="0"/>
        <v/>
      </c>
      <c r="R3" s="321" t="str">
        <f t="shared" si="0"/>
        <v/>
      </c>
      <c r="S3" s="321" t="str">
        <f t="shared" si="0"/>
        <v/>
      </c>
      <c r="T3" s="321" t="str">
        <f t="shared" si="0"/>
        <v/>
      </c>
      <c r="U3" s="321" t="str">
        <f t="shared" si="0"/>
        <v/>
      </c>
      <c r="V3" s="321" t="str">
        <f t="shared" si="0"/>
        <v/>
      </c>
      <c r="W3" s="321" t="str">
        <f t="shared" si="0"/>
        <v/>
      </c>
      <c r="X3" s="321" t="str">
        <f t="shared" si="0"/>
        <v/>
      </c>
      <c r="Y3" s="321" t="str">
        <f t="shared" si="0"/>
        <v/>
      </c>
      <c r="Z3" s="321" t="str">
        <f t="shared" si="0"/>
        <v/>
      </c>
      <c r="AA3" s="321" t="str">
        <f t="shared" si="0"/>
        <v/>
      </c>
      <c r="AB3" s="321" t="str">
        <f t="shared" si="0"/>
        <v/>
      </c>
      <c r="AC3" s="321" t="str">
        <f t="shared" si="0"/>
        <v/>
      </c>
      <c r="AD3" s="321" t="str">
        <f t="shared" si="0"/>
        <v/>
      </c>
      <c r="AE3" s="321" t="str">
        <f t="shared" si="0"/>
        <v/>
      </c>
      <c r="AF3" s="321" t="str">
        <f t="shared" si="0"/>
        <v/>
      </c>
      <c r="AG3" s="321">
        <f>AG28</f>
        <v>0</v>
      </c>
      <c r="AH3" s="174"/>
      <c r="AI3" s="174" t="s">
        <v>7</v>
      </c>
      <c r="AJ3" s="174" t="s">
        <v>6</v>
      </c>
      <c r="AK3" s="174" t="s">
        <v>2</v>
      </c>
      <c r="AL3" s="3" t="s">
        <v>463</v>
      </c>
      <c r="AM3" s="174" t="s">
        <v>468</v>
      </c>
      <c r="AN3" s="174"/>
      <c r="AO3" s="174"/>
      <c r="AP3" s="174"/>
      <c r="AW3" s="256" t="s">
        <v>394</v>
      </c>
      <c r="AX3" s="256">
        <v>1</v>
      </c>
      <c r="AY3" s="256"/>
      <c r="AZ3" s="256"/>
      <c r="BA3" s="259"/>
      <c r="BB3" s="350"/>
      <c r="BC3" s="350"/>
      <c r="BD3" s="350"/>
      <c r="BE3" s="350"/>
      <c r="BF3" s="350"/>
      <c r="BG3" s="350"/>
      <c r="BH3" s="350"/>
      <c r="BW3" s="13"/>
    </row>
    <row r="4" spans="1:94" ht="20.25" customHeight="1">
      <c r="A4" s="19" t="s">
        <v>1</v>
      </c>
      <c r="B4" s="19"/>
      <c r="C4" s="30">
        <f>DATE($G$2,$J$2,1)</f>
        <v>46235</v>
      </c>
      <c r="D4" s="30">
        <f>C4+1</f>
        <v>46236</v>
      </c>
      <c r="E4" s="30">
        <f t="shared" ref="E4:AC4" si="1">D4+1</f>
        <v>46237</v>
      </c>
      <c r="F4" s="30">
        <f t="shared" si="1"/>
        <v>46238</v>
      </c>
      <c r="G4" s="30">
        <f t="shared" si="1"/>
        <v>46239</v>
      </c>
      <c r="H4" s="30">
        <f t="shared" si="1"/>
        <v>46240</v>
      </c>
      <c r="I4" s="30">
        <f t="shared" si="1"/>
        <v>46241</v>
      </c>
      <c r="J4" s="30">
        <f t="shared" si="1"/>
        <v>46242</v>
      </c>
      <c r="K4" s="30">
        <f t="shared" si="1"/>
        <v>46243</v>
      </c>
      <c r="L4" s="30">
        <f t="shared" si="1"/>
        <v>46244</v>
      </c>
      <c r="M4" s="30">
        <f t="shared" si="1"/>
        <v>46245</v>
      </c>
      <c r="N4" s="30">
        <f t="shared" si="1"/>
        <v>46246</v>
      </c>
      <c r="O4" s="30">
        <f t="shared" si="1"/>
        <v>46247</v>
      </c>
      <c r="P4" s="30">
        <f t="shared" si="1"/>
        <v>46248</v>
      </c>
      <c r="Q4" s="30">
        <f t="shared" si="1"/>
        <v>46249</v>
      </c>
      <c r="R4" s="30">
        <f t="shared" si="1"/>
        <v>46250</v>
      </c>
      <c r="S4" s="30">
        <f t="shared" si="1"/>
        <v>46251</v>
      </c>
      <c r="T4" s="30">
        <f t="shared" si="1"/>
        <v>46252</v>
      </c>
      <c r="U4" s="30">
        <f t="shared" si="1"/>
        <v>46253</v>
      </c>
      <c r="V4" s="30">
        <f t="shared" si="1"/>
        <v>46254</v>
      </c>
      <c r="W4" s="30">
        <f t="shared" si="1"/>
        <v>46255</v>
      </c>
      <c r="X4" s="30">
        <f t="shared" si="1"/>
        <v>46256</v>
      </c>
      <c r="Y4" s="30">
        <f t="shared" si="1"/>
        <v>46257</v>
      </c>
      <c r="Z4" s="30">
        <f t="shared" si="1"/>
        <v>46258</v>
      </c>
      <c r="AA4" s="30">
        <f t="shared" si="1"/>
        <v>46259</v>
      </c>
      <c r="AB4" s="30">
        <f t="shared" si="1"/>
        <v>46260</v>
      </c>
      <c r="AC4" s="30">
        <f t="shared" si="1"/>
        <v>46261</v>
      </c>
      <c r="AD4" s="30">
        <f>IFERROR(IF(MONTH(AC4+1)=$J$2,AC4+1,""),"")</f>
        <v>46262</v>
      </c>
      <c r="AE4" s="30">
        <f>IFERROR(IF(MONTH(AD4+1)=$J$2,AD4+1,""),"")</f>
        <v>46263</v>
      </c>
      <c r="AF4" s="30">
        <f>IFERROR(IF(MONTH(AE4+1)=$J$2,AE4+1,""),"")</f>
        <v>46264</v>
      </c>
      <c r="AG4" s="30">
        <f>IFERROR(IF(MONTH(AF4+1)=$J$2,AF4+1,""),"")</f>
        <v>46265</v>
      </c>
      <c r="AH4" s="3" t="s">
        <v>35</v>
      </c>
      <c r="AI4" s="3" t="s">
        <v>3</v>
      </c>
      <c r="AJ4" s="3" t="s">
        <v>5</v>
      </c>
      <c r="AK4" s="3" t="s">
        <v>4</v>
      </c>
      <c r="AL4" s="3" t="s">
        <v>39</v>
      </c>
      <c r="AM4" s="3" t="s">
        <v>40</v>
      </c>
      <c r="AN4" s="3" t="s">
        <v>252</v>
      </c>
      <c r="AO4" s="3" t="s">
        <v>39</v>
      </c>
      <c r="AP4" s="3" t="s">
        <v>56</v>
      </c>
      <c r="AQ4" s="12"/>
      <c r="AR4" s="256" t="s">
        <v>392</v>
      </c>
      <c r="AS4" s="256" t="s">
        <v>429</v>
      </c>
      <c r="AT4" s="256" t="s">
        <v>430</v>
      </c>
      <c r="AU4" s="256" t="s">
        <v>431</v>
      </c>
      <c r="AW4" s="256" t="s">
        <v>395</v>
      </c>
      <c r="AX4" s="256">
        <v>1</v>
      </c>
      <c r="AY4" s="256"/>
      <c r="AZ4" s="256"/>
      <c r="BA4" s="259" t="s">
        <v>403</v>
      </c>
      <c r="BB4" s="350" t="str">
        <f>QUOTIENT((COUNTA(C4:AG4)-COUNTIF(AE4:AG4,"")),COUNTA(BJ6:BJ15)-COUNTA(BL6:BL17))&amp;" ... "&amp;MOD((COUNTA(C4:AG4)-COUNTIF(AE4:AG4,"")),COUNTA(BJ6:BJ15)-COUNTA(BL6:BL17))</f>
        <v>3 ... 7</v>
      </c>
      <c r="BC4" s="350" t="str">
        <f>QUOTIENT((COUNTA(C4:AG4)-COUNTIF(AE4:AG4,"")),COUNTA(BJ6:BJ15)-COUNTA(BL6:BL17))&amp;" ... "&amp;MOD((COUNTA(C4:AG4)-COUNTIF(AE4:AG4,"")),COUNTA(BJ6:BJ15)-COUNTA(BL6:BL17))</f>
        <v>3 ... 7</v>
      </c>
      <c r="BD4" s="350"/>
      <c r="BE4" s="350"/>
      <c r="BF4" s="350"/>
      <c r="BG4" s="350" t="str">
        <f>QUOTIENT(BG2,COUNTA(BJ6:BJ17)-COUNTA(BL6:BL17))&amp;" ... "&amp;MOD(BG2,COUNTA(BJ6:BJ17)-COUNTA(BL6:BL17))</f>
        <v>16 ... 3</v>
      </c>
      <c r="BH4" s="350"/>
      <c r="BU4" s="13"/>
      <c r="BV4" s="13"/>
      <c r="BW4" s="13"/>
      <c r="BX4" s="13"/>
      <c r="BY4" s="13"/>
      <c r="BZ4" s="13"/>
      <c r="CA4" s="14"/>
      <c r="CB4" s="14"/>
      <c r="CC4" s="14"/>
      <c r="CD4" s="14"/>
      <c r="CE4" s="14"/>
      <c r="CF4" s="14"/>
      <c r="CI4" s="339"/>
      <c r="CK4" s="255"/>
      <c r="CM4" s="38"/>
      <c r="CN4" s="256"/>
      <c r="CO4" s="257"/>
      <c r="CP4" s="257"/>
    </row>
    <row r="5" spans="1:94" ht="20.25" customHeight="1">
      <c r="A5" s="19" t="s">
        <v>41</v>
      </c>
      <c r="B5" s="19"/>
      <c r="C5" s="31">
        <f t="shared" ref="C5:AG5" si="2">IFERROR(IF(WEEKDAY(C4,2)=7,"日",WEEKDAY(C4,2)),"")</f>
        <v>6</v>
      </c>
      <c r="D5" s="31" t="str">
        <f>IFERROR(IF(WEEKDAY(D4,2)=7,"日",WEEKDAY(D4,2)),"")</f>
        <v>日</v>
      </c>
      <c r="E5" s="31">
        <f t="shared" si="2"/>
        <v>1</v>
      </c>
      <c r="F5" s="31">
        <f t="shared" si="2"/>
        <v>2</v>
      </c>
      <c r="G5" s="31">
        <f t="shared" si="2"/>
        <v>3</v>
      </c>
      <c r="H5" s="31">
        <f t="shared" si="2"/>
        <v>4</v>
      </c>
      <c r="I5" s="31">
        <f t="shared" si="2"/>
        <v>5</v>
      </c>
      <c r="J5" s="31">
        <f t="shared" si="2"/>
        <v>6</v>
      </c>
      <c r="K5" s="31" t="str">
        <f t="shared" si="2"/>
        <v>日</v>
      </c>
      <c r="L5" s="31">
        <f t="shared" si="2"/>
        <v>1</v>
      </c>
      <c r="M5" s="31">
        <f t="shared" si="2"/>
        <v>2</v>
      </c>
      <c r="N5" s="31">
        <f t="shared" si="2"/>
        <v>3</v>
      </c>
      <c r="O5" s="31">
        <f t="shared" si="2"/>
        <v>4</v>
      </c>
      <c r="P5" s="31">
        <f t="shared" si="2"/>
        <v>5</v>
      </c>
      <c r="Q5" s="31">
        <f t="shared" si="2"/>
        <v>6</v>
      </c>
      <c r="R5" s="31" t="str">
        <f t="shared" si="2"/>
        <v>日</v>
      </c>
      <c r="S5" s="31">
        <f t="shared" si="2"/>
        <v>1</v>
      </c>
      <c r="T5" s="31">
        <f t="shared" si="2"/>
        <v>2</v>
      </c>
      <c r="U5" s="31">
        <f t="shared" si="2"/>
        <v>3</v>
      </c>
      <c r="V5" s="31">
        <f t="shared" si="2"/>
        <v>4</v>
      </c>
      <c r="W5" s="31">
        <f t="shared" si="2"/>
        <v>5</v>
      </c>
      <c r="X5" s="31">
        <f t="shared" si="2"/>
        <v>6</v>
      </c>
      <c r="Y5" s="31" t="str">
        <f t="shared" si="2"/>
        <v>日</v>
      </c>
      <c r="Z5" s="31">
        <f t="shared" si="2"/>
        <v>1</v>
      </c>
      <c r="AA5" s="31">
        <f t="shared" si="2"/>
        <v>2</v>
      </c>
      <c r="AB5" s="31">
        <f t="shared" si="2"/>
        <v>3</v>
      </c>
      <c r="AC5" s="31">
        <f t="shared" si="2"/>
        <v>4</v>
      </c>
      <c r="AD5" s="31">
        <f t="shared" si="2"/>
        <v>5</v>
      </c>
      <c r="AE5" s="31">
        <f t="shared" si="2"/>
        <v>6</v>
      </c>
      <c r="AF5" s="31" t="str">
        <f t="shared" si="2"/>
        <v>日</v>
      </c>
      <c r="AG5" s="31">
        <f t="shared" si="2"/>
        <v>1</v>
      </c>
      <c r="AH5" s="377" t="s">
        <v>42</v>
      </c>
      <c r="AI5" s="377"/>
      <c r="AJ5" s="377"/>
      <c r="AK5" s="377"/>
      <c r="AL5" s="377"/>
      <c r="AM5" s="377"/>
      <c r="AN5" s="174"/>
      <c r="AO5" s="3" t="s">
        <v>40</v>
      </c>
      <c r="AP5" s="3" t="s">
        <v>62</v>
      </c>
      <c r="AQ5" s="12"/>
      <c r="AR5" s="256" t="s">
        <v>3</v>
      </c>
      <c r="AS5" s="256" t="s">
        <v>5</v>
      </c>
      <c r="AT5" s="256" t="s">
        <v>4</v>
      </c>
      <c r="AU5" s="256" t="s">
        <v>432</v>
      </c>
      <c r="AW5" s="256"/>
      <c r="AX5" s="256">
        <f>SUBTOTAL(109,AX2:AX4)</f>
        <v>4</v>
      </c>
      <c r="AY5" s="256">
        <f>SUBTOTAL(109,AY2:AY4)</f>
        <v>0</v>
      </c>
      <c r="AZ5" s="256"/>
      <c r="BJ5" s="348" t="s">
        <v>385</v>
      </c>
      <c r="BK5" s="348" t="s">
        <v>417</v>
      </c>
      <c r="BL5" s="348" t="s">
        <v>387</v>
      </c>
      <c r="BM5" s="348" t="s">
        <v>424</v>
      </c>
      <c r="BN5" s="348" t="s">
        <v>420</v>
      </c>
      <c r="BO5" s="348" t="s">
        <v>425</v>
      </c>
      <c r="BP5" s="353" t="s">
        <v>421</v>
      </c>
      <c r="BQ5" s="353" t="s">
        <v>426</v>
      </c>
      <c r="BR5" s="348" t="s">
        <v>422</v>
      </c>
      <c r="BS5" s="348" t="s">
        <v>427</v>
      </c>
      <c r="BT5" s="354" t="s">
        <v>423</v>
      </c>
      <c r="BU5" s="13"/>
      <c r="BW5" s="13"/>
      <c r="BX5" s="13"/>
      <c r="BY5" s="13"/>
      <c r="CA5" s="13"/>
      <c r="CB5" s="8"/>
      <c r="CC5" s="20"/>
      <c r="CD5" s="20"/>
      <c r="CE5" s="20"/>
      <c r="CF5" s="20"/>
      <c r="CG5" s="20"/>
      <c r="CH5" s="20"/>
      <c r="CI5" s="20"/>
      <c r="CJ5" s="20"/>
      <c r="CK5" s="78"/>
      <c r="CM5" s="340"/>
      <c r="CN5" s="256"/>
      <c r="CO5" s="257"/>
      <c r="CP5" s="257"/>
    </row>
    <row r="6" spans="1:94" ht="20.25" customHeight="1">
      <c r="A6" s="338" t="str">
        <f>A31</f>
        <v>B黃郁芳</v>
      </c>
      <c r="B6" s="338" t="str">
        <f>IF(B31="","",B31)</f>
        <v/>
      </c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">
        <f t="shared" ref="AH6:AH17" si="3">(AI6*12)+(AJ6*12)+(AL6*8)+(AM6*4)</f>
        <v>228</v>
      </c>
      <c r="AI6" s="3">
        <f>COUNTIF(C6:AG6,"D")+COUNTIF(C6:AG6,"NrsD")</f>
        <v>0</v>
      </c>
      <c r="AJ6" s="3">
        <f>COUNTIF(C6:AG6,"N")</f>
        <v>0</v>
      </c>
      <c r="AK6" s="3">
        <f>COUNTIF(C6:AG6,"OFF")+COUNTIF(C6:AG6,"上課")</f>
        <v>0</v>
      </c>
      <c r="AL6" s="3">
        <f>COUNTIF(C6:AG6,"")-AM6+COUNTIF(C6:AG6,"h3")</f>
        <v>26</v>
      </c>
      <c r="AM6" s="3">
        <f>COUNTIFS($C$5:$AG$5,"6",C6:AG6,"")+COUNTIF(C6:AG6,"h3")</f>
        <v>5</v>
      </c>
      <c r="AN6" s="3">
        <f t="array" ref="AN6">SUMPRODUCT(($C$5:$AG$5=6)*(C6:AG6="off"))</f>
        <v>0</v>
      </c>
      <c r="AO6" s="3" t="s">
        <v>404</v>
      </c>
      <c r="AP6" s="3" t="s">
        <v>56</v>
      </c>
      <c r="AQ6" s="12"/>
      <c r="AR6" s="256">
        <f>BN6</f>
        <v>0</v>
      </c>
      <c r="AS6" s="256">
        <f>BP6</f>
        <v>0</v>
      </c>
      <c r="AT6" s="256">
        <f>BR6</f>
        <v>0</v>
      </c>
      <c r="AU6" s="256">
        <f>BT6</f>
        <v>0</v>
      </c>
      <c r="AV6" s="91"/>
      <c r="BJ6" s="348" t="s">
        <v>384</v>
      </c>
      <c r="BK6" s="348" t="str">
        <f>A31</f>
        <v>B黃郁芳</v>
      </c>
      <c r="BL6" s="348"/>
      <c r="BM6" s="348"/>
      <c r="BN6" s="348"/>
      <c r="BO6" s="348"/>
      <c r="BP6" s="348"/>
      <c r="BQ6" s="348"/>
      <c r="BR6" s="348"/>
      <c r="BS6" s="348"/>
      <c r="BT6" s="348"/>
      <c r="BX6" s="13"/>
      <c r="BY6" s="13"/>
      <c r="CB6" s="8"/>
      <c r="CC6" s="20"/>
      <c r="CD6" s="20"/>
      <c r="CE6" s="20"/>
      <c r="CF6" s="20"/>
      <c r="CG6" s="20"/>
      <c r="CH6" s="20"/>
      <c r="CI6" s="20"/>
      <c r="CJ6" s="20"/>
      <c r="CK6" s="20"/>
      <c r="CM6" s="340"/>
      <c r="CN6" s="256"/>
      <c r="CO6" s="257"/>
      <c r="CP6" s="257"/>
    </row>
    <row r="7" spans="1:94" ht="20.25" customHeight="1">
      <c r="A7" s="6" t="str">
        <f>A32</f>
        <v>C詹絲庭</v>
      </c>
      <c r="B7" s="338" t="str">
        <f t="shared" ref="B7:B17" si="4">IF(B32="","",B32)</f>
        <v/>
      </c>
      <c r="C7" s="352"/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">
        <f t="shared" si="3"/>
        <v>228</v>
      </c>
      <c r="AI7" s="3">
        <f>COUNTIF(C7:AG7,"D")+COUNTIF(C7:AG7,"NrsD")</f>
        <v>0</v>
      </c>
      <c r="AJ7" s="3">
        <f>COUNTIF(C7:AG7,"N")</f>
        <v>0</v>
      </c>
      <c r="AK7" s="3">
        <f>COUNTIF(C7:AG7,"OFF")+COUNTIF(C7:AG7,"上課")</f>
        <v>0</v>
      </c>
      <c r="AL7" s="3">
        <f>COUNTIF(C7:AG7,"")-AM7+COUNTIF(C7:AG7,"h3")</f>
        <v>26</v>
      </c>
      <c r="AM7" s="3">
        <f>COUNTIFS($C$5:$AG$5,"6",C7:AG7,"")+COUNTIF(C7:AG7,"h3")</f>
        <v>5</v>
      </c>
      <c r="AN7" s="3">
        <f t="array" ref="AN7">SUMPRODUCT(($C$5:$AG$5=6)*(C7:AG7="off"))</f>
        <v>0</v>
      </c>
      <c r="AO7" s="3" t="s">
        <v>406</v>
      </c>
      <c r="AP7" s="3" t="s">
        <v>84</v>
      </c>
      <c r="AQ7" s="12"/>
      <c r="AR7" s="256">
        <f t="shared" ref="AR7:AR17" si="5">BN7</f>
        <v>0</v>
      </c>
      <c r="AS7" s="256">
        <f t="shared" ref="AS7:AS17" si="6">BP7</f>
        <v>0</v>
      </c>
      <c r="AT7" s="256">
        <f t="shared" ref="AT7:AT17" si="7">BR7</f>
        <v>0</v>
      </c>
      <c r="AU7" s="256">
        <f t="shared" ref="AU7:AU17" si="8">BT7</f>
        <v>0</v>
      </c>
      <c r="BJ7" s="348" t="s">
        <v>384</v>
      </c>
      <c r="BK7" s="348" t="str">
        <f t="shared" ref="BK7:BK17" si="9">A32</f>
        <v>C詹絲庭</v>
      </c>
      <c r="BL7" s="348"/>
      <c r="BM7" s="348"/>
      <c r="BN7" s="348"/>
      <c r="BO7" s="348" t="s">
        <v>448</v>
      </c>
      <c r="BP7" s="348"/>
      <c r="BQ7" s="348"/>
      <c r="BR7" s="348"/>
      <c r="BS7" s="348"/>
      <c r="BT7" s="348"/>
      <c r="BU7" s="5"/>
      <c r="BV7" s="5"/>
      <c r="BW7" s="5"/>
      <c r="CB7" s="8"/>
      <c r="CC7" s="20"/>
      <c r="CD7" s="20"/>
      <c r="CE7" s="20"/>
      <c r="CF7" s="20"/>
      <c r="CG7" s="20"/>
      <c r="CH7" s="20"/>
      <c r="CI7" s="20"/>
      <c r="CJ7" s="20"/>
      <c r="CK7" s="20"/>
      <c r="CM7" s="340"/>
      <c r="CN7" s="256"/>
      <c r="CO7" s="257"/>
      <c r="CP7" s="257"/>
    </row>
    <row r="8" spans="1:94" ht="20.25" customHeight="1">
      <c r="A8" s="6" t="str">
        <f t="shared" ref="A8:A17" si="10">A33</f>
        <v>D王子建</v>
      </c>
      <c r="B8" s="338" t="str">
        <f t="shared" si="4"/>
        <v/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">
        <f t="shared" si="3"/>
        <v>228</v>
      </c>
      <c r="AI8" s="3">
        <f>COUNTIF(C8:AG8,"D")+COUNTIF(C8:AG8,"NrsD")</f>
        <v>0</v>
      </c>
      <c r="AJ8" s="3">
        <f t="shared" ref="AJ8:AJ17" si="11">COUNTIF(C8:AG8,"N")</f>
        <v>0</v>
      </c>
      <c r="AK8" s="3">
        <f t="shared" ref="AK8:AK17" si="12">COUNTIF(C8:AG8,"OFF")+COUNTIF(C8:AG8,"上課")</f>
        <v>0</v>
      </c>
      <c r="AL8" s="3">
        <f t="shared" ref="AL8:AL17" si="13">COUNTIF(C8:AG8,"")-AM8+COUNTIF(C8:AG8,"h3")</f>
        <v>26</v>
      </c>
      <c r="AM8" s="3">
        <f t="shared" ref="AM8:AM17" si="14">COUNTIFS($C$5:$AG$5,"6",C8:AG8,"")+COUNTIF(C8:AG8,"h3")</f>
        <v>5</v>
      </c>
      <c r="AN8" s="3">
        <f t="array" ref="AN8">SUMPRODUCT(($C$5:$AG$5=6)*(C8:AG8="off"))</f>
        <v>0</v>
      </c>
      <c r="AO8" s="3" t="s">
        <v>407</v>
      </c>
      <c r="AP8" s="3" t="s">
        <v>90</v>
      </c>
      <c r="AQ8" s="12"/>
      <c r="AR8" s="256">
        <f t="shared" si="5"/>
        <v>0</v>
      </c>
      <c r="AS8" s="256">
        <f t="shared" si="6"/>
        <v>0</v>
      </c>
      <c r="AT8" s="256">
        <f t="shared" si="7"/>
        <v>0</v>
      </c>
      <c r="AU8" s="256">
        <f t="shared" si="8"/>
        <v>0</v>
      </c>
      <c r="BJ8" s="348" t="s">
        <v>384</v>
      </c>
      <c r="BK8" s="348" t="str">
        <f t="shared" si="9"/>
        <v>D王子建</v>
      </c>
      <c r="BL8" s="348"/>
      <c r="BM8" s="348"/>
      <c r="BN8" s="348"/>
      <c r="BO8" s="348"/>
      <c r="BP8" s="348"/>
      <c r="BQ8" s="348" t="s">
        <v>448</v>
      </c>
      <c r="BR8" s="348"/>
      <c r="BS8" s="348"/>
      <c r="BT8" s="348"/>
      <c r="BU8" s="4"/>
      <c r="BV8" s="4"/>
      <c r="BW8" s="4"/>
      <c r="BX8" s="13"/>
      <c r="BY8" s="13"/>
      <c r="BZ8" s="13"/>
      <c r="CA8" s="154"/>
      <c r="CB8" s="8"/>
      <c r="CC8" s="20"/>
      <c r="CD8" s="20"/>
      <c r="CE8" s="20"/>
      <c r="CF8" s="20"/>
      <c r="CG8" s="20"/>
      <c r="CH8" s="20"/>
      <c r="CI8" s="20"/>
      <c r="CJ8" s="20"/>
      <c r="CK8" s="20"/>
      <c r="CM8" s="340"/>
      <c r="CN8" s="256"/>
      <c r="CO8" s="257"/>
      <c r="CP8" s="257"/>
    </row>
    <row r="9" spans="1:94" ht="20.25" customHeight="1">
      <c r="A9" s="6" t="str">
        <f t="shared" si="10"/>
        <v>E詹雅慈</v>
      </c>
      <c r="B9" s="338" t="str">
        <f t="shared" si="4"/>
        <v/>
      </c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">
        <f t="shared" si="3"/>
        <v>228</v>
      </c>
      <c r="AI9" s="3">
        <f t="shared" ref="AI9:AI15" si="15">COUNTIF(C9:AG9,"D")+COUNTIF(C9:AG9,"NrsD")</f>
        <v>0</v>
      </c>
      <c r="AJ9" s="3">
        <f t="shared" si="11"/>
        <v>0</v>
      </c>
      <c r="AK9" s="3">
        <f t="shared" si="12"/>
        <v>0</v>
      </c>
      <c r="AL9" s="3">
        <f t="shared" si="13"/>
        <v>26</v>
      </c>
      <c r="AM9" s="3">
        <f t="shared" si="14"/>
        <v>5</v>
      </c>
      <c r="AN9" s="3">
        <f t="array" ref="AN9">SUMPRODUCT(($C$5:$AG$5=6)*(C9:AG9="off"))</f>
        <v>0</v>
      </c>
      <c r="AO9" s="3" t="s">
        <v>405</v>
      </c>
      <c r="AP9" s="3" t="s">
        <v>72</v>
      </c>
      <c r="AQ9" s="12"/>
      <c r="AR9" s="256">
        <f t="shared" si="5"/>
        <v>0</v>
      </c>
      <c r="AS9" s="256">
        <f t="shared" si="6"/>
        <v>0</v>
      </c>
      <c r="AT9" s="256">
        <f t="shared" si="7"/>
        <v>0</v>
      </c>
      <c r="AU9" s="256">
        <f t="shared" si="8"/>
        <v>0</v>
      </c>
      <c r="BJ9" s="348" t="s">
        <v>384</v>
      </c>
      <c r="BK9" s="348" t="str">
        <f t="shared" si="9"/>
        <v>E詹雅慈</v>
      </c>
      <c r="BL9" s="348"/>
      <c r="BM9" s="348" t="s">
        <v>448</v>
      </c>
      <c r="BN9" s="348"/>
      <c r="BO9" s="348"/>
      <c r="BP9" s="348"/>
      <c r="BQ9" s="348"/>
      <c r="BR9" s="348"/>
      <c r="BS9" s="348"/>
      <c r="BT9" s="348"/>
      <c r="BX9" s="13"/>
      <c r="BY9" s="13"/>
      <c r="BZ9" s="13"/>
      <c r="CA9" s="13"/>
      <c r="CB9" s="8"/>
      <c r="CC9" s="20"/>
      <c r="CD9" s="20"/>
      <c r="CE9" s="20"/>
      <c r="CF9" s="20"/>
      <c r="CG9" s="20"/>
      <c r="CH9" s="20"/>
      <c r="CI9" s="20"/>
      <c r="CJ9" s="20"/>
      <c r="CK9" s="20"/>
      <c r="CM9" s="340"/>
      <c r="CN9" s="256"/>
      <c r="CO9" s="257"/>
      <c r="CP9" s="257"/>
    </row>
    <row r="10" spans="1:94" ht="20.25" customHeight="1">
      <c r="A10" s="6" t="str">
        <f t="shared" si="10"/>
        <v>F丁韋綸</v>
      </c>
      <c r="B10" s="338" t="str">
        <f t="shared" si="4"/>
        <v>X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">
        <f t="shared" si="3"/>
        <v>228</v>
      </c>
      <c r="AI10" s="3">
        <f t="shared" si="15"/>
        <v>0</v>
      </c>
      <c r="AJ10" s="3">
        <f t="shared" si="11"/>
        <v>0</v>
      </c>
      <c r="AK10" s="3">
        <f t="shared" si="12"/>
        <v>0</v>
      </c>
      <c r="AL10" s="3">
        <f t="shared" si="13"/>
        <v>26</v>
      </c>
      <c r="AM10" s="3">
        <f t="shared" si="14"/>
        <v>5</v>
      </c>
      <c r="AN10" s="3">
        <f t="array" ref="AN10">SUMPRODUCT(($C$5:$AG$5=6)*(C10:AG10="off"))</f>
        <v>0</v>
      </c>
      <c r="AO10" s="3" t="s">
        <v>94</v>
      </c>
      <c r="AP10" s="3" t="s">
        <v>95</v>
      </c>
      <c r="AQ10" s="12"/>
      <c r="AR10" s="256">
        <f t="shared" si="5"/>
        <v>0</v>
      </c>
      <c r="AS10" s="256">
        <f t="shared" si="6"/>
        <v>0</v>
      </c>
      <c r="AT10" s="256">
        <f t="shared" si="7"/>
        <v>0</v>
      </c>
      <c r="AU10" s="256">
        <f t="shared" si="8"/>
        <v>0</v>
      </c>
      <c r="BJ10" s="348"/>
      <c r="BK10" s="348" t="str">
        <f t="shared" si="9"/>
        <v>F丁韋綸</v>
      </c>
      <c r="BL10" s="348"/>
      <c r="BM10" s="348"/>
      <c r="BN10" s="348"/>
      <c r="BO10" s="348"/>
      <c r="BP10" s="348"/>
      <c r="BQ10" s="348"/>
      <c r="BR10" s="348"/>
      <c r="BS10" s="348"/>
      <c r="BT10" s="348"/>
      <c r="BU10" s="13"/>
      <c r="BV10" s="13"/>
      <c r="BW10" s="13"/>
      <c r="BX10" s="156"/>
      <c r="BY10" s="13"/>
      <c r="BZ10" s="13"/>
      <c r="CA10" s="13"/>
      <c r="CB10" s="8"/>
      <c r="CC10" s="20"/>
      <c r="CD10" s="20"/>
      <c r="CE10" s="20"/>
      <c r="CF10" s="20"/>
      <c r="CG10" s="20"/>
      <c r="CH10" s="20"/>
      <c r="CI10" s="20"/>
      <c r="CJ10" s="78"/>
      <c r="CK10" s="20"/>
      <c r="CM10" s="10"/>
      <c r="CN10" s="256"/>
      <c r="CO10" s="257"/>
      <c r="CP10" s="257"/>
    </row>
    <row r="11" spans="1:94" ht="20.25" customHeight="1">
      <c r="A11" s="6" t="str">
        <f t="shared" si="10"/>
        <v>G陳盈潔</v>
      </c>
      <c r="B11" s="338" t="str">
        <f t="shared" si="4"/>
        <v>X</v>
      </c>
      <c r="C11" s="352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">
        <f t="shared" si="3"/>
        <v>228</v>
      </c>
      <c r="AI11" s="3">
        <f t="shared" si="15"/>
        <v>0</v>
      </c>
      <c r="AJ11" s="3">
        <f t="shared" si="11"/>
        <v>0</v>
      </c>
      <c r="AK11" s="3">
        <f t="shared" si="12"/>
        <v>0</v>
      </c>
      <c r="AL11" s="3">
        <f t="shared" si="13"/>
        <v>26</v>
      </c>
      <c r="AM11" s="3">
        <f t="shared" si="14"/>
        <v>5</v>
      </c>
      <c r="AN11" s="3">
        <f t="array" ref="AN11">SUMPRODUCT(($C$5:$AG$5=6)*(C11:AG11="off"))</f>
        <v>0</v>
      </c>
      <c r="AO11" s="3" t="s">
        <v>94</v>
      </c>
      <c r="AP11" s="3" t="s">
        <v>95</v>
      </c>
      <c r="AQ11" s="12"/>
      <c r="AR11" s="256">
        <f t="shared" si="5"/>
        <v>0</v>
      </c>
      <c r="AS11" s="256">
        <f t="shared" si="6"/>
        <v>0</v>
      </c>
      <c r="AT11" s="256">
        <f t="shared" si="7"/>
        <v>0</v>
      </c>
      <c r="AU11" s="256">
        <f t="shared" si="8"/>
        <v>0</v>
      </c>
      <c r="BJ11" s="348"/>
      <c r="BK11" s="348" t="str">
        <f t="shared" si="9"/>
        <v>G陳盈潔</v>
      </c>
      <c r="BL11" s="348"/>
      <c r="BM11" s="348"/>
      <c r="BN11" s="348"/>
      <c r="BO11" s="348"/>
      <c r="BP11" s="348"/>
      <c r="BQ11" s="348"/>
      <c r="BR11" s="348"/>
      <c r="BS11" s="348"/>
      <c r="BT11" s="348"/>
      <c r="BX11" s="385"/>
      <c r="BY11" s="385"/>
      <c r="BZ11" s="385"/>
      <c r="CB11" s="8"/>
      <c r="CC11" s="20"/>
      <c r="CD11" s="20"/>
      <c r="CE11" s="20"/>
      <c r="CF11" s="20"/>
      <c r="CG11" s="20"/>
      <c r="CH11" s="20"/>
      <c r="CI11" s="20"/>
      <c r="CJ11" s="20"/>
      <c r="CK11" s="20"/>
      <c r="CM11" s="340"/>
      <c r="CN11" s="256"/>
      <c r="CO11" s="257"/>
      <c r="CP11" s="257"/>
    </row>
    <row r="12" spans="1:94" ht="20.25" customHeight="1">
      <c r="A12" s="6" t="str">
        <f t="shared" si="10"/>
        <v>H張心柔</v>
      </c>
      <c r="B12" s="338" t="str">
        <f t="shared" si="4"/>
        <v/>
      </c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">
        <f t="shared" si="3"/>
        <v>228</v>
      </c>
      <c r="AI12" s="3">
        <f t="shared" si="15"/>
        <v>0</v>
      </c>
      <c r="AJ12" s="3">
        <f t="shared" si="11"/>
        <v>0</v>
      </c>
      <c r="AK12" s="3">
        <f t="shared" si="12"/>
        <v>0</v>
      </c>
      <c r="AL12" s="3">
        <f t="shared" si="13"/>
        <v>26</v>
      </c>
      <c r="AM12" s="3">
        <f t="shared" si="14"/>
        <v>5</v>
      </c>
      <c r="AN12" s="3">
        <f t="array" ref="AN12">SUMPRODUCT(($C$5:$AG$5=6)*(C12:AG12="off"))</f>
        <v>0</v>
      </c>
      <c r="AO12" s="3" t="s">
        <v>408</v>
      </c>
      <c r="AP12" s="3" t="s">
        <v>95</v>
      </c>
      <c r="AQ12" s="12"/>
      <c r="AR12" s="256">
        <f t="shared" si="5"/>
        <v>0</v>
      </c>
      <c r="AS12" s="256">
        <f t="shared" si="6"/>
        <v>0</v>
      </c>
      <c r="AT12" s="256">
        <f t="shared" si="7"/>
        <v>0</v>
      </c>
      <c r="AU12" s="256">
        <f t="shared" si="8"/>
        <v>0</v>
      </c>
      <c r="BJ12" s="348" t="s">
        <v>384</v>
      </c>
      <c r="BK12" s="348" t="str">
        <f t="shared" si="9"/>
        <v>H張心柔</v>
      </c>
      <c r="BL12" s="348"/>
      <c r="BM12" s="348"/>
      <c r="BN12" s="348"/>
      <c r="BO12" s="348"/>
      <c r="BP12" s="348"/>
      <c r="BQ12" s="348"/>
      <c r="BR12" s="348"/>
      <c r="BS12" s="348"/>
      <c r="BT12" s="348"/>
      <c r="CB12" s="8"/>
      <c r="CC12" s="20"/>
      <c r="CD12" s="20"/>
      <c r="CE12" s="20"/>
      <c r="CF12" s="20"/>
      <c r="CG12" s="20"/>
      <c r="CH12" s="20"/>
      <c r="CI12" s="20"/>
      <c r="CJ12" s="20"/>
      <c r="CK12" s="20"/>
      <c r="CN12" s="256"/>
    </row>
    <row r="13" spans="1:94" ht="20.25" customHeight="1">
      <c r="A13" s="6" t="str">
        <f t="shared" si="10"/>
        <v>I劉子瑄</v>
      </c>
      <c r="B13" s="338" t="str">
        <f t="shared" si="4"/>
        <v/>
      </c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">
        <f t="shared" si="3"/>
        <v>228</v>
      </c>
      <c r="AI13" s="3">
        <f t="shared" si="15"/>
        <v>0</v>
      </c>
      <c r="AJ13" s="3">
        <f t="shared" si="11"/>
        <v>0</v>
      </c>
      <c r="AK13" s="3">
        <f t="shared" si="12"/>
        <v>0</v>
      </c>
      <c r="AL13" s="3">
        <f t="shared" si="13"/>
        <v>26</v>
      </c>
      <c r="AM13" s="3">
        <f t="shared" si="14"/>
        <v>5</v>
      </c>
      <c r="AN13" s="3">
        <f t="array" ref="AN13">SUMPRODUCT(($C$5:$AG$5=6)*(C13:AG13="off"))</f>
        <v>0</v>
      </c>
      <c r="AP13" s="3"/>
      <c r="AQ13" s="12"/>
      <c r="AR13" s="256">
        <f t="shared" si="5"/>
        <v>0</v>
      </c>
      <c r="AS13" s="256">
        <f t="shared" si="6"/>
        <v>0</v>
      </c>
      <c r="AT13" s="256">
        <f t="shared" si="7"/>
        <v>0</v>
      </c>
      <c r="AU13" s="256">
        <f t="shared" si="8"/>
        <v>0</v>
      </c>
      <c r="BJ13" s="348" t="s">
        <v>384</v>
      </c>
      <c r="BK13" s="348" t="str">
        <f t="shared" si="9"/>
        <v>I劉子瑄</v>
      </c>
      <c r="BL13" s="348"/>
      <c r="BM13" s="348"/>
      <c r="BN13" s="348"/>
      <c r="BO13" s="348"/>
      <c r="BP13" s="348"/>
      <c r="BQ13" s="348"/>
      <c r="BR13" s="348"/>
      <c r="BS13" s="348"/>
      <c r="BT13" s="348"/>
      <c r="BU13" s="336"/>
      <c r="BV13" s="336"/>
      <c r="BW13" s="337"/>
      <c r="CB13" s="8"/>
      <c r="CC13" s="20"/>
      <c r="CD13" s="20"/>
      <c r="CE13" s="20"/>
      <c r="CF13" s="20"/>
      <c r="CG13" s="20"/>
      <c r="CH13" s="20"/>
      <c r="CJ13" s="20"/>
      <c r="CK13" s="20"/>
      <c r="CN13" s="256"/>
      <c r="CO13" s="259"/>
    </row>
    <row r="14" spans="1:94" ht="20.25" customHeight="1">
      <c r="A14" s="6" t="str">
        <f t="shared" si="10"/>
        <v>L陳咨希</v>
      </c>
      <c r="B14" s="338" t="str">
        <f t="shared" si="4"/>
        <v>x</v>
      </c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">
        <f t="shared" si="3"/>
        <v>228</v>
      </c>
      <c r="AI14" s="3">
        <f t="shared" si="15"/>
        <v>0</v>
      </c>
      <c r="AJ14" s="3">
        <f t="shared" si="11"/>
        <v>0</v>
      </c>
      <c r="AK14" s="3">
        <f t="shared" si="12"/>
        <v>0</v>
      </c>
      <c r="AL14" s="3">
        <f t="shared" si="13"/>
        <v>26</v>
      </c>
      <c r="AM14" s="3">
        <f t="shared" si="14"/>
        <v>5</v>
      </c>
      <c r="AN14" s="3">
        <f t="array" ref="AN14">SUMPRODUCT(($C$5:$AG$5=6)*(C14:AG14="off"))</f>
        <v>0</v>
      </c>
      <c r="AO14" s="3"/>
      <c r="AP14" s="3"/>
      <c r="AQ14" s="12"/>
      <c r="AR14" s="256">
        <f t="shared" si="5"/>
        <v>0</v>
      </c>
      <c r="AS14" s="256">
        <f t="shared" si="6"/>
        <v>0</v>
      </c>
      <c r="AT14" s="256">
        <f t="shared" si="7"/>
        <v>0</v>
      </c>
      <c r="AU14" s="256">
        <f t="shared" si="8"/>
        <v>0</v>
      </c>
      <c r="AY14" s="335"/>
      <c r="BJ14" s="348" t="s">
        <v>448</v>
      </c>
      <c r="BK14" s="348" t="str">
        <f t="shared" si="9"/>
        <v>L陳咨希</v>
      </c>
      <c r="BL14" s="348"/>
      <c r="BM14" s="348"/>
      <c r="BN14" s="348"/>
      <c r="BO14" s="348"/>
      <c r="BP14" s="348"/>
      <c r="BQ14" s="348"/>
      <c r="BR14" s="348"/>
      <c r="BS14" s="348" t="s">
        <v>448</v>
      </c>
      <c r="BT14" s="348"/>
      <c r="BU14" s="291"/>
      <c r="CB14" s="8"/>
      <c r="CC14" s="20"/>
      <c r="CD14" s="20"/>
      <c r="CE14" s="20"/>
      <c r="CF14" s="20"/>
      <c r="CG14" s="20"/>
      <c r="CH14" s="20"/>
      <c r="CJ14" s="20"/>
      <c r="CK14" s="20"/>
      <c r="CN14" s="256"/>
      <c r="CO14" s="259"/>
    </row>
    <row r="15" spans="1:94" ht="20.25" customHeight="1">
      <c r="A15" s="6" t="str">
        <f t="shared" si="10"/>
        <v>J林瑋嫻</v>
      </c>
      <c r="B15" s="338" t="str">
        <f t="shared" si="4"/>
        <v/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">
        <f t="shared" si="3"/>
        <v>228</v>
      </c>
      <c r="AI15" s="3">
        <f t="shared" si="15"/>
        <v>0</v>
      </c>
      <c r="AJ15" s="3">
        <f t="shared" si="11"/>
        <v>0</v>
      </c>
      <c r="AK15" s="3">
        <f t="shared" si="12"/>
        <v>0</v>
      </c>
      <c r="AL15" s="3">
        <f t="shared" si="13"/>
        <v>26</v>
      </c>
      <c r="AM15" s="3">
        <f t="shared" si="14"/>
        <v>5</v>
      </c>
      <c r="AN15" s="3">
        <f t="array" ref="AN15">SUMPRODUCT(($C$5:$AG$5=6)*(C15:AG15="off"))</f>
        <v>0</v>
      </c>
      <c r="AO15" s="3"/>
      <c r="AP15" s="3"/>
      <c r="AQ15" s="12"/>
      <c r="AR15" s="256">
        <f t="shared" si="5"/>
        <v>0</v>
      </c>
      <c r="AS15" s="256">
        <f t="shared" si="6"/>
        <v>0</v>
      </c>
      <c r="AT15" s="256">
        <f t="shared" si="7"/>
        <v>0</v>
      </c>
      <c r="AU15" s="256">
        <f t="shared" si="8"/>
        <v>0</v>
      </c>
      <c r="BJ15" s="348" t="s">
        <v>448</v>
      </c>
      <c r="BK15" s="348" t="str">
        <f t="shared" si="9"/>
        <v>J林瑋嫻</v>
      </c>
      <c r="BL15" s="348"/>
      <c r="BM15" s="348"/>
      <c r="BN15" s="348"/>
      <c r="BO15" s="348"/>
      <c r="BP15" s="348"/>
      <c r="BQ15" s="348"/>
      <c r="BR15" s="348"/>
      <c r="BS15" s="348"/>
      <c r="BT15" s="348"/>
      <c r="CB15" s="8"/>
      <c r="CC15" s="20"/>
      <c r="CD15" s="20"/>
      <c r="CE15" s="20"/>
      <c r="CF15" s="20"/>
      <c r="CG15" s="20"/>
      <c r="CH15" s="20"/>
      <c r="CJ15" s="20"/>
      <c r="CK15" s="20"/>
      <c r="CN15" s="256"/>
    </row>
    <row r="16" spans="1:94" ht="20.25" customHeight="1">
      <c r="A16" s="6" t="str">
        <f t="shared" si="10"/>
        <v>K馮佳祺</v>
      </c>
      <c r="B16" s="338" t="str">
        <f t="shared" si="4"/>
        <v/>
      </c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">
        <f t="shared" si="3"/>
        <v>228</v>
      </c>
      <c r="AI16" s="3">
        <f>COUNTIF(C16:AG16,"D")+COUNTIF(C16:AG16,"NurseD")</f>
        <v>0</v>
      </c>
      <c r="AJ16" s="3">
        <f t="shared" si="11"/>
        <v>0</v>
      </c>
      <c r="AK16" s="3">
        <f t="shared" si="12"/>
        <v>0</v>
      </c>
      <c r="AL16" s="3">
        <f t="shared" si="13"/>
        <v>26</v>
      </c>
      <c r="AM16" s="3">
        <f t="shared" si="14"/>
        <v>5</v>
      </c>
      <c r="AN16" s="3">
        <f t="array" ref="AN16">SUMPRODUCT(($C$5:$AG$5=6)*(C16:AG16="off"))</f>
        <v>0</v>
      </c>
      <c r="AO16" s="3"/>
      <c r="AP16" s="3"/>
      <c r="AQ16" s="12"/>
      <c r="AR16" s="256">
        <f t="shared" si="5"/>
        <v>0</v>
      </c>
      <c r="AS16" s="256">
        <f t="shared" si="6"/>
        <v>0</v>
      </c>
      <c r="AT16" s="256">
        <f t="shared" si="7"/>
        <v>0</v>
      </c>
      <c r="AU16" s="256">
        <f t="shared" si="8"/>
        <v>0</v>
      </c>
      <c r="BJ16" s="355"/>
      <c r="BK16" s="348" t="str">
        <f t="shared" si="9"/>
        <v>K馮佳祺</v>
      </c>
      <c r="BL16" s="356"/>
      <c r="BM16" s="356"/>
      <c r="BN16" s="356"/>
      <c r="BO16" s="356"/>
      <c r="BP16" s="356"/>
      <c r="BQ16" s="356"/>
      <c r="BR16" s="356"/>
      <c r="BS16" s="356"/>
      <c r="BT16" s="357"/>
      <c r="CN16" s="256"/>
    </row>
    <row r="17" spans="1:72" ht="20.25" customHeight="1">
      <c r="A17" s="6" t="str">
        <f t="shared" si="10"/>
        <v>M柳春霙</v>
      </c>
      <c r="B17" s="338" t="str">
        <f t="shared" si="4"/>
        <v>X</v>
      </c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">
        <f t="shared" si="3"/>
        <v>228</v>
      </c>
      <c r="AI17" s="3">
        <f>COUNTIF(C17:AG17,"D")+COUNTIF(C17:AG17,"NurseD")</f>
        <v>0</v>
      </c>
      <c r="AJ17" s="3">
        <f t="shared" si="11"/>
        <v>0</v>
      </c>
      <c r="AK17" s="3">
        <f t="shared" si="12"/>
        <v>0</v>
      </c>
      <c r="AL17" s="3">
        <f t="shared" si="13"/>
        <v>26</v>
      </c>
      <c r="AM17" s="3">
        <f t="shared" si="14"/>
        <v>5</v>
      </c>
      <c r="AN17" s="3">
        <f t="array" ref="AN17">SUMPRODUCT(($C$5:$AG$5=6)*(C17:AG17="off"))</f>
        <v>0</v>
      </c>
      <c r="AO17" s="3"/>
      <c r="AP17" s="3"/>
      <c r="AQ17" s="12"/>
      <c r="AR17" s="256">
        <f t="shared" si="5"/>
        <v>0</v>
      </c>
      <c r="AS17" s="256">
        <f t="shared" si="6"/>
        <v>0</v>
      </c>
      <c r="AT17" s="256">
        <f t="shared" si="7"/>
        <v>0</v>
      </c>
      <c r="AU17" s="256">
        <f t="shared" si="8"/>
        <v>0</v>
      </c>
      <c r="BJ17" s="91"/>
      <c r="BK17" s="348" t="str">
        <f t="shared" si="9"/>
        <v>M柳春霙</v>
      </c>
      <c r="BL17" s="91"/>
      <c r="BM17" s="91"/>
      <c r="BN17" s="91"/>
      <c r="BO17" s="91"/>
      <c r="BP17" s="91"/>
      <c r="BQ17" s="91"/>
      <c r="BR17" s="91"/>
      <c r="BS17" s="91"/>
      <c r="BT17" s="91"/>
    </row>
    <row r="18" spans="1:72" ht="20.25" customHeight="1">
      <c r="A18" s="6" t="s">
        <v>277</v>
      </c>
      <c r="B18" s="6"/>
      <c r="C18" s="172">
        <f t="shared" ref="C18:Z18" si="16">IF($AZ$2="", IF(C5="","",IF(C$19="國",COUNTA($BJ$6:$BJ$17)-$AX$3-$AX$4-COUNTA($BL$6:$BL$17),IF(C5="日",COUNTA($BJ$6:$BJ$17)-$AX$3-$AX$4-COUNTA($BL$6:$BL$17),IF(C5=6,COUNTA($BJ$6:$BJ$17)-$AX$5-COUNTA($BL$6:$BL$17),IF(C5&lt;6,COUNTA($BJ$6:$BJ$17)-$AX$5-COUNTA($BL$6:$BL$17)))))), IF(DAY(C$4)&lt;$AZ$2,IF(C5="","",IF(C$19="國",COUNTA($BJ$6:$BJ$17)-$AX$3-$AX$4-COUNTA($BL$6:$BL$17),IF(C5="日",COUNTA($BJ$6:$BJ$17)-$AX$3-$AX$4-COUNTA($BL$6:$BL$17),IF(C5=6,COUNTA($BJ$6:$BJ$17)-$AX$5-COUNTA($BL$6:$BL$17),IF(C5&lt;6,COUNTA($BJ$6:$BJ$17)-$AX$5-COUNTA($BL$6:$BL$17)))))),IF(C5="","",IF(C$19="國",COUNTA($BJ$6:$BJ$17)-$AY$3-$AY$4-COUNTA($BL$6:$BL$17),IF(C5="日",COUNTA($BJ$6:$BJ$17)-$AY$3-$AY$4-COUNTA($BL$6:$BL$17),IF(C5=6,COUNTA($BJ$6:$BJ$17)-$AY$5-COUNTA($BL$6:$BL$17),IF(C5&lt;6,COUNTA($BJ$6:$BJ$17)-$AY$5-COUNTA($BL$6:$BL$17))))))))</f>
        <v>4</v>
      </c>
      <c r="D18" s="172">
        <f t="shared" si="16"/>
        <v>6</v>
      </c>
      <c r="E18" s="172">
        <f t="shared" si="16"/>
        <v>4</v>
      </c>
      <c r="F18" s="172">
        <f t="shared" si="16"/>
        <v>4</v>
      </c>
      <c r="G18" s="172">
        <f t="shared" si="16"/>
        <v>4</v>
      </c>
      <c r="H18" s="172">
        <f t="shared" si="16"/>
        <v>4</v>
      </c>
      <c r="I18" s="172">
        <f t="shared" si="16"/>
        <v>4</v>
      </c>
      <c r="J18" s="172">
        <f t="shared" si="16"/>
        <v>4</v>
      </c>
      <c r="K18" s="172">
        <f t="shared" si="16"/>
        <v>6</v>
      </c>
      <c r="L18" s="172">
        <f t="shared" si="16"/>
        <v>4</v>
      </c>
      <c r="M18" s="172">
        <f t="shared" si="16"/>
        <v>4</v>
      </c>
      <c r="N18" s="172">
        <f t="shared" si="16"/>
        <v>4</v>
      </c>
      <c r="O18" s="172">
        <f t="shared" si="16"/>
        <v>4</v>
      </c>
      <c r="P18" s="172">
        <f t="shared" si="16"/>
        <v>4</v>
      </c>
      <c r="Q18" s="172">
        <f t="shared" si="16"/>
        <v>4</v>
      </c>
      <c r="R18" s="172">
        <f t="shared" si="16"/>
        <v>6</v>
      </c>
      <c r="S18" s="172">
        <f t="shared" si="16"/>
        <v>4</v>
      </c>
      <c r="T18" s="172">
        <f t="shared" si="16"/>
        <v>4</v>
      </c>
      <c r="U18" s="172">
        <f t="shared" si="16"/>
        <v>6</v>
      </c>
      <c r="V18" s="172">
        <f t="shared" si="16"/>
        <v>4</v>
      </c>
      <c r="W18" s="172">
        <f t="shared" si="16"/>
        <v>4</v>
      </c>
      <c r="X18" s="172">
        <f t="shared" si="16"/>
        <v>4</v>
      </c>
      <c r="Y18" s="172">
        <f t="shared" si="16"/>
        <v>6</v>
      </c>
      <c r="Z18" s="172">
        <f t="shared" si="16"/>
        <v>4</v>
      </c>
      <c r="AA18" s="172">
        <f>IF($AZ$2="", IF(AA5="","",IF(AA$19="國",COUNTA($BJ$6:$BJ$17)-$AX$3-$AX$4-COUNTA($BL$6:$BL$17),IF(AA5="日",COUNTA($BJ$6:$BJ$17)-$AX$3-$AX$4-COUNTA($BL$6:$BL$17),IF(AA5=6,COUNTA($BJ$6:$BJ$17)-$AX$5-COUNTA($BL$6:$BL$17),IF(AA5&lt;6,COUNTA($BJ$6:$BJ$17)-$AX$5-COUNTA($BL$6:$BL$17)))))), IF(DAY(AA$4)&lt;$AZ$2,IF(AA5="","",IF(AA$19="國",COUNTA($BJ$6:$BJ$17)-$AX$3-$AX$4-COUNTA($BL$6:$BL$17),IF(AA5="日",COUNTA($BJ$6:$BJ$17)-$AX$3-$AX$4-COUNTA($BL$6:$BL$17),IF(AA5=6,COUNTA($BJ$6:$BJ$17)-$AX$5-COUNTA($BL$6:$BL$17),IF(AA5&lt;6,COUNTA($BJ$6:$BJ$17)-$AX$5-COUNTA($BL$6:$BL$17)))))),IF(AA5="","",IF(AA$19="國",COUNTA($BJ$6:$BJ$17)-$AY$3-$AY$4-COUNTA($BL$6:$BL$17),IF(AA5="日",COUNTA($BJ$6:$BJ$17)-$AY$3-$AY$4-COUNTA($BL$6:$BL$17),IF(AA5=6,COUNTA($BJ$6:$BJ$17)-$AY$5-COUNTA($BL$6:$BL$17),IF(AA5&lt;6,COUNTA($BJ$6:$BJ$17)-$AY$5-COUNTA($BL$6:$BL$17))))))))</f>
        <v>4</v>
      </c>
      <c r="AB18" s="172">
        <f t="shared" ref="AB18:AG18" si="17">IF($AZ$2="", IF(AB5="","",IF(AB$19="國",COUNTA($BJ$6:$BJ$17)-$AX$3-$AX$4-COUNTA($BL$6:$BL$17),IF(AB5="日",COUNTA($BJ$6:$BJ$17)-$AX$3-$AX$4-COUNTA($BL$6:$BL$17),IF(AB5=6,COUNTA($BJ$6:$BJ$17)-$AX$5-COUNTA($BL$6:$BL$17),IF(AB5&lt;6,COUNTA($BJ$6:$BJ$17)-$AX$5-COUNTA($BL$6:$BL$17)))))), IF(DAY(AB$4)&lt;$AZ$2,IF(AB5="","",IF(AB$19="國",COUNTA($BJ$6:$BJ$17)-$AX$3-$AX$4-COUNTA($BL$6:$BL$17),IF(AB5="日",COUNTA($BJ$6:$BJ$17)-$AX$3-$AX$4-COUNTA($BL$6:$BL$17),IF(AB5=6,COUNTA($BJ$6:$BJ$17)-$AX$5-COUNTA($BL$6:$BL$17),IF(AB5&lt;6,COUNTA($BJ$6:$BJ$17)-$AX$5-COUNTA($BL$6:$BL$17)))))),IF(AB5="","",IF(AB$19="國",COUNTA($BJ$6:$BJ$17)-$AY$3-$AY$4-COUNTA($BL$6:$BL$17),IF(AB5="日",COUNTA($BJ$6:$BJ$17)-$AY$3-$AY$4-COUNTA($BL$6:$BL$17),IF(AB5=6,COUNTA($BJ$6:$BJ$17)-$AY$5-COUNTA($BL$6:$BL$17),IF(AB5&lt;6,COUNTA($BJ$6:$BJ$17)-$AY$5-COUNTA($BL$6:$BL$17))))))))</f>
        <v>4</v>
      </c>
      <c r="AC18" s="172">
        <f t="shared" si="17"/>
        <v>4</v>
      </c>
      <c r="AD18" s="172">
        <f t="shared" si="17"/>
        <v>4</v>
      </c>
      <c r="AE18" s="172">
        <f t="shared" si="17"/>
        <v>4</v>
      </c>
      <c r="AF18" s="172">
        <f t="shared" si="17"/>
        <v>6</v>
      </c>
      <c r="AG18" s="172">
        <f t="shared" si="17"/>
        <v>4</v>
      </c>
      <c r="AH18" s="3" t="s">
        <v>391</v>
      </c>
      <c r="AI18" s="3">
        <f>COUNTIF(C18:AG18,"D")+COUNTIF(C18:AG18,"NurseD")</f>
        <v>0</v>
      </c>
      <c r="AJ18" s="3">
        <f>SUM(AJ6:AJ15)</f>
        <v>0</v>
      </c>
      <c r="AK18" s="3">
        <f>SUM(AK6:AK15)</f>
        <v>0</v>
      </c>
      <c r="AL18" s="3">
        <f>SUM(AL6:AL15)</f>
        <v>260</v>
      </c>
      <c r="AM18" s="3">
        <f>SUM(AM6:AM15)-SUM(AM10:AM11)-SUM(AM16:AM17)</f>
        <v>30</v>
      </c>
      <c r="AN18" s="3">
        <f>SUM(AN6:AN15)</f>
        <v>0</v>
      </c>
      <c r="AO18" s="3"/>
      <c r="AP18" s="3"/>
      <c r="AQ18" s="12"/>
      <c r="AR18" s="55">
        <f>SUBTOTAL(109,AR5:AR17)</f>
        <v>0</v>
      </c>
      <c r="AS18" s="55">
        <f>SUBTOTAL(109,AS5:AS17)</f>
        <v>0</v>
      </c>
      <c r="AT18" s="55">
        <f>SUM(AT6:AT17)</f>
        <v>0</v>
      </c>
      <c r="AU18" s="55">
        <f>SUBTOTAL(109,AU5:AU17)</f>
        <v>0</v>
      </c>
      <c r="BJ18" s="348" t="s">
        <v>460</v>
      </c>
      <c r="BK18" s="348">
        <f>COUNTA(BJ6:BJ17)-COUNTA(BL6:BL17)</f>
        <v>8</v>
      </c>
      <c r="BL18" s="348" t="s">
        <v>461</v>
      </c>
      <c r="BM18" s="348">
        <f>COUNTA(BJ6:BJ17)</f>
        <v>8</v>
      </c>
    </row>
    <row r="19" spans="1:72" ht="20.25" customHeight="1">
      <c r="A19" s="6" t="s">
        <v>251</v>
      </c>
      <c r="B19" s="6"/>
      <c r="C19" s="173" t="str">
        <f>IF(C44="","",C44)</f>
        <v/>
      </c>
      <c r="D19" s="173" t="str">
        <f t="shared" ref="D19:AG19" si="18">IF(D44="","",D44)</f>
        <v/>
      </c>
      <c r="E19" s="173" t="str">
        <f t="shared" si="18"/>
        <v/>
      </c>
      <c r="F19" s="173" t="str">
        <f t="shared" si="18"/>
        <v/>
      </c>
      <c r="G19" s="173" t="str">
        <f t="shared" si="18"/>
        <v/>
      </c>
      <c r="H19" s="173" t="str">
        <f t="shared" si="18"/>
        <v/>
      </c>
      <c r="I19" s="173" t="str">
        <f t="shared" si="18"/>
        <v/>
      </c>
      <c r="J19" s="173" t="str">
        <f t="shared" si="18"/>
        <v/>
      </c>
      <c r="K19" s="173" t="str">
        <f t="shared" si="18"/>
        <v/>
      </c>
      <c r="L19" s="173" t="str">
        <f t="shared" si="18"/>
        <v/>
      </c>
      <c r="M19" s="173" t="str">
        <f t="shared" si="18"/>
        <v/>
      </c>
      <c r="N19" s="173" t="str">
        <f t="shared" si="18"/>
        <v/>
      </c>
      <c r="O19" s="173" t="str">
        <f t="shared" si="18"/>
        <v/>
      </c>
      <c r="P19" s="173" t="str">
        <f t="shared" si="18"/>
        <v/>
      </c>
      <c r="Q19" s="173" t="str">
        <f t="shared" si="18"/>
        <v/>
      </c>
      <c r="R19" s="173" t="str">
        <f t="shared" si="18"/>
        <v/>
      </c>
      <c r="S19" s="173" t="str">
        <f t="shared" si="18"/>
        <v/>
      </c>
      <c r="T19" s="173" t="str">
        <f t="shared" si="18"/>
        <v/>
      </c>
      <c r="U19" s="173" t="str">
        <f t="shared" si="18"/>
        <v>國</v>
      </c>
      <c r="V19" s="173" t="str">
        <f t="shared" si="18"/>
        <v/>
      </c>
      <c r="W19" s="173" t="str">
        <f t="shared" si="18"/>
        <v/>
      </c>
      <c r="X19" s="173" t="str">
        <f t="shared" si="18"/>
        <v/>
      </c>
      <c r="Y19" s="173" t="str">
        <f t="shared" si="18"/>
        <v/>
      </c>
      <c r="Z19" s="173" t="str">
        <f t="shared" si="18"/>
        <v/>
      </c>
      <c r="AA19" s="173" t="str">
        <f t="shared" si="18"/>
        <v/>
      </c>
      <c r="AB19" s="173" t="str">
        <f t="shared" si="18"/>
        <v/>
      </c>
      <c r="AC19" s="173" t="str">
        <f t="shared" si="18"/>
        <v/>
      </c>
      <c r="AD19" s="173" t="str">
        <f t="shared" si="18"/>
        <v/>
      </c>
      <c r="AE19" s="173" t="str">
        <f t="shared" si="18"/>
        <v/>
      </c>
      <c r="AF19" s="173" t="str">
        <f t="shared" si="18"/>
        <v/>
      </c>
      <c r="AG19" s="173" t="str">
        <f t="shared" si="18"/>
        <v/>
      </c>
      <c r="AH19" s="3"/>
      <c r="AI19" s="3"/>
      <c r="AJ19" s="3"/>
      <c r="AK19" s="3"/>
      <c r="AL19" s="3"/>
      <c r="AM19" s="3"/>
      <c r="AN19" s="174"/>
      <c r="AO19" s="3"/>
      <c r="AP19" s="3"/>
      <c r="AQ19" s="12"/>
      <c r="AR19" s="12"/>
      <c r="AS19" s="12"/>
      <c r="AT19" s="12"/>
      <c r="AU19" s="12"/>
    </row>
    <row r="20" spans="1:72" ht="20.25" customHeight="1">
      <c r="A20" s="93"/>
      <c r="B20" s="93"/>
      <c r="C20" s="360">
        <f>COUNTIF(C6:C15,"off")</f>
        <v>0</v>
      </c>
      <c r="D20" s="360">
        <f t="shared" ref="D20:AG20" si="19">COUNTIF(D6:D15,"off")</f>
        <v>0</v>
      </c>
      <c r="E20" s="360">
        <f t="shared" si="19"/>
        <v>0</v>
      </c>
      <c r="F20" s="360">
        <f t="shared" si="19"/>
        <v>0</v>
      </c>
      <c r="G20" s="360">
        <f t="shared" si="19"/>
        <v>0</v>
      </c>
      <c r="H20" s="360">
        <f t="shared" si="19"/>
        <v>0</v>
      </c>
      <c r="I20" s="360">
        <f t="shared" si="19"/>
        <v>0</v>
      </c>
      <c r="J20" s="360">
        <f t="shared" si="19"/>
        <v>0</v>
      </c>
      <c r="K20" s="360">
        <f t="shared" si="19"/>
        <v>0</v>
      </c>
      <c r="L20" s="360">
        <f t="shared" si="19"/>
        <v>0</v>
      </c>
      <c r="M20" s="360">
        <f t="shared" si="19"/>
        <v>0</v>
      </c>
      <c r="N20" s="360">
        <f t="shared" si="19"/>
        <v>0</v>
      </c>
      <c r="O20" s="360">
        <f t="shared" si="19"/>
        <v>0</v>
      </c>
      <c r="P20" s="360">
        <f t="shared" si="19"/>
        <v>0</v>
      </c>
      <c r="Q20" s="360">
        <f t="shared" si="19"/>
        <v>0</v>
      </c>
      <c r="R20" s="360">
        <f t="shared" si="19"/>
        <v>0</v>
      </c>
      <c r="S20" s="360">
        <f t="shared" si="19"/>
        <v>0</v>
      </c>
      <c r="T20" s="360">
        <f t="shared" si="19"/>
        <v>0</v>
      </c>
      <c r="U20" s="360">
        <f t="shared" si="19"/>
        <v>0</v>
      </c>
      <c r="V20" s="360">
        <f t="shared" si="19"/>
        <v>0</v>
      </c>
      <c r="W20" s="360">
        <f t="shared" si="19"/>
        <v>0</v>
      </c>
      <c r="X20" s="360">
        <f t="shared" si="19"/>
        <v>0</v>
      </c>
      <c r="Y20" s="360">
        <f t="shared" si="19"/>
        <v>0</v>
      </c>
      <c r="Z20" s="360">
        <f t="shared" si="19"/>
        <v>0</v>
      </c>
      <c r="AA20" s="360">
        <f t="shared" si="19"/>
        <v>0</v>
      </c>
      <c r="AB20" s="360">
        <f t="shared" si="19"/>
        <v>0</v>
      </c>
      <c r="AC20" s="360">
        <f t="shared" si="19"/>
        <v>0</v>
      </c>
      <c r="AD20" s="360">
        <f t="shared" si="19"/>
        <v>0</v>
      </c>
      <c r="AE20" s="360">
        <f t="shared" si="19"/>
        <v>0</v>
      </c>
      <c r="AF20" s="360">
        <f>COUNTIF(AF6:AF15,"off")</f>
        <v>0</v>
      </c>
      <c r="AG20" s="360">
        <f t="shared" si="19"/>
        <v>0</v>
      </c>
      <c r="AH20" s="12">
        <f>SUM(C20:AG20)</f>
        <v>0</v>
      </c>
      <c r="AI20" s="12"/>
      <c r="AJ20" s="12"/>
      <c r="AK20" s="12"/>
      <c r="AL20" s="12"/>
      <c r="AM20" s="12"/>
      <c r="AR20" s="12"/>
      <c r="AS20" s="12"/>
      <c r="AT20" s="12"/>
      <c r="AU20" s="12"/>
    </row>
    <row r="21" spans="1:72" ht="20.25" customHeight="1">
      <c r="A21" s="93"/>
      <c r="B21" s="93"/>
      <c r="C21" s="360">
        <f>COUNTIF(C6:C15,"D")+COUNTIF(C6:C15,"NrsD")</f>
        <v>0</v>
      </c>
      <c r="D21" s="360">
        <f t="shared" ref="D21:AG21" si="20">COUNTIF(D6:D15,"D")+COUNTIF(D6:D15,"NrsD")</f>
        <v>0</v>
      </c>
      <c r="E21" s="360">
        <f t="shared" si="20"/>
        <v>0</v>
      </c>
      <c r="F21" s="360">
        <f t="shared" si="20"/>
        <v>0</v>
      </c>
      <c r="G21" s="360">
        <f t="shared" si="20"/>
        <v>0</v>
      </c>
      <c r="H21" s="360">
        <f t="shared" si="20"/>
        <v>0</v>
      </c>
      <c r="I21" s="360">
        <f t="shared" si="20"/>
        <v>0</v>
      </c>
      <c r="J21" s="360">
        <f t="shared" si="20"/>
        <v>0</v>
      </c>
      <c r="K21" s="360">
        <f t="shared" si="20"/>
        <v>0</v>
      </c>
      <c r="L21" s="360">
        <f t="shared" si="20"/>
        <v>0</v>
      </c>
      <c r="M21" s="360">
        <f t="shared" si="20"/>
        <v>0</v>
      </c>
      <c r="N21" s="360">
        <f t="shared" si="20"/>
        <v>0</v>
      </c>
      <c r="O21" s="360">
        <f t="shared" si="20"/>
        <v>0</v>
      </c>
      <c r="P21" s="360">
        <f t="shared" si="20"/>
        <v>0</v>
      </c>
      <c r="Q21" s="360">
        <f t="shared" si="20"/>
        <v>0</v>
      </c>
      <c r="R21" s="360">
        <f t="shared" si="20"/>
        <v>0</v>
      </c>
      <c r="S21" s="360">
        <f t="shared" si="20"/>
        <v>0</v>
      </c>
      <c r="T21" s="360">
        <f t="shared" si="20"/>
        <v>0</v>
      </c>
      <c r="U21" s="360">
        <f t="shared" si="20"/>
        <v>0</v>
      </c>
      <c r="V21" s="360">
        <f t="shared" si="20"/>
        <v>0</v>
      </c>
      <c r="W21" s="360">
        <f t="shared" si="20"/>
        <v>0</v>
      </c>
      <c r="X21" s="360">
        <f t="shared" si="20"/>
        <v>0</v>
      </c>
      <c r="Y21" s="360">
        <f t="shared" si="20"/>
        <v>0</v>
      </c>
      <c r="Z21" s="360">
        <f t="shared" si="20"/>
        <v>0</v>
      </c>
      <c r="AA21" s="360">
        <f t="shared" si="20"/>
        <v>0</v>
      </c>
      <c r="AB21" s="360">
        <f t="shared" si="20"/>
        <v>0</v>
      </c>
      <c r="AC21" s="360">
        <f t="shared" si="20"/>
        <v>0</v>
      </c>
      <c r="AD21" s="360">
        <f t="shared" si="20"/>
        <v>0</v>
      </c>
      <c r="AE21" s="360">
        <f t="shared" si="20"/>
        <v>0</v>
      </c>
      <c r="AF21" s="360">
        <f t="shared" si="20"/>
        <v>0</v>
      </c>
      <c r="AG21" s="360">
        <f t="shared" si="20"/>
        <v>0</v>
      </c>
      <c r="AH21" s="12"/>
      <c r="AI21" s="12"/>
      <c r="AJ21" s="12"/>
      <c r="AK21" s="12"/>
      <c r="AL21" s="12"/>
      <c r="AM21" s="12"/>
      <c r="AR21" s="12"/>
      <c r="AS21" s="12"/>
      <c r="AT21" s="12"/>
      <c r="AU21" s="12"/>
    </row>
    <row r="22" spans="1:72" ht="20.25" customHeight="1" thickBot="1">
      <c r="A22" s="4"/>
      <c r="B22" s="4"/>
      <c r="C22" s="360">
        <f>COUNTIF(C6:C15,"N")</f>
        <v>0</v>
      </c>
      <c r="D22" s="360">
        <f t="shared" ref="D22:AG22" si="21">COUNTIF(D6:D15,"N")</f>
        <v>0</v>
      </c>
      <c r="E22" s="360">
        <f t="shared" si="21"/>
        <v>0</v>
      </c>
      <c r="F22" s="360">
        <f t="shared" si="21"/>
        <v>0</v>
      </c>
      <c r="G22" s="360">
        <f t="shared" si="21"/>
        <v>0</v>
      </c>
      <c r="H22" s="360">
        <f t="shared" si="21"/>
        <v>0</v>
      </c>
      <c r="I22" s="360">
        <f t="shared" si="21"/>
        <v>0</v>
      </c>
      <c r="J22" s="360">
        <f t="shared" si="21"/>
        <v>0</v>
      </c>
      <c r="K22" s="360">
        <f t="shared" si="21"/>
        <v>0</v>
      </c>
      <c r="L22" s="360">
        <f t="shared" si="21"/>
        <v>0</v>
      </c>
      <c r="M22" s="360">
        <f t="shared" si="21"/>
        <v>0</v>
      </c>
      <c r="N22" s="360">
        <f t="shared" si="21"/>
        <v>0</v>
      </c>
      <c r="O22" s="360">
        <f t="shared" si="21"/>
        <v>0</v>
      </c>
      <c r="P22" s="360">
        <f t="shared" si="21"/>
        <v>0</v>
      </c>
      <c r="Q22" s="360">
        <f t="shared" si="21"/>
        <v>0</v>
      </c>
      <c r="R22" s="360">
        <f t="shared" si="21"/>
        <v>0</v>
      </c>
      <c r="S22" s="360">
        <f t="shared" si="21"/>
        <v>0</v>
      </c>
      <c r="T22" s="360">
        <f t="shared" si="21"/>
        <v>0</v>
      </c>
      <c r="U22" s="360">
        <f t="shared" si="21"/>
        <v>0</v>
      </c>
      <c r="V22" s="360">
        <f t="shared" si="21"/>
        <v>0</v>
      </c>
      <c r="W22" s="360">
        <f t="shared" si="21"/>
        <v>0</v>
      </c>
      <c r="X22" s="360">
        <f t="shared" si="21"/>
        <v>0</v>
      </c>
      <c r="Y22" s="360">
        <f t="shared" si="21"/>
        <v>0</v>
      </c>
      <c r="Z22" s="360">
        <f t="shared" si="21"/>
        <v>0</v>
      </c>
      <c r="AA22" s="360">
        <f t="shared" si="21"/>
        <v>0</v>
      </c>
      <c r="AB22" s="360">
        <f t="shared" si="21"/>
        <v>0</v>
      </c>
      <c r="AC22" s="360">
        <f t="shared" si="21"/>
        <v>0</v>
      </c>
      <c r="AD22" s="360">
        <f t="shared" si="21"/>
        <v>0</v>
      </c>
      <c r="AE22" s="360">
        <f t="shared" si="21"/>
        <v>0</v>
      </c>
      <c r="AF22" s="360">
        <f t="shared" si="21"/>
        <v>0</v>
      </c>
      <c r="AG22" s="360">
        <f t="shared" si="21"/>
        <v>0</v>
      </c>
    </row>
    <row r="23" spans="1:72" s="351" customFormat="1" ht="25" customHeight="1">
      <c r="A23" s="447" t="s">
        <v>413</v>
      </c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388" t="s">
        <v>447</v>
      </c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90"/>
      <c r="AW23" s="397" t="s">
        <v>443</v>
      </c>
      <c r="AX23" s="398"/>
      <c r="AY23" s="398"/>
      <c r="AZ23" s="399"/>
      <c r="BA23" s="406" t="s">
        <v>444</v>
      </c>
      <c r="BB23" s="407"/>
      <c r="BC23" s="407"/>
      <c r="BD23" s="407"/>
      <c r="BE23" s="407"/>
      <c r="BF23" s="407"/>
      <c r="BG23" s="407"/>
      <c r="BH23" s="408"/>
      <c r="BJ23" s="406" t="s">
        <v>442</v>
      </c>
      <c r="BK23" s="407"/>
      <c r="BL23" s="407"/>
      <c r="BM23" s="407"/>
      <c r="BN23" s="407"/>
      <c r="BO23" s="407"/>
      <c r="BP23" s="407"/>
      <c r="BQ23" s="407"/>
      <c r="BR23" s="407"/>
      <c r="BS23" s="407"/>
      <c r="BT23" s="408"/>
    </row>
    <row r="24" spans="1:72" s="351" customFormat="1" ht="25" customHeight="1">
      <c r="A24" s="450" t="s">
        <v>376</v>
      </c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391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3"/>
      <c r="AW24" s="400"/>
      <c r="AX24" s="401"/>
      <c r="AY24" s="401"/>
      <c r="AZ24" s="402"/>
      <c r="BA24" s="409"/>
      <c r="BB24" s="410"/>
      <c r="BC24" s="410"/>
      <c r="BD24" s="410"/>
      <c r="BE24" s="410"/>
      <c r="BF24" s="410"/>
      <c r="BG24" s="410"/>
      <c r="BH24" s="411"/>
      <c r="BJ24" s="409"/>
      <c r="BK24" s="410"/>
      <c r="BL24" s="410"/>
      <c r="BM24" s="410"/>
      <c r="BN24" s="410"/>
      <c r="BO24" s="410"/>
      <c r="BP24" s="410"/>
      <c r="BQ24" s="410"/>
      <c r="BR24" s="410"/>
      <c r="BS24" s="410"/>
      <c r="BT24" s="411"/>
    </row>
    <row r="25" spans="1:72" s="351" customFormat="1" ht="25" customHeight="1">
      <c r="A25" s="453" t="s">
        <v>459</v>
      </c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391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3"/>
      <c r="AW25" s="400"/>
      <c r="AX25" s="401"/>
      <c r="AY25" s="401"/>
      <c r="AZ25" s="402"/>
      <c r="BA25" s="409"/>
      <c r="BB25" s="410"/>
      <c r="BC25" s="410"/>
      <c r="BD25" s="410"/>
      <c r="BE25" s="410"/>
      <c r="BF25" s="410"/>
      <c r="BG25" s="410"/>
      <c r="BH25" s="411"/>
      <c r="BJ25" s="409"/>
      <c r="BK25" s="410"/>
      <c r="BL25" s="410"/>
      <c r="BM25" s="410"/>
      <c r="BN25" s="410"/>
      <c r="BO25" s="410"/>
      <c r="BP25" s="410"/>
      <c r="BQ25" s="410"/>
      <c r="BR25" s="410"/>
      <c r="BS25" s="410"/>
      <c r="BT25" s="411"/>
    </row>
    <row r="26" spans="1:72" s="351" customFormat="1" ht="25" customHeight="1" thickBot="1">
      <c r="A26" s="378" t="s">
        <v>492</v>
      </c>
      <c r="B26" s="379"/>
      <c r="C26" s="379"/>
      <c r="D26" s="379"/>
      <c r="E26" s="379"/>
      <c r="F26" s="379"/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94"/>
      <c r="V26" s="395"/>
      <c r="W26" s="395"/>
      <c r="X26" s="395"/>
      <c r="Y26" s="395"/>
      <c r="Z26" s="395"/>
      <c r="AA26" s="395"/>
      <c r="AB26" s="395"/>
      <c r="AC26" s="395"/>
      <c r="AD26" s="395"/>
      <c r="AE26" s="395"/>
      <c r="AF26" s="395"/>
      <c r="AG26" s="395"/>
      <c r="AH26" s="395"/>
      <c r="AI26" s="395"/>
      <c r="AJ26" s="395"/>
      <c r="AK26" s="395"/>
      <c r="AL26" s="395"/>
      <c r="AM26" s="395"/>
      <c r="AN26" s="395"/>
      <c r="AO26" s="395"/>
      <c r="AP26" s="396"/>
      <c r="AW26" s="403"/>
      <c r="AX26" s="404"/>
      <c r="AY26" s="404"/>
      <c r="AZ26" s="405"/>
      <c r="BA26" s="412"/>
      <c r="BB26" s="413"/>
      <c r="BC26" s="413"/>
      <c r="BD26" s="413"/>
      <c r="BE26" s="413"/>
      <c r="BF26" s="413"/>
      <c r="BG26" s="413"/>
      <c r="BH26" s="414"/>
      <c r="BJ26" s="412"/>
      <c r="BK26" s="413"/>
      <c r="BL26" s="413"/>
      <c r="BM26" s="413"/>
      <c r="BN26" s="413"/>
      <c r="BO26" s="413"/>
      <c r="BP26" s="413"/>
      <c r="BQ26" s="413"/>
      <c r="BR26" s="413"/>
      <c r="BS26" s="413"/>
      <c r="BT26" s="414"/>
    </row>
    <row r="27" spans="1:72" ht="50.15" customHeight="1"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84" t="s">
        <v>453</v>
      </c>
      <c r="U27" s="384"/>
      <c r="V27" s="384"/>
      <c r="W27" s="384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7"/>
      <c r="AR27" s="347"/>
      <c r="AS27" s="347"/>
      <c r="AT27" s="347"/>
      <c r="AU27" s="347"/>
    </row>
    <row r="28" spans="1:72" ht="20.25" customHeight="1">
      <c r="A28" s="346" t="s">
        <v>414</v>
      </c>
      <c r="B28" s="346" t="s">
        <v>418</v>
      </c>
      <c r="C28" s="321"/>
      <c r="D28" s="322"/>
      <c r="E28" s="322"/>
      <c r="F28" s="174"/>
      <c r="G28" s="323"/>
      <c r="H28" s="324"/>
      <c r="I28" s="324"/>
      <c r="J28" s="325"/>
      <c r="K28" s="326"/>
      <c r="L28" s="326"/>
      <c r="M28" s="327"/>
      <c r="N28" s="322"/>
      <c r="O28" s="328"/>
      <c r="P28" s="363"/>
      <c r="Q28" s="363"/>
      <c r="R28" s="363"/>
      <c r="S28" s="363"/>
      <c r="T28" s="363"/>
      <c r="U28" s="363"/>
      <c r="V28" s="363"/>
      <c r="W28" s="363"/>
      <c r="X28" s="363"/>
      <c r="Y28" s="332"/>
      <c r="Z28" s="332"/>
      <c r="AA28" s="332"/>
      <c r="AB28" s="332"/>
      <c r="AC28" s="332"/>
      <c r="AD28" s="332"/>
      <c r="AE28" s="332"/>
      <c r="AF28" s="174"/>
      <c r="AG28" s="333"/>
      <c r="AH28" s="174"/>
      <c r="AI28" s="174"/>
      <c r="AJ28" s="174"/>
      <c r="AK28" s="174"/>
      <c r="AL28" s="174"/>
      <c r="AM28" s="174"/>
      <c r="AN28" s="174"/>
      <c r="AO28" s="174"/>
      <c r="AP28" s="174"/>
    </row>
    <row r="29" spans="1:72" ht="20.25" customHeight="1">
      <c r="A29" s="19" t="s">
        <v>1</v>
      </c>
      <c r="B29" s="19"/>
      <c r="C29" s="30">
        <f>DATE($G$2,$J$2,1)</f>
        <v>46235</v>
      </c>
      <c r="D29" s="30">
        <f t="shared" ref="D29:AC29" si="22">C29+1</f>
        <v>46236</v>
      </c>
      <c r="E29" s="30">
        <f t="shared" si="22"/>
        <v>46237</v>
      </c>
      <c r="F29" s="30">
        <f t="shared" si="22"/>
        <v>46238</v>
      </c>
      <c r="G29" s="30">
        <f t="shared" si="22"/>
        <v>46239</v>
      </c>
      <c r="H29" s="30">
        <f t="shared" si="22"/>
        <v>46240</v>
      </c>
      <c r="I29" s="30">
        <f t="shared" si="22"/>
        <v>46241</v>
      </c>
      <c r="J29" s="30">
        <f t="shared" si="22"/>
        <v>46242</v>
      </c>
      <c r="K29" s="30">
        <f t="shared" si="22"/>
        <v>46243</v>
      </c>
      <c r="L29" s="30">
        <f t="shared" si="22"/>
        <v>46244</v>
      </c>
      <c r="M29" s="30">
        <f t="shared" si="22"/>
        <v>46245</v>
      </c>
      <c r="N29" s="30">
        <f t="shared" si="22"/>
        <v>46246</v>
      </c>
      <c r="O29" s="30">
        <f t="shared" si="22"/>
        <v>46247</v>
      </c>
      <c r="P29" s="30">
        <f t="shared" si="22"/>
        <v>46248</v>
      </c>
      <c r="Q29" s="30">
        <f t="shared" si="22"/>
        <v>46249</v>
      </c>
      <c r="R29" s="30">
        <f t="shared" si="22"/>
        <v>46250</v>
      </c>
      <c r="S29" s="30">
        <f t="shared" si="22"/>
        <v>46251</v>
      </c>
      <c r="T29" s="30">
        <f t="shared" si="22"/>
        <v>46252</v>
      </c>
      <c r="U29" s="30">
        <f t="shared" si="22"/>
        <v>46253</v>
      </c>
      <c r="V29" s="30">
        <f t="shared" si="22"/>
        <v>46254</v>
      </c>
      <c r="W29" s="30">
        <f t="shared" si="22"/>
        <v>46255</v>
      </c>
      <c r="X29" s="30">
        <f t="shared" si="22"/>
        <v>46256</v>
      </c>
      <c r="Y29" s="30">
        <f t="shared" si="22"/>
        <v>46257</v>
      </c>
      <c r="Z29" s="30">
        <f t="shared" si="22"/>
        <v>46258</v>
      </c>
      <c r="AA29" s="30">
        <f t="shared" si="22"/>
        <v>46259</v>
      </c>
      <c r="AB29" s="30">
        <f t="shared" si="22"/>
        <v>46260</v>
      </c>
      <c r="AC29" s="30">
        <f t="shared" si="22"/>
        <v>46261</v>
      </c>
      <c r="AD29" s="30">
        <f>IFERROR(IF(MONTH(AC29+1)=$J$2,AC29+1,""),"")</f>
        <v>46262</v>
      </c>
      <c r="AE29" s="30">
        <f>IFERROR(IF(MONTH(AD29+1)=$J$2,AD29+1,""),"")</f>
        <v>46263</v>
      </c>
      <c r="AF29" s="30">
        <f>IFERROR(IF(MONTH(AE29+1)=$J$2,AE29+1,""),"")</f>
        <v>46264</v>
      </c>
      <c r="AG29" s="30">
        <f>IFERROR(IF(MONTH(AF29+1)=$J$2,AF29+1,""),"")</f>
        <v>46265</v>
      </c>
      <c r="AH29" s="3" t="s">
        <v>35</v>
      </c>
      <c r="AI29" s="3" t="s">
        <v>3</v>
      </c>
      <c r="AJ29" s="3" t="s">
        <v>5</v>
      </c>
      <c r="AK29" s="3" t="s">
        <v>4</v>
      </c>
      <c r="AL29" s="3" t="s">
        <v>39</v>
      </c>
      <c r="AM29" s="3" t="s">
        <v>40</v>
      </c>
      <c r="AN29" s="3" t="s">
        <v>252</v>
      </c>
      <c r="AO29" s="3"/>
      <c r="AP29" s="3"/>
      <c r="AQ29" s="12"/>
      <c r="AR29" s="12"/>
      <c r="AS29" s="12"/>
      <c r="AT29" s="12"/>
      <c r="AU29" s="12"/>
    </row>
    <row r="30" spans="1:72" ht="20.25" customHeight="1">
      <c r="A30" s="19" t="s">
        <v>41</v>
      </c>
      <c r="B30" s="19"/>
      <c r="C30" s="31">
        <f>IFERROR(IF(WEEKDAY(C29,2)=7,"日",WEEKDAY(C29,2)),"")</f>
        <v>6</v>
      </c>
      <c r="D30" s="31" t="str">
        <f>IFERROR(IF(WEEKDAY(D29,2)=7,"日",WEEKDAY(D29,2)),"")</f>
        <v>日</v>
      </c>
      <c r="E30" s="31">
        <f t="shared" ref="E30:AG30" si="23">IFERROR(IF(WEEKDAY(E29,2)=7,"日",WEEKDAY(E29,2)),"")</f>
        <v>1</v>
      </c>
      <c r="F30" s="31">
        <f t="shared" si="23"/>
        <v>2</v>
      </c>
      <c r="G30" s="31">
        <f t="shared" si="23"/>
        <v>3</v>
      </c>
      <c r="H30" s="31">
        <f t="shared" si="23"/>
        <v>4</v>
      </c>
      <c r="I30" s="31">
        <f t="shared" si="23"/>
        <v>5</v>
      </c>
      <c r="J30" s="31">
        <f t="shared" si="23"/>
        <v>6</v>
      </c>
      <c r="K30" s="31" t="str">
        <f t="shared" si="23"/>
        <v>日</v>
      </c>
      <c r="L30" s="31">
        <f t="shared" si="23"/>
        <v>1</v>
      </c>
      <c r="M30" s="31">
        <f t="shared" si="23"/>
        <v>2</v>
      </c>
      <c r="N30" s="31">
        <f t="shared" si="23"/>
        <v>3</v>
      </c>
      <c r="O30" s="31">
        <f t="shared" si="23"/>
        <v>4</v>
      </c>
      <c r="P30" s="31">
        <f t="shared" si="23"/>
        <v>5</v>
      </c>
      <c r="Q30" s="31">
        <f t="shared" si="23"/>
        <v>6</v>
      </c>
      <c r="R30" s="31" t="str">
        <f t="shared" si="23"/>
        <v>日</v>
      </c>
      <c r="S30" s="31">
        <f t="shared" si="23"/>
        <v>1</v>
      </c>
      <c r="T30" s="31">
        <f t="shared" si="23"/>
        <v>2</v>
      </c>
      <c r="U30" s="31">
        <f t="shared" si="23"/>
        <v>3</v>
      </c>
      <c r="V30" s="31">
        <f t="shared" si="23"/>
        <v>4</v>
      </c>
      <c r="W30" s="31">
        <f t="shared" si="23"/>
        <v>5</v>
      </c>
      <c r="X30" s="31">
        <f t="shared" si="23"/>
        <v>6</v>
      </c>
      <c r="Y30" s="31" t="str">
        <f t="shared" si="23"/>
        <v>日</v>
      </c>
      <c r="Z30" s="31">
        <f t="shared" si="23"/>
        <v>1</v>
      </c>
      <c r="AA30" s="31">
        <f t="shared" si="23"/>
        <v>2</v>
      </c>
      <c r="AB30" s="31">
        <f t="shared" si="23"/>
        <v>3</v>
      </c>
      <c r="AC30" s="31">
        <f t="shared" si="23"/>
        <v>4</v>
      </c>
      <c r="AD30" s="31">
        <f t="shared" si="23"/>
        <v>5</v>
      </c>
      <c r="AE30" s="31">
        <f t="shared" si="23"/>
        <v>6</v>
      </c>
      <c r="AF30" s="31" t="str">
        <f t="shared" si="23"/>
        <v>日</v>
      </c>
      <c r="AG30" s="31">
        <f t="shared" si="23"/>
        <v>1</v>
      </c>
      <c r="AH30" s="377" t="s">
        <v>42</v>
      </c>
      <c r="AI30" s="377"/>
      <c r="AJ30" s="377"/>
      <c r="AK30" s="377"/>
      <c r="AL30" s="377"/>
      <c r="AM30" s="377"/>
      <c r="AN30" s="174"/>
      <c r="AO30" s="3"/>
      <c r="AP30" s="3"/>
      <c r="AQ30" s="12"/>
      <c r="AR30" s="12"/>
      <c r="AS30" s="12"/>
      <c r="AT30" s="12"/>
      <c r="AU30" s="12"/>
    </row>
    <row r="31" spans="1:72" ht="20.25" customHeight="1">
      <c r="A31" s="338" t="s">
        <v>45</v>
      </c>
      <c r="B31" s="338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">
        <f>(AI31*12)+(AJ31*12)+(AL31*8)+(AM31*4)</f>
        <v>228</v>
      </c>
      <c r="AI31" s="3">
        <f t="shared" ref="AI31:AI40" si="24">COUNTIF(C31:AG31,"D")</f>
        <v>0</v>
      </c>
      <c r="AJ31" s="3">
        <f t="shared" ref="AJ31:AJ40" si="25">COUNTIF(C31:AG31,"N")</f>
        <v>0</v>
      </c>
      <c r="AK31" s="3">
        <f t="shared" ref="AK31:AK40" si="26">COUNTIF(C31:AG31,"OFF")+COUNTIF(C31:AG31,"上課")</f>
        <v>0</v>
      </c>
      <c r="AL31" s="3">
        <f t="shared" ref="AL31:AL40" si="27">COUNTIF(C31:AG31,"")-AM31+COUNTIF(C31:AG31,"h3")</f>
        <v>26</v>
      </c>
      <c r="AM31" s="3">
        <f t="shared" ref="AM31:AM40" si="28">COUNTIFS($C$5:$AG$5,"6",C31:AG31,"")+COUNTIF(C31:AG31,"h3")</f>
        <v>5</v>
      </c>
      <c r="AN31" s="3">
        <f t="array" ref="AN31">SUMPRODUCT(($C$5:$AG$5=6)*(C31:AG31="off"))</f>
        <v>0</v>
      </c>
      <c r="AO31" s="3"/>
      <c r="AP31" s="3"/>
      <c r="AQ31" s="12"/>
      <c r="AR31" s="12"/>
      <c r="AS31" s="12"/>
      <c r="AT31" s="12"/>
      <c r="AU31" s="12"/>
    </row>
    <row r="32" spans="1:72" ht="20.25" customHeight="1">
      <c r="A32" s="6" t="s">
        <v>415</v>
      </c>
      <c r="B32" s="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">
        <f>(AI32*12)+(AJ32*12)+(AL32*8)+(AM32*4)</f>
        <v>228</v>
      </c>
      <c r="AI32" s="3">
        <f t="shared" si="24"/>
        <v>0</v>
      </c>
      <c r="AJ32" s="3">
        <f t="shared" si="25"/>
        <v>0</v>
      </c>
      <c r="AK32" s="3">
        <f t="shared" si="26"/>
        <v>0</v>
      </c>
      <c r="AL32" s="3">
        <f t="shared" si="27"/>
        <v>26</v>
      </c>
      <c r="AM32" s="3">
        <f t="shared" si="28"/>
        <v>5</v>
      </c>
      <c r="AN32" s="3">
        <f t="array" ref="AN32">SUMPRODUCT(($C$5:$AG$5=6)*(C32:AG32="off"))</f>
        <v>0</v>
      </c>
      <c r="AO32" s="3"/>
      <c r="AP32" s="3"/>
      <c r="AQ32" s="12"/>
      <c r="AR32" s="12"/>
      <c r="AS32" s="12"/>
      <c r="AT32" s="12"/>
      <c r="AU32" s="12"/>
    </row>
    <row r="33" spans="1:47" ht="20.25" customHeight="1">
      <c r="A33" s="6" t="s">
        <v>46</v>
      </c>
      <c r="B33" s="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">
        <f>(AI33*12)+(AJ33*12)+(AL33*8)+(AM33*4)</f>
        <v>228</v>
      </c>
      <c r="AI33" s="3">
        <f t="shared" si="24"/>
        <v>0</v>
      </c>
      <c r="AJ33" s="3">
        <f t="shared" si="25"/>
        <v>0</v>
      </c>
      <c r="AK33" s="3">
        <f t="shared" si="26"/>
        <v>0</v>
      </c>
      <c r="AL33" s="3">
        <f t="shared" si="27"/>
        <v>26</v>
      </c>
      <c r="AM33" s="3">
        <f t="shared" si="28"/>
        <v>5</v>
      </c>
      <c r="AN33" s="3">
        <f t="array" ref="AN33">SUMPRODUCT(($C$5:$AG$5=6)*(C33:AG33="off"))</f>
        <v>0</v>
      </c>
      <c r="AO33" s="3"/>
      <c r="AP33" s="3"/>
      <c r="AQ33" s="12"/>
      <c r="AR33" s="12"/>
      <c r="AS33" s="12"/>
      <c r="AT33" s="12"/>
      <c r="AU33" s="12"/>
    </row>
    <row r="34" spans="1:47" ht="20.25" customHeight="1">
      <c r="A34" s="6" t="s">
        <v>12</v>
      </c>
      <c r="B34" s="6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">
        <f>(AI34*12)+(AJ34*12)+(AL34*8)+(AM34*4)</f>
        <v>228</v>
      </c>
      <c r="AI34" s="3">
        <f t="shared" si="24"/>
        <v>0</v>
      </c>
      <c r="AJ34" s="3">
        <f t="shared" si="25"/>
        <v>0</v>
      </c>
      <c r="AK34" s="3">
        <f t="shared" si="26"/>
        <v>0</v>
      </c>
      <c r="AL34" s="3">
        <f t="shared" si="27"/>
        <v>26</v>
      </c>
      <c r="AM34" s="3">
        <f t="shared" si="28"/>
        <v>5</v>
      </c>
      <c r="AN34" s="3">
        <f t="array" ref="AN34">SUMPRODUCT(($C$5:$AG$5=6)*(C34:AG34="off"))</f>
        <v>0</v>
      </c>
      <c r="AO34" s="3"/>
      <c r="AP34" s="3"/>
      <c r="AQ34" s="12"/>
      <c r="AR34" s="12"/>
      <c r="AS34" s="12"/>
      <c r="AT34" s="12"/>
      <c r="AU34" s="12"/>
    </row>
    <row r="35" spans="1:47" ht="20.25" customHeight="1">
      <c r="A35" s="6" t="s">
        <v>49</v>
      </c>
      <c r="B35" s="6" t="s">
        <v>419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">
        <f t="shared" ref="AH35:AH40" si="29">(AI35*12)+(AJ35*12)+(AL35*8)+(AM35*4)</f>
        <v>228</v>
      </c>
      <c r="AI35" s="3">
        <f t="shared" si="24"/>
        <v>0</v>
      </c>
      <c r="AJ35" s="3">
        <f t="shared" si="25"/>
        <v>0</v>
      </c>
      <c r="AK35" s="3">
        <f t="shared" si="26"/>
        <v>0</v>
      </c>
      <c r="AL35" s="3">
        <f t="shared" si="27"/>
        <v>26</v>
      </c>
      <c r="AM35" s="3">
        <f t="shared" si="28"/>
        <v>5</v>
      </c>
      <c r="AN35" s="3">
        <f t="array" ref="AN35">SUMPRODUCT(($C$5:$AG$5=6)*(C35:AG35="off"))</f>
        <v>0</v>
      </c>
      <c r="AO35" s="3"/>
      <c r="AP35" s="3"/>
      <c r="AQ35" s="12"/>
      <c r="AR35" s="12"/>
      <c r="AS35" s="12"/>
      <c r="AT35" s="12"/>
      <c r="AU35" s="12"/>
    </row>
    <row r="36" spans="1:47" ht="20.25" customHeight="1">
      <c r="A36" s="6" t="s">
        <v>26</v>
      </c>
      <c r="B36" s="6" t="s">
        <v>419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">
        <f t="shared" si="29"/>
        <v>228</v>
      </c>
      <c r="AI36" s="3">
        <f t="shared" si="24"/>
        <v>0</v>
      </c>
      <c r="AJ36" s="3">
        <f t="shared" si="25"/>
        <v>0</v>
      </c>
      <c r="AK36" s="3">
        <f t="shared" si="26"/>
        <v>0</v>
      </c>
      <c r="AL36" s="3">
        <f t="shared" si="27"/>
        <v>26</v>
      </c>
      <c r="AM36" s="3">
        <f t="shared" si="28"/>
        <v>5</v>
      </c>
      <c r="AN36" s="3">
        <f t="array" ref="AN36">SUMPRODUCT(($C$5:$AG$5=6)*(C36:AG36="off"))</f>
        <v>0</v>
      </c>
      <c r="AO36" s="3"/>
      <c r="AP36" s="3"/>
      <c r="AQ36" s="12"/>
      <c r="AR36" s="12"/>
      <c r="AS36" s="12"/>
      <c r="AT36" s="12"/>
      <c r="AU36" s="12"/>
    </row>
    <row r="37" spans="1:47" ht="20.25" customHeight="1">
      <c r="A37" s="6" t="s">
        <v>51</v>
      </c>
      <c r="B37" s="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">
        <f t="shared" si="29"/>
        <v>228</v>
      </c>
      <c r="AI37" s="3">
        <f t="shared" si="24"/>
        <v>0</v>
      </c>
      <c r="AJ37" s="3">
        <f t="shared" si="25"/>
        <v>0</v>
      </c>
      <c r="AK37" s="3">
        <f t="shared" si="26"/>
        <v>0</v>
      </c>
      <c r="AL37" s="3">
        <f t="shared" si="27"/>
        <v>26</v>
      </c>
      <c r="AM37" s="3">
        <f t="shared" si="28"/>
        <v>5</v>
      </c>
      <c r="AN37" s="3">
        <f t="array" ref="AN37">SUMPRODUCT(($C$5:$AG$5=6)*(C37:AG37="off"))</f>
        <v>0</v>
      </c>
      <c r="AO37" s="3"/>
      <c r="AP37" s="3"/>
      <c r="AQ37" s="12"/>
      <c r="AR37" s="12"/>
      <c r="AS37" s="12"/>
      <c r="AT37" s="12"/>
      <c r="AU37" s="12"/>
    </row>
    <row r="38" spans="1:47" ht="20.25" customHeight="1">
      <c r="A38" s="6" t="s">
        <v>310</v>
      </c>
      <c r="B38" s="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 t="s">
        <v>2</v>
      </c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">
        <f t="shared" si="29"/>
        <v>220</v>
      </c>
      <c r="AI38" s="3">
        <f t="shared" si="24"/>
        <v>0</v>
      </c>
      <c r="AJ38" s="3">
        <f t="shared" si="25"/>
        <v>0</v>
      </c>
      <c r="AK38" s="3">
        <f t="shared" si="26"/>
        <v>1</v>
      </c>
      <c r="AL38" s="3">
        <f t="shared" si="27"/>
        <v>25</v>
      </c>
      <c r="AM38" s="3">
        <f t="shared" si="28"/>
        <v>5</v>
      </c>
      <c r="AN38" s="3">
        <f t="array" ref="AN38">SUMPRODUCT(($C$5:$AG$5=6)*(C38:AG38="off"))</f>
        <v>0</v>
      </c>
      <c r="AO38" s="3"/>
      <c r="AP38" s="3"/>
      <c r="AQ38" s="12"/>
      <c r="AR38" s="12"/>
      <c r="AS38" s="12"/>
      <c r="AT38" s="12"/>
      <c r="AU38" s="12"/>
    </row>
    <row r="39" spans="1:47" ht="20.25" customHeight="1">
      <c r="A39" s="6" t="s">
        <v>382</v>
      </c>
      <c r="B39" s="6" t="s">
        <v>319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">
        <f t="shared" si="29"/>
        <v>228</v>
      </c>
      <c r="AI39" s="3">
        <f t="shared" si="24"/>
        <v>0</v>
      </c>
      <c r="AJ39" s="3">
        <f t="shared" si="25"/>
        <v>0</v>
      </c>
      <c r="AK39" s="3">
        <f t="shared" si="26"/>
        <v>0</v>
      </c>
      <c r="AL39" s="3">
        <f t="shared" si="27"/>
        <v>26</v>
      </c>
      <c r="AM39" s="3">
        <f t="shared" si="28"/>
        <v>5</v>
      </c>
      <c r="AN39" s="3">
        <f t="array" ref="AN39">SUMPRODUCT(($C$5:$AG$5=6)*(C39:AG39="off"))</f>
        <v>0</v>
      </c>
      <c r="AO39" s="3"/>
      <c r="AP39" s="3"/>
      <c r="AQ39" s="12"/>
      <c r="AR39" s="12"/>
      <c r="AS39" s="12"/>
      <c r="AT39" s="12"/>
      <c r="AU39" s="12"/>
    </row>
    <row r="40" spans="1:47" ht="20.25" customHeight="1">
      <c r="A40" s="6" t="s">
        <v>450</v>
      </c>
      <c r="B40" s="6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">
        <f t="shared" si="29"/>
        <v>228</v>
      </c>
      <c r="AI40" s="3">
        <f t="shared" si="24"/>
        <v>0</v>
      </c>
      <c r="AJ40" s="3">
        <f t="shared" si="25"/>
        <v>0</v>
      </c>
      <c r="AK40" s="3">
        <f t="shared" si="26"/>
        <v>0</v>
      </c>
      <c r="AL40" s="3">
        <f t="shared" si="27"/>
        <v>26</v>
      </c>
      <c r="AM40" s="3">
        <f t="shared" si="28"/>
        <v>5</v>
      </c>
      <c r="AN40" s="3">
        <f t="array" ref="AN40">SUMPRODUCT(($C$5:$AG$5=6)*(C40:AG40="off"))</f>
        <v>0</v>
      </c>
      <c r="AO40" s="3"/>
      <c r="AP40" s="3"/>
      <c r="AQ40" s="12"/>
      <c r="AR40" s="12"/>
      <c r="AS40" s="12"/>
      <c r="AT40" s="12"/>
      <c r="AU40" s="12"/>
    </row>
    <row r="41" spans="1:47" ht="20.25" customHeight="1">
      <c r="A41" s="6" t="s">
        <v>440</v>
      </c>
      <c r="B41" s="6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"/>
      <c r="AI41" s="3"/>
      <c r="AJ41" s="3"/>
      <c r="AK41" s="3"/>
      <c r="AL41" s="3"/>
      <c r="AM41" s="3"/>
      <c r="AN41" s="3"/>
      <c r="AO41" s="3"/>
      <c r="AP41" s="3"/>
      <c r="AQ41" s="12"/>
      <c r="AR41" s="12"/>
      <c r="AS41" s="12"/>
      <c r="AT41" s="12"/>
      <c r="AU41" s="12"/>
    </row>
    <row r="42" spans="1:47" ht="20.25" customHeight="1">
      <c r="A42" s="6" t="s">
        <v>383</v>
      </c>
      <c r="B42" s="6" t="s">
        <v>419</v>
      </c>
      <c r="C42" s="88"/>
      <c r="D42" s="88"/>
      <c r="E42" s="88"/>
      <c r="F42" s="88"/>
      <c r="G42" s="88"/>
      <c r="H42" s="33"/>
      <c r="I42" s="33"/>
      <c r="J42" s="33"/>
      <c r="K42" s="33"/>
      <c r="L42" s="33"/>
      <c r="M42" s="33"/>
      <c r="N42" s="33"/>
      <c r="O42" s="33"/>
      <c r="P42" s="88"/>
      <c r="Q42" s="33"/>
      <c r="R42" s="88"/>
      <c r="S42" s="88"/>
      <c r="T42" s="88"/>
      <c r="U42" s="88"/>
      <c r="V42" s="88"/>
      <c r="W42" s="88"/>
      <c r="X42" s="83"/>
      <c r="Y42" s="33"/>
      <c r="Z42" s="88"/>
      <c r="AA42" s="88"/>
      <c r="AB42" s="33"/>
      <c r="AC42" s="33"/>
      <c r="AD42" s="33"/>
      <c r="AE42" s="33"/>
      <c r="AF42" s="33"/>
      <c r="AG42" s="88"/>
      <c r="AH42" s="3"/>
      <c r="AI42" s="3"/>
      <c r="AJ42" s="3"/>
      <c r="AK42" s="3"/>
      <c r="AL42" s="3"/>
      <c r="AM42" s="3"/>
      <c r="AN42" s="3"/>
      <c r="AO42" s="3"/>
      <c r="AP42" s="3"/>
      <c r="AQ42" s="12"/>
      <c r="AR42" s="12"/>
      <c r="AS42" s="12"/>
      <c r="AT42" s="12"/>
      <c r="AU42" s="12"/>
    </row>
    <row r="43" spans="1:47" ht="20.25" customHeight="1">
      <c r="A43" s="6" t="s">
        <v>277</v>
      </c>
      <c r="B43" s="6"/>
      <c r="C43" s="172">
        <f>IF($AZ$2="", IF(C30="","",IF(C$44="國",COUNTA($BJ$6:$BJ$17)-$AX$3-$AX$4-COUNTA($BL$6:$BL$17),IF(C30="日",COUNTA($BJ$6:$BJ$17)-$AX$3-$AX$4-COUNTA($BL$6:$BL$17),IF(C30=6,COUNTA($BJ$6:$BJ$17)-$AX$5-COUNTA($BL$6:$BL$17),IF(C30&lt;6,COUNTA($BJ$6:$BJ$17)-$AX$5-COUNTA($BL$6:$BL$17)))))), IF(DAY(C$29)&lt;$AZ$2,IF(C30="","",IF(C$44="國",COUNTA($BJ$6:$BJ$17)-$AX$3-$AX$4-COUNTA($BL$6:$BL$17),IF(C30="日",COUNTA($BJ$6:$BJ$17)-$AX$3-$AX$4-COUNTA($BL$6:$BL$17),IF(C30=6,COUNTA($BJ$6:$BJ$17)-$AX$5-COUNTA($BL$6:$BL$17),IF(C30&lt;6,COUNTA($BJ$6:$BJ$17)-$AX$5-COUNTA($BL$6:$BL$17)))))),IF(C30="","",IF(C$44="國",COUNTA($BJ$6:$BJ$17)-$AY$3-$AY$4-COUNTA($BL$6:$BL$17),IF(C30="日",COUNTA($BJ$6:$BJ$17)-$AY$3-$AY$4-COUNTA($BL$6:$BL$17),IF(C30=6,COUNTA($BJ$6:$BJ$17)-$AY$5-COUNTA($BL$6:$BL$17),IF(C30&lt;6,COUNTA($BJ$6:$BJ$17)-$AY$5-COUNTA($BL$6:$BL$17))))))))</f>
        <v>4</v>
      </c>
      <c r="D43" s="172">
        <f>IF($AZ$2="", IF(D30="","",IF(D$44="國",COUNTA($BJ$6:$BJ$17)-$AX$3-$AX$4-COUNTA($BL$6:$BL$17),IF(D30="日",COUNTA($BJ$6:$BJ$17)-$AX$3-$AX$4-COUNTA($BL$6:$BL$17),IF(D30=6,COUNTA($BJ$6:$BJ$17)-$AX$5-COUNTA($BL$6:$BL$17),IF(D30&lt;6,COUNTA($BJ$6:$BJ$17)-$AX$5-COUNTA($BL$6:$BL$17)))))), IF(DAY(D$29)&lt;$AZ$2,IF(D30="","",IF(D$44="國",COUNTA($BJ$6:$BJ$17)-$AX$3-$AX$4-COUNTA($BL$6:$BL$17),IF(D30="日",COUNTA($BJ$6:$BJ$17)-$AX$3-$AX$4-COUNTA($BL$6:$BL$17),IF(D30=6,COUNTA($BJ$6:$BJ$17)-$AX$5-COUNTA($BL$6:$BL$17),IF(D30&lt;6,COUNTA($BJ$6:$BJ$17)-$AX$5-COUNTA($BL$6:$BL$17)))))),IF(D30="","",IF(D$44="國",COUNTA($BJ$6:$BJ$17)-$AY$3-$AY$4-COUNTA($BL$6:$BL$17),IF(D30="日",COUNTA($BJ$6:$BJ$17)-$AY$3-$AY$4-COUNTA($BL$6:$BL$17),IF(D30=6,COUNTA($BJ$6:$BJ$17)-$AY$5-COUNTA($BL$6:$BL$17),IF(D30&lt;6,COUNTA($BJ$6:$BJ$17)-$AY$5-COUNTA($BL$6:$BL$17))))))))</f>
        <v>6</v>
      </c>
      <c r="E43" s="172">
        <f t="shared" ref="E43:AG43" si="30">IF($AZ$2="", IF(E30="","",IF(E$44="國",COUNTA($BJ$6:$BJ$17)-$AX$3-$AX$4-COUNTA($BL$6:$BL$17),IF(E30="日",COUNTA($BJ$6:$BJ$17)-$AX$3-$AX$4-COUNTA($BL$6:$BL$17),IF(E30=6,COUNTA($BJ$6:$BJ$17)-$AX$5-COUNTA($BL$6:$BL$17),IF(E30&lt;6,COUNTA($BJ$6:$BJ$17)-$AX$5-COUNTA($BL$6:$BL$17)))))), IF(DAY(E$29)&lt;$AZ$2,IF(E30="","",IF(E$44="國",COUNTA($BJ$6:$BJ$17)-$AX$3-$AX$4-COUNTA($BL$6:$BL$17),IF(E30="日",COUNTA($BJ$6:$BJ$17)-$AX$3-$AX$4-COUNTA($BL$6:$BL$17),IF(E30=6,COUNTA($BJ$6:$BJ$17)-$AX$5-COUNTA($BL$6:$BL$17),IF(E30&lt;6,COUNTA($BJ$6:$BJ$17)-$AX$5-COUNTA($BL$6:$BL$17)))))),IF(E30="","",IF(E$44="國",COUNTA($BJ$6:$BJ$17)-$AY$3-$AY$4-COUNTA($BL$6:$BL$17),IF(E30="日",COUNTA($BJ$6:$BJ$17)-$AY$3-$AY$4-COUNTA($BL$6:$BL$17),IF(E30=6,COUNTA($BJ$6:$BJ$17)-$AY$5-COUNTA($BL$6:$BL$17),IF(E30&lt;6,COUNTA($BJ$6:$BJ$17)-$AY$5-COUNTA($BL$6:$BL$17))))))))</f>
        <v>4</v>
      </c>
      <c r="F43" s="172">
        <f t="shared" si="30"/>
        <v>4</v>
      </c>
      <c r="G43" s="172">
        <f t="shared" si="30"/>
        <v>4</v>
      </c>
      <c r="H43" s="172">
        <f t="shared" si="30"/>
        <v>4</v>
      </c>
      <c r="I43" s="172">
        <f t="shared" si="30"/>
        <v>4</v>
      </c>
      <c r="J43" s="172">
        <f t="shared" si="30"/>
        <v>4</v>
      </c>
      <c r="K43" s="172">
        <f t="shared" si="30"/>
        <v>6</v>
      </c>
      <c r="L43" s="172">
        <f t="shared" si="30"/>
        <v>4</v>
      </c>
      <c r="M43" s="172">
        <f t="shared" si="30"/>
        <v>4</v>
      </c>
      <c r="N43" s="172">
        <f t="shared" si="30"/>
        <v>4</v>
      </c>
      <c r="O43" s="172">
        <f t="shared" si="30"/>
        <v>4</v>
      </c>
      <c r="P43" s="172">
        <f t="shared" si="30"/>
        <v>4</v>
      </c>
      <c r="Q43" s="172">
        <f t="shared" si="30"/>
        <v>4</v>
      </c>
      <c r="R43" s="172">
        <f t="shared" si="30"/>
        <v>6</v>
      </c>
      <c r="S43" s="172">
        <f t="shared" si="30"/>
        <v>4</v>
      </c>
      <c r="T43" s="172">
        <f t="shared" si="30"/>
        <v>4</v>
      </c>
      <c r="U43" s="172">
        <f t="shared" si="30"/>
        <v>6</v>
      </c>
      <c r="V43" s="172">
        <f t="shared" si="30"/>
        <v>4</v>
      </c>
      <c r="W43" s="172">
        <f t="shared" si="30"/>
        <v>4</v>
      </c>
      <c r="X43" s="172">
        <f t="shared" si="30"/>
        <v>4</v>
      </c>
      <c r="Y43" s="172">
        <f t="shared" si="30"/>
        <v>6</v>
      </c>
      <c r="Z43" s="172">
        <f t="shared" si="30"/>
        <v>4</v>
      </c>
      <c r="AA43" s="172">
        <f t="shared" si="30"/>
        <v>4</v>
      </c>
      <c r="AB43" s="172">
        <f t="shared" si="30"/>
        <v>4</v>
      </c>
      <c r="AC43" s="172">
        <f t="shared" si="30"/>
        <v>4</v>
      </c>
      <c r="AD43" s="172">
        <f t="shared" si="30"/>
        <v>4</v>
      </c>
      <c r="AE43" s="172">
        <f t="shared" si="30"/>
        <v>4</v>
      </c>
      <c r="AF43" s="172">
        <f t="shared" si="30"/>
        <v>6</v>
      </c>
      <c r="AG43" s="172">
        <f t="shared" si="30"/>
        <v>4</v>
      </c>
      <c r="AH43" s="3" t="s">
        <v>391</v>
      </c>
      <c r="AI43" s="3">
        <f>SUM(AI31:AI40)</f>
        <v>0</v>
      </c>
      <c r="AJ43" s="3">
        <f>SUM(AJ31:AJ40)</f>
        <v>0</v>
      </c>
      <c r="AK43" s="3">
        <f>SUM(AK31:AK40)</f>
        <v>1</v>
      </c>
      <c r="AL43" s="3">
        <f>SUM(AL31:AL40)</f>
        <v>259</v>
      </c>
      <c r="AM43" s="3">
        <f>SUM(AM31:AM40)-SUM(AM35:AM36)-SUM(AM41:AM42)</f>
        <v>40</v>
      </c>
      <c r="AN43" s="3">
        <f>SUM(AN31:AN40)</f>
        <v>0</v>
      </c>
      <c r="AO43" s="3"/>
      <c r="AP43" s="3"/>
      <c r="AQ43" s="12"/>
      <c r="AR43" s="12"/>
      <c r="AS43" s="12"/>
      <c r="AT43" s="12"/>
      <c r="AU43" s="12"/>
    </row>
    <row r="44" spans="1:47" ht="20.25" customHeight="1">
      <c r="A44" s="6" t="s">
        <v>251</v>
      </c>
      <c r="B44" s="6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 t="s">
        <v>250</v>
      </c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3"/>
      <c r="AI44" s="3"/>
      <c r="AJ44" s="3"/>
      <c r="AK44" s="3"/>
      <c r="AL44" s="3"/>
      <c r="AM44" s="3"/>
      <c r="AN44" s="174"/>
      <c r="AO44" s="3"/>
      <c r="AP44" s="3"/>
      <c r="AQ44" s="12"/>
      <c r="AR44" s="12"/>
      <c r="AS44" s="12"/>
      <c r="AT44" s="12"/>
      <c r="AU44" s="12"/>
    </row>
    <row r="45" spans="1:47" ht="19.5">
      <c r="C45" s="360">
        <f>COUNTIF(C31:C40,"off")</f>
        <v>0</v>
      </c>
      <c r="D45" s="360">
        <f>COUNTIF(D31:D40,"off")</f>
        <v>0</v>
      </c>
      <c r="E45" s="360">
        <f t="shared" ref="E45:AG45" si="31">COUNTIF(E31:E40,"off")</f>
        <v>0</v>
      </c>
      <c r="F45" s="360">
        <f t="shared" si="31"/>
        <v>0</v>
      </c>
      <c r="G45" s="360">
        <f t="shared" si="31"/>
        <v>0</v>
      </c>
      <c r="H45" s="360">
        <f t="shared" si="31"/>
        <v>0</v>
      </c>
      <c r="I45" s="360">
        <f t="shared" si="31"/>
        <v>0</v>
      </c>
      <c r="J45" s="360">
        <f t="shared" si="31"/>
        <v>0</v>
      </c>
      <c r="K45" s="360">
        <f t="shared" si="31"/>
        <v>0</v>
      </c>
      <c r="L45" s="360">
        <f t="shared" si="31"/>
        <v>0</v>
      </c>
      <c r="M45" s="360">
        <f t="shared" si="31"/>
        <v>1</v>
      </c>
      <c r="N45" s="360">
        <f t="shared" si="31"/>
        <v>0</v>
      </c>
      <c r="O45" s="360">
        <f t="shared" si="31"/>
        <v>0</v>
      </c>
      <c r="P45" s="360">
        <f t="shared" si="31"/>
        <v>0</v>
      </c>
      <c r="Q45" s="360">
        <f t="shared" si="31"/>
        <v>0</v>
      </c>
      <c r="R45" s="360">
        <f t="shared" si="31"/>
        <v>0</v>
      </c>
      <c r="S45" s="360">
        <f t="shared" si="31"/>
        <v>0</v>
      </c>
      <c r="T45" s="360">
        <f t="shared" si="31"/>
        <v>0</v>
      </c>
      <c r="U45" s="360">
        <f t="shared" si="31"/>
        <v>0</v>
      </c>
      <c r="V45" s="360">
        <f t="shared" si="31"/>
        <v>0</v>
      </c>
      <c r="W45" s="360">
        <f t="shared" si="31"/>
        <v>0</v>
      </c>
      <c r="X45" s="360">
        <f t="shared" si="31"/>
        <v>0</v>
      </c>
      <c r="Y45" s="360">
        <f t="shared" si="31"/>
        <v>0</v>
      </c>
      <c r="Z45" s="360">
        <f t="shared" si="31"/>
        <v>0</v>
      </c>
      <c r="AA45" s="360">
        <f t="shared" si="31"/>
        <v>0</v>
      </c>
      <c r="AB45" s="360">
        <f t="shared" si="31"/>
        <v>0</v>
      </c>
      <c r="AC45" s="360">
        <f t="shared" si="31"/>
        <v>0</v>
      </c>
      <c r="AD45" s="360">
        <f t="shared" si="31"/>
        <v>0</v>
      </c>
      <c r="AE45" s="360">
        <f t="shared" si="31"/>
        <v>0</v>
      </c>
      <c r="AF45" s="360">
        <f t="shared" si="31"/>
        <v>0</v>
      </c>
      <c r="AG45" s="360">
        <f t="shared" si="31"/>
        <v>0</v>
      </c>
    </row>
  </sheetData>
  <protectedRanges>
    <protectedRange password="CC6F" sqref="C4:AG5 D1:P2 A29:AG30 AH31:AN43 AR6:AU6 BB4:BC4 BB2:BH2 AR7:AR16 AS7:AU17 C18:AG18 C43:AG43 AH6:AN18" name="範圍1_24_24_24_24_24_24_24_24"/>
  </protectedRanges>
  <mergeCells count="17">
    <mergeCell ref="AH5:AM5"/>
    <mergeCell ref="A26:T26"/>
    <mergeCell ref="A1:C2"/>
    <mergeCell ref="D1:E1"/>
    <mergeCell ref="G1:H1"/>
    <mergeCell ref="J1:K1"/>
    <mergeCell ref="T1:W2"/>
    <mergeCell ref="T27:W27"/>
    <mergeCell ref="AH30:AM30"/>
    <mergeCell ref="BX11:BZ11"/>
    <mergeCell ref="A23:T23"/>
    <mergeCell ref="U23:AP26"/>
    <mergeCell ref="AW23:AZ26"/>
    <mergeCell ref="BA23:BH26"/>
    <mergeCell ref="BJ23:BT26"/>
    <mergeCell ref="A24:T24"/>
    <mergeCell ref="A25:T25"/>
  </mergeCells>
  <phoneticPr fontId="11" type="noConversion"/>
  <conditionalFormatting sqref="AH4">
    <cfRule type="expression" dxfId="69" priority="12" stopIfTrue="1">
      <formula>WEEKDAY(AH$4)=7</formula>
    </cfRule>
    <cfRule type="expression" dxfId="68" priority="13" stopIfTrue="1">
      <formula>WEEKDAY(AH$4)=1</formula>
    </cfRule>
    <cfRule type="expression" dxfId="67" priority="14" stopIfTrue="1">
      <formula>WEEKDAY(AH$4)=7</formula>
    </cfRule>
    <cfRule type="expression" dxfId="66" priority="15" stopIfTrue="1">
      <formula>WEEKDAY(AH$4)=1</formula>
    </cfRule>
  </conditionalFormatting>
  <conditionalFormatting sqref="C43:AG43">
    <cfRule type="expression" dxfId="65" priority="16" stopIfTrue="1">
      <formula>(COUNTIF(C$31:C$42,"off")+COUNTIF(C$31:C$42,"護"))&lt;&gt;C$43</formula>
    </cfRule>
  </conditionalFormatting>
  <conditionalFormatting sqref="C4:AG6 C7:AF7 C8:AG17">
    <cfRule type="expression" dxfId="64" priority="10" stopIfTrue="1">
      <formula>WEEKDAY(C$4,2)=6</formula>
    </cfRule>
    <cfRule type="expression" dxfId="63" priority="11" stopIfTrue="1">
      <formula>WEEKDAY(C$4,2)=7</formula>
    </cfRule>
  </conditionalFormatting>
  <conditionalFormatting sqref="CD5">
    <cfRule type="expression" dxfId="62" priority="8" stopIfTrue="1">
      <formula>COUNTIF(#REF!,"D")&lt;&gt;$BV4</formula>
    </cfRule>
  </conditionalFormatting>
  <conditionalFormatting sqref="CF5">
    <cfRule type="expression" dxfId="61" priority="9" stopIfTrue="1">
      <formula>COUNTIF(#REF!,"N")&lt;&gt;#REF!</formula>
    </cfRule>
  </conditionalFormatting>
  <conditionalFormatting sqref="CF14">
    <cfRule type="expression" dxfId="60" priority="17" stopIfTrue="1">
      <formula>COUNTIF($C9:$AH9,"N")&lt;&gt;#REF!</formula>
    </cfRule>
  </conditionalFormatting>
  <conditionalFormatting sqref="CF15">
    <cfRule type="expression" dxfId="59" priority="18" stopIfTrue="1">
      <formula>COUNTIF($C9:$AH9,"N")&lt;&gt;#REF!</formula>
    </cfRule>
  </conditionalFormatting>
  <conditionalFormatting sqref="CD6:CD9">
    <cfRule type="expression" dxfId="58" priority="19" stopIfTrue="1">
      <formula>COUNTIF($C2:$AG2,"D")&lt;&gt;$BV5</formula>
    </cfRule>
  </conditionalFormatting>
  <conditionalFormatting sqref="CF12:CF15">
    <cfRule type="expression" dxfId="57" priority="20" stopIfTrue="1">
      <formula>COUNTIF($C8:$AH8,"N")&lt;&gt;#REF!</formula>
    </cfRule>
  </conditionalFormatting>
  <conditionalFormatting sqref="CD12:CD15">
    <cfRule type="expression" dxfId="56" priority="21" stopIfTrue="1">
      <formula>COUNTIF($C8:$AH8,"D")&lt;&gt;$BV11</formula>
    </cfRule>
  </conditionalFormatting>
  <conditionalFormatting sqref="CF6:CF9">
    <cfRule type="expression" dxfId="55" priority="22" stopIfTrue="1">
      <formula>COUNTIF($C2:$AG2,"N")&lt;&gt;#REF!</formula>
    </cfRule>
  </conditionalFormatting>
  <conditionalFormatting sqref="CF11">
    <cfRule type="expression" dxfId="54" priority="23" stopIfTrue="1">
      <formula>COUNTIF($D7:$AH7,"N")&lt;&gt;#REF!</formula>
    </cfRule>
  </conditionalFormatting>
  <conditionalFormatting sqref="CD11">
    <cfRule type="expression" dxfId="53" priority="24" stopIfTrue="1">
      <formula>COUNTIF($D7:$AH7,"D")&lt;&gt;$BV10</formula>
    </cfRule>
  </conditionalFormatting>
  <conditionalFormatting sqref="AH29">
    <cfRule type="expression" dxfId="52" priority="4" stopIfTrue="1">
      <formula>WEEKDAY(AH$4)=7</formula>
    </cfRule>
    <cfRule type="expression" dxfId="51" priority="5" stopIfTrue="1">
      <formula>WEEKDAY(AH$4)=1</formula>
    </cfRule>
    <cfRule type="expression" dxfId="50" priority="6" stopIfTrue="1">
      <formula>WEEKDAY(AH$4)=7</formula>
    </cfRule>
    <cfRule type="expression" dxfId="49" priority="7" stopIfTrue="1">
      <formula>WEEKDAY(AH$4)=1</formula>
    </cfRule>
  </conditionalFormatting>
  <conditionalFormatting sqref="C29:AG42">
    <cfRule type="expression" dxfId="48" priority="2" stopIfTrue="1">
      <formula>WEEKDAY(C$4,2)=6</formula>
    </cfRule>
    <cfRule type="expression" dxfId="47" priority="3" stopIfTrue="1">
      <formula>WEEKDAY(C$4,2)=7</formula>
    </cfRule>
  </conditionalFormatting>
  <conditionalFormatting sqref="C18:AG18">
    <cfRule type="expression" dxfId="46" priority="1" stopIfTrue="1">
      <formula>(COUNTIF(C$6:C$17,"off")+COUNTIF(C$6:C$17,"護"))&lt;&gt;C$18</formula>
    </cfRule>
  </conditionalFormatting>
  <conditionalFormatting sqref="AG7">
    <cfRule type="expression" dxfId="45" priority="25" stopIfTrue="1">
      <formula>WEEKDAY(AF$4,2)=6</formula>
    </cfRule>
    <cfRule type="expression" dxfId="44" priority="26" stopIfTrue="1">
      <formula>WEEKDAY(AF$4,2)=7</formula>
    </cfRule>
  </conditionalFormatting>
  <dataValidations disablePrompts="1" count="6">
    <dataValidation type="list" allowBlank="1" showInputMessage="1" showErrorMessage="1" sqref="C31:AG41" xr:uid="{50BA626C-3E82-49EA-A284-D8F6746E2062}">
      <formula1>$AI$29:$AK$29</formula1>
    </dataValidation>
    <dataValidation type="list" allowBlank="1" sqref="A31:A42 A6:A17" xr:uid="{379088A6-D1E4-44E6-971F-14B88CD6F275}">
      <formula1>姓名清單</formula1>
    </dataValidation>
    <dataValidation type="list" allowBlank="1" showInputMessage="1" sqref="A43:A44 A18:A19" xr:uid="{1EC92EF7-002F-451F-92AA-48336AE6F277}">
      <formula1>$CM$11:$CN$11</formula1>
    </dataValidation>
    <dataValidation type="list" allowBlank="1" showInputMessage="1" sqref="C17:AG17 C42:AG42" xr:uid="{7B6D47BB-66BD-4651-9C88-218D8C0BA215}">
      <formula1>$AI$19:$AI$31</formula1>
    </dataValidation>
    <dataValidation type="list" allowBlank="1" sqref="C16:AG16" xr:uid="{C3DF736C-3BFD-47A2-9476-44C979FC2E7C}">
      <formula1>$AI$4:$AK$4</formula1>
    </dataValidation>
    <dataValidation type="list" allowBlank="1" sqref="C6:AG15" xr:uid="{1DBCB007-0FDF-47D3-9AAC-463867DAF67B}">
      <formula1>$AI$3:$AM$3</formula1>
    </dataValidation>
  </dataValidations>
  <pageMargins left="0.7" right="0.7" top="0.75" bottom="0.75" header="0.3" footer="0.3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複製並重命名工作表">
                <anchor moveWithCells="1" sizeWithCells="1">
                  <from>
                    <xdr:col>37</xdr:col>
                    <xdr:colOff>863600</xdr:colOff>
                    <xdr:row>0</xdr:row>
                    <xdr:rowOff>38100</xdr:rowOff>
                  </from>
                  <to>
                    <xdr:col>41</xdr:col>
                    <xdr:colOff>673100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Toggle_Column_B">
                <anchor moveWithCells="1" sizeWithCells="1">
                  <from>
                    <xdr:col>32</xdr:col>
                    <xdr:colOff>520700</xdr:colOff>
                    <xdr:row>0</xdr:row>
                    <xdr:rowOff>44450</xdr:rowOff>
                  </from>
                  <to>
                    <xdr:col>37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Toggle_NonActive_Staff">
                <anchor moveWithCells="1" sizeWithCells="1">
                  <from>
                    <xdr:col>27</xdr:col>
                    <xdr:colOff>482600</xdr:colOff>
                    <xdr:row>0</xdr:row>
                    <xdr:rowOff>57150</xdr:rowOff>
                  </from>
                  <to>
                    <xdr:col>32</xdr:col>
                    <xdr:colOff>349250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utton 4">
              <controlPr defaultSize="0" print="0" autoFill="0" autoPict="0" macro="[0]!FillQuotas">
                <anchor moveWithCells="1" sizeWithCells="1">
                  <from>
                    <xdr:col>61</xdr:col>
                    <xdr:colOff>38100</xdr:colOff>
                    <xdr:row>2</xdr:row>
                    <xdr:rowOff>0</xdr:rowOff>
                  </from>
                  <to>
                    <xdr:col>62</xdr:col>
                    <xdr:colOff>1454150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utton 5">
              <controlPr defaultSize="0" print="0" autoFill="0" autoPict="0" macro="[0]!複製預班">
                <anchor moveWithCells="1" sizeWithCells="1">
                  <from>
                    <xdr:col>37</xdr:col>
                    <xdr:colOff>95250</xdr:colOff>
                    <xdr:row>26</xdr:row>
                    <xdr:rowOff>95250</xdr:rowOff>
                  </from>
                  <to>
                    <xdr:col>41</xdr:col>
                    <xdr:colOff>596900</xdr:colOff>
                    <xdr:row>26</xdr:row>
                    <xdr:rowOff>1193800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Button 6">
              <controlPr defaultSize="0" print="0" autoFill="0" autoPict="0" macro="[0]!轉跳輪序">
                <anchor moveWithCells="1" sizeWithCells="1">
                  <from>
                    <xdr:col>34</xdr:col>
                    <xdr:colOff>114300</xdr:colOff>
                    <xdr:row>26</xdr:row>
                    <xdr:rowOff>152400</xdr:rowOff>
                  </from>
                  <to>
                    <xdr:col>36</xdr:col>
                    <xdr:colOff>806450</xdr:colOff>
                    <xdr:row>26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10" name="Button 7">
              <controlPr defaultSize="0" print="0" autoFill="0" autoPict="0" macro="[0]!轉跳班表">
                <anchor moveWithCells="1" sizeWithCells="1">
                  <from>
                    <xdr:col>60</xdr:col>
                    <xdr:colOff>933450</xdr:colOff>
                    <xdr:row>18</xdr:row>
                    <xdr:rowOff>133350</xdr:rowOff>
                  </from>
                  <to>
                    <xdr:col>62</xdr:col>
                    <xdr:colOff>285750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1" name="Button 8">
              <controlPr defaultSize="0" print="0" autoFill="0" autoPict="0" macro="[0]!轉跳人力">
                <anchor moveWithCells="1" sizeWithCells="1">
                  <from>
                    <xdr:col>31</xdr:col>
                    <xdr:colOff>57150</xdr:colOff>
                    <xdr:row>26</xdr:row>
                    <xdr:rowOff>152400</xdr:rowOff>
                  </from>
                  <to>
                    <xdr:col>33</xdr:col>
                    <xdr:colOff>793750</xdr:colOff>
                    <xdr:row>26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2" name="Button 9">
              <controlPr defaultSize="0" print="0" autoFill="0" autoPict="0" macro="[0]!轉跳班表">
                <anchor moveWithCells="1" sizeWithCells="1">
                  <from>
                    <xdr:col>52</xdr:col>
                    <xdr:colOff>63500</xdr:colOff>
                    <xdr:row>4</xdr:row>
                    <xdr:rowOff>139700</xdr:rowOff>
                  </from>
                  <to>
                    <xdr:col>53</xdr:col>
                    <xdr:colOff>406400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3" name="Button 10">
              <controlPr defaultSize="0" print="0" autoFill="0" autoPict="0" macro="[0]!轉跳輪序">
                <anchor moveWithCells="1" sizeWithCells="1">
                  <from>
                    <xdr:col>52</xdr:col>
                    <xdr:colOff>57150</xdr:colOff>
                    <xdr:row>6</xdr:row>
                    <xdr:rowOff>336550</xdr:rowOff>
                  </from>
                  <to>
                    <xdr:col>53</xdr:col>
                    <xdr:colOff>425450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9" r:id="rId14" name="Button 11">
              <controlPr defaultSize="0" print="0" autoFill="0" autoPict="0" macro="[0]!清除後半月人力">
                <anchor moveWithCells="1" sizeWithCells="1">
                  <from>
                    <xdr:col>50</xdr:col>
                    <xdr:colOff>3479800</xdr:colOff>
                    <xdr:row>6</xdr:row>
                    <xdr:rowOff>355600</xdr:rowOff>
                  </from>
                  <to>
                    <xdr:col>51</xdr:col>
                    <xdr:colOff>2870200</xdr:colOff>
                    <xdr:row>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0" r:id="rId15" name="Button 12">
              <controlPr defaultSize="0" print="0" autoFill="0" autoPict="0" macro="[0]!清空排班">
                <anchor moveWithCells="1" sizeWithCells="1">
                  <from>
                    <xdr:col>24</xdr:col>
                    <xdr:colOff>387350</xdr:colOff>
                    <xdr:row>0</xdr:row>
                    <xdr:rowOff>69850</xdr:rowOff>
                  </from>
                  <to>
                    <xdr:col>27</xdr:col>
                    <xdr:colOff>292100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1" r:id="rId16" name="Button 13">
              <controlPr defaultSize="0" print="0" autoFill="0" autoPict="0" macro="[0]!UpdateRotationMarkers">
                <anchor moveWithCells="1" sizeWithCells="1">
                  <from>
                    <xdr:col>61</xdr:col>
                    <xdr:colOff>31750</xdr:colOff>
                    <xdr:row>0</xdr:row>
                    <xdr:rowOff>44450</xdr:rowOff>
                  </from>
                  <to>
                    <xdr:col>62</xdr:col>
                    <xdr:colOff>1454150</xdr:colOff>
                    <xdr:row>1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27</vt:i4>
      </vt:variant>
      <vt:variant>
        <vt:lpstr>具名範圍</vt:lpstr>
      </vt:variant>
      <vt:variant>
        <vt:i4>10</vt:i4>
      </vt:variant>
    </vt:vector>
  </HeadingPairs>
  <TitlesOfParts>
    <vt:vector size="37" baseType="lpstr">
      <vt:lpstr>11306</vt:lpstr>
      <vt:lpstr>11307</vt:lpstr>
      <vt:lpstr>11308</vt:lpstr>
      <vt:lpstr>11309</vt:lpstr>
      <vt:lpstr>11310-1</vt:lpstr>
      <vt:lpstr>11311</vt:lpstr>
      <vt:lpstr>11312 (2)</vt:lpstr>
      <vt:lpstr>20251</vt:lpstr>
      <vt:lpstr>20252</vt:lpstr>
      <vt:lpstr>20253</vt:lpstr>
      <vt:lpstr>20254</vt:lpstr>
      <vt:lpstr>20255</vt:lpstr>
      <vt:lpstr>20256</vt:lpstr>
      <vt:lpstr>20257</vt:lpstr>
      <vt:lpstr>202510</vt:lpstr>
      <vt:lpstr>20258</vt:lpstr>
      <vt:lpstr>20259</vt:lpstr>
      <vt:lpstr>202511</vt:lpstr>
      <vt:lpstr>202512</vt:lpstr>
      <vt:lpstr>202601</vt:lpstr>
      <vt:lpstr>202602</vt:lpstr>
      <vt:lpstr>202603</vt:lpstr>
      <vt:lpstr>202604</vt:lpstr>
      <vt:lpstr>202605</vt:lpstr>
      <vt:lpstr>202606</vt:lpstr>
      <vt:lpstr>202607</vt:lpstr>
      <vt:lpstr>202608</vt:lpstr>
      <vt:lpstr>'202512'!姓名清單</vt:lpstr>
      <vt:lpstr>'202601'!姓名清單</vt:lpstr>
      <vt:lpstr>'202602'!姓名清單</vt:lpstr>
      <vt:lpstr>'202603'!姓名清單</vt:lpstr>
      <vt:lpstr>'202604'!姓名清單</vt:lpstr>
      <vt:lpstr>'202605'!姓名清單</vt:lpstr>
      <vt:lpstr>'202606'!姓名清單</vt:lpstr>
      <vt:lpstr>'202607'!姓名清單</vt:lpstr>
      <vt:lpstr>'202608'!姓名清單</vt:lpstr>
      <vt:lpstr>姓名清單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子建 王</cp:lastModifiedBy>
  <cp:lastPrinted>2026-01-22T09:04:04Z</cp:lastPrinted>
  <dcterms:created xsi:type="dcterms:W3CDTF">2001-07-15T11:57:17Z</dcterms:created>
  <dcterms:modified xsi:type="dcterms:W3CDTF">2026-03-15T05:41:49Z</dcterms:modified>
</cp:coreProperties>
</file>